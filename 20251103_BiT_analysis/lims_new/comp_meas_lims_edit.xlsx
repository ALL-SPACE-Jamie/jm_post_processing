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jm_post_processing\20251103_BiT_analysis\lims_new\"/>
    </mc:Choice>
  </mc:AlternateContent>
  <xr:revisionPtr revIDLastSave="0" documentId="13_ncr:1_{34481F29-F269-476A-920A-E4DD1E9812E5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2" i="1"/>
  <c r="AA5" i="1"/>
  <c r="AA4" i="1"/>
  <c r="AA3" i="1"/>
  <c r="AA2" i="1"/>
  <c r="AA1" i="1"/>
</calcChain>
</file>

<file path=xl/sharedStrings.xml><?xml version="1.0" encoding="utf-8"?>
<sst xmlns="http://schemas.openxmlformats.org/spreadsheetml/2006/main" count="7966" uniqueCount="837">
  <si>
    <t>test</t>
  </si>
  <si>
    <t>log_name</t>
  </si>
  <si>
    <t>param</t>
  </si>
  <si>
    <t>av</t>
  </si>
  <si>
    <t>std</t>
  </si>
  <si>
    <t>n</t>
  </si>
  <si>
    <t>files_found</t>
  </si>
  <si>
    <t>lim_min</t>
  </si>
  <si>
    <t>lim_max</t>
  </si>
  <si>
    <t>lim_mid</t>
  </si>
  <si>
    <t>lim_range</t>
  </si>
  <si>
    <t>meas_max</t>
  </si>
  <si>
    <t>meas_min</t>
  </si>
  <si>
    <t>meas_range</t>
  </si>
  <si>
    <t>av/std</t>
  </si>
  <si>
    <t>lim_range/meas_range</t>
  </si>
  <si>
    <t>Prod PSU</t>
  </si>
  <si>
    <t>logProcStatusTPB</t>
  </si>
  <si>
    <t>TPB.FanBay1.fan1.RPM</t>
  </si>
  <si>
    <t>no limit found</t>
  </si>
  <si>
    <t>TPB.FanBay1.fan1.Status</t>
  </si>
  <si>
    <t>inf</t>
  </si>
  <si>
    <t>TPB.FanBay1.fan2.RPM</t>
  </si>
  <si>
    <t>TPB.FanBay1.fan2.Status</t>
  </si>
  <si>
    <t>TPB.FanBay1.fan3.RPM</t>
  </si>
  <si>
    <t>TPB.FanBay1.fan3.Status</t>
  </si>
  <si>
    <t>TPB.FanBay1.fan4.RPM</t>
  </si>
  <si>
    <t>TPB.FanBay1.fan4.Status</t>
  </si>
  <si>
    <t>TPB.FanBay2.fan1.RPM</t>
  </si>
  <si>
    <t>TPB.FanBay2.fan1.Status</t>
  </si>
  <si>
    <t>TPB.FanBay2.fan2.RPM</t>
  </si>
  <si>
    <t>TPB.FanBay2.fan2.Status</t>
  </si>
  <si>
    <t>TPB.FanBay2.fan3.RPM</t>
  </si>
  <si>
    <t>TPB.FanBay2.fan3.Status</t>
  </si>
  <si>
    <t>TPB.FanBay2.fan4.RPM</t>
  </si>
  <si>
    <t>TPB.FanBay2.fan4.Status</t>
  </si>
  <si>
    <t>TPB.PsuMeasurements.CCUI.Amps.Now</t>
  </si>
  <si>
    <t>TPB.PsuMeasurements.CCUV.Volts.Now</t>
  </si>
  <si>
    <t>TPB.PsuMeasurements.MPB1I.Amps.Now</t>
  </si>
  <si>
    <t>TPB.PsuMeasurements.MPB1V.Volts.Now</t>
  </si>
  <si>
    <t>TPB.PsuMeasurements.MPB2I.Amps.Now</t>
  </si>
  <si>
    <t>TPB.PsuMeasurements.MPB2V.Volts.Now</t>
  </si>
  <si>
    <t>TPB.PsuMeasurements.MPB3I.Amps.Now</t>
  </si>
  <si>
    <t>TPB.PsuMeasurements.MPB3V.Volts.Now</t>
  </si>
  <si>
    <t>TPB.PsuMeasurements.PCS1I.Amps.Now</t>
  </si>
  <si>
    <t>TPB.PsuMeasurements.PCS1V.Volts.Now</t>
  </si>
  <si>
    <t>TPB.PsuMeasurements.PCS2I.Amps.Now</t>
  </si>
  <si>
    <t>TPB.PsuMeasurements.PCS2V.Volts.Now</t>
  </si>
  <si>
    <t>TPB.PsuMeasurements.PCS3I.Amps.Now</t>
  </si>
  <si>
    <t>TPB.PsuMeasurements.PCS3V.Volts.Now</t>
  </si>
  <si>
    <t>TPB.PsuMeasurements.PCS4I.Amps.Now</t>
  </si>
  <si>
    <t>TPB.PsuMeasurements.PCS4V.Volts.Now</t>
  </si>
  <si>
    <t>TPB.PsuMeasurements.PCS5I.Amps.Now</t>
  </si>
  <si>
    <t>TPB.PsuMeasurements.PCS5V.Volts.Now</t>
  </si>
  <si>
    <t>TPB.PsuMeasurements.PCS6I.Amps.Now</t>
  </si>
  <si>
    <t>TPB.PsuMeasurements.PCS6V.Volts.Now</t>
  </si>
  <si>
    <t>logStatusACU</t>
  </si>
  <si>
    <t>ACU.Beam1.Rx.PhiTheta.Phi</t>
  </si>
  <si>
    <t>yes</t>
  </si>
  <si>
    <t>ACU.Beam1.Rx.PhiTheta.Theta</t>
  </si>
  <si>
    <t>ACU.Beam1.Tx.PhiTheta.Phi</t>
  </si>
  <si>
    <t>ACU.Beam1.Tx.PhiTheta.Theta</t>
  </si>
  <si>
    <t>ACU.Beam2.Rx.PhiTheta.Phi</t>
  </si>
  <si>
    <t>ACU.Beam2.Rx.PhiTheta.Theta</t>
  </si>
  <si>
    <t>ACU.Beam2.Tx.PhiTheta.Phi</t>
  </si>
  <si>
    <t>ACU.Beam2.Tx.PhiTheta.Theta</t>
  </si>
  <si>
    <t>ACU.LoopbackMode.Status</t>
  </si>
  <si>
    <t>ACU.Monitor.CCU.Pl Temperature</t>
  </si>
  <si>
    <t>ACU.Monitor.CCU.Ps Temperature</t>
  </si>
  <si>
    <t>ACU.Orientation.Pitch</t>
  </si>
  <si>
    <t>ACU.Orientation.Roll</t>
  </si>
  <si>
    <t>ACU.Orientation.Yaw</t>
  </si>
  <si>
    <t>ACU.Position.Altitude</t>
  </si>
  <si>
    <t>ACU.Position.Latitude</t>
  </si>
  <si>
    <t>ACU.Position.Longitude</t>
  </si>
  <si>
    <t>NPI Pre Check TLMs Fitted</t>
  </si>
  <si>
    <t>logProcStatusACU</t>
  </si>
  <si>
    <t>acu_errors</t>
  </si>
  <si>
    <t>acu_lmkPll1</t>
  </si>
  <si>
    <t>acu_lmkPll2</t>
  </si>
  <si>
    <t>acu_lmx1</t>
  </si>
  <si>
    <t>acu_lmx2</t>
  </si>
  <si>
    <t>acu_lmx3</t>
  </si>
  <si>
    <t>acu_lmx4</t>
  </si>
  <si>
    <t>acu_mmcm</t>
  </si>
  <si>
    <t>acu_psTemp</t>
  </si>
  <si>
    <t>acu_state</t>
  </si>
  <si>
    <t>logProcStatusCAL</t>
  </si>
  <si>
    <t>cal_0_errors</t>
  </si>
  <si>
    <t>cal_0_pll_down</t>
  </si>
  <si>
    <t>cal_0_pll_up</t>
  </si>
  <si>
    <t>cal_0_state</t>
  </si>
  <si>
    <t>cal_0_temp_lmk</t>
  </si>
  <si>
    <t>cal_0_temp_ocxo</t>
  </si>
  <si>
    <t>logProcStatusFAN</t>
  </si>
  <si>
    <t>fanStatus_allTemp</t>
  </si>
  <si>
    <t>fanStatus_fanSpeed</t>
  </si>
  <si>
    <t>fanStatus_rxTemp</t>
  </si>
  <si>
    <t>fanStatus_txTemp</t>
  </si>
  <si>
    <t>logProcStatusPCS</t>
  </si>
  <si>
    <t>pcs_0_state</t>
  </si>
  <si>
    <t>pcs_0_tlm_2_pllLock1</t>
  </si>
  <si>
    <t>pcs_0_tlm_2_pllLock2</t>
  </si>
  <si>
    <t>pcs_0_tlm_5_pllLock1</t>
  </si>
  <si>
    <t>pcs_0_tlm_5_pllLock2</t>
  </si>
  <si>
    <t>pcs_0_tlm_5_pllTemp1</t>
  </si>
  <si>
    <t>pcs_0_tlm_5_pllTemp2</t>
  </si>
  <si>
    <t>pcs_1_state</t>
  </si>
  <si>
    <t>pcs_1_tlm_2_pllLock1</t>
  </si>
  <si>
    <t>pcs_1_tlm_2_pllLock2</t>
  </si>
  <si>
    <t>pcs_1_tlm_5_pllLock1</t>
  </si>
  <si>
    <t>pcs_1_tlm_5_pllLock2</t>
  </si>
  <si>
    <t>pcs_1_tlm_5_pllTemp1</t>
  </si>
  <si>
    <t>pcs_1_tlm_5_pllTemp2</t>
  </si>
  <si>
    <t>pcs_2_state</t>
  </si>
  <si>
    <t>pcs_2_tlm_2_pllLock1</t>
  </si>
  <si>
    <t>pcs_2_tlm_2_pllLock2</t>
  </si>
  <si>
    <t>pcs_2_tlm_5_pllLock1</t>
  </si>
  <si>
    <t>pcs_2_tlm_5_pllLock2</t>
  </si>
  <si>
    <t>pcs_2_tlm_5_pllTemp1</t>
  </si>
  <si>
    <t>pcs_2_tlm_5_pllTemp2</t>
  </si>
  <si>
    <t>pcs_3_state</t>
  </si>
  <si>
    <t>pcs_3_tlm_2_pllLock1</t>
  </si>
  <si>
    <t>pcs_3_tlm_2_pllLock2</t>
  </si>
  <si>
    <t>pcs_3_tlm_5_pllLock1</t>
  </si>
  <si>
    <t>pcs_3_tlm_5_pllLock2</t>
  </si>
  <si>
    <t>pcs_3_tlm_5_pllTemp1</t>
  </si>
  <si>
    <t>pcs_3_tlm_5_pllTemp2</t>
  </si>
  <si>
    <t>pcs_4_state</t>
  </si>
  <si>
    <t>pcs_4_tlm_2_pllLock1</t>
  </si>
  <si>
    <t>pcs_4_tlm_2_pllLock2</t>
  </si>
  <si>
    <t>pcs_4_tlm_5_pllLock1</t>
  </si>
  <si>
    <t>pcs_4_tlm_5_pllLock2</t>
  </si>
  <si>
    <t>pcs_4_tlm_5_pllTemp1</t>
  </si>
  <si>
    <t>pcs_4_tlm_5_pllTemp2</t>
  </si>
  <si>
    <t>pcs_5_state</t>
  </si>
  <si>
    <t>pcs_5_tlm_2_pllLock1</t>
  </si>
  <si>
    <t>pcs_5_tlm_2_pllLock2</t>
  </si>
  <si>
    <t>pcs_5_tlm_5_pllLock1</t>
  </si>
  <si>
    <t>pcs_5_tlm_5_pllLock2</t>
  </si>
  <si>
    <t>pcs_5_tlm_5_pllTemp1</t>
  </si>
  <si>
    <t>pcs_5_tlm_5_pllTemp2</t>
  </si>
  <si>
    <t>logProcStatusTLM</t>
  </si>
  <si>
    <t>pcs_0_tlm_0_errors</t>
  </si>
  <si>
    <t>pcs_0_tlm_0_rfPowerdBm</t>
  </si>
  <si>
    <t>pcs_0_tlm_0_rfic</t>
  </si>
  <si>
    <t>pcs_0_tlm_1_errors</t>
  </si>
  <si>
    <t>pcs_0_tlm_1_rfPowerdBm</t>
  </si>
  <si>
    <t>pcs_0_tlm_1_rfic</t>
  </si>
  <si>
    <t>pcs_0_tlm_2_errors</t>
  </si>
  <si>
    <t>pcs_0_tlm_2_rfPowerdBm</t>
  </si>
  <si>
    <t>pcs_0_tlm_2_rfic</t>
  </si>
  <si>
    <t>pcs_0_tlm_3_errors</t>
  </si>
  <si>
    <t>pcs_0_tlm_3_rfPowerdBm</t>
  </si>
  <si>
    <t>pcs_0_tlm_3_rfic</t>
  </si>
  <si>
    <t>pcs_0_tlm_4_errors</t>
  </si>
  <si>
    <t>pcs_0_tlm_4_rfPowerdBm</t>
  </si>
  <si>
    <t>pcs_0_tlm_4_rfic</t>
  </si>
  <si>
    <t>pcs_0_tlm_5_errors</t>
  </si>
  <si>
    <t>pcs_0_tlm_5_rfPowerdBm</t>
  </si>
  <si>
    <t>pcs_0_tlm_5_rfic</t>
  </si>
  <si>
    <t>pcs_1_tlm_0_errors</t>
  </si>
  <si>
    <t>pcs_1_tlm_0_rfPowerdBm</t>
  </si>
  <si>
    <t>pcs_1_tlm_0_rfic</t>
  </si>
  <si>
    <t>pcs_1_tlm_1_errors</t>
  </si>
  <si>
    <t>pcs_1_tlm_1_rfPowerdBm</t>
  </si>
  <si>
    <t>pcs_1_tlm_1_rfic</t>
  </si>
  <si>
    <t>pcs_1_tlm_2_errors</t>
  </si>
  <si>
    <t>pcs_1_tlm_2_rfPowerdBm</t>
  </si>
  <si>
    <t>pcs_1_tlm_2_rfic</t>
  </si>
  <si>
    <t>pcs_1_tlm_3_errors</t>
  </si>
  <si>
    <t>pcs_1_tlm_3_rfPowerdBm</t>
  </si>
  <si>
    <t>pcs_1_tlm_3_rfic</t>
  </si>
  <si>
    <t>pcs_1_tlm_4_errors</t>
  </si>
  <si>
    <t>pcs_1_tlm_4_rfPowerdBm</t>
  </si>
  <si>
    <t>pcs_1_tlm_4_rfic</t>
  </si>
  <si>
    <t>pcs_1_tlm_5_errors</t>
  </si>
  <si>
    <t>pcs_1_tlm_5_rfPowerdBm</t>
  </si>
  <si>
    <t>pcs_1_tlm_5_rfic</t>
  </si>
  <si>
    <t>pcs_2_tlm_0_errors</t>
  </si>
  <si>
    <t>pcs_2_tlm_0_rfPowerdBm</t>
  </si>
  <si>
    <t>pcs_2_tlm_0_rfic</t>
  </si>
  <si>
    <t>pcs_2_tlm_1_errors</t>
  </si>
  <si>
    <t>pcs_2_tlm_1_rfPowerdBm</t>
  </si>
  <si>
    <t>pcs_2_tlm_1_rfic</t>
  </si>
  <si>
    <t>pcs_2_tlm_2_errors</t>
  </si>
  <si>
    <t>pcs_2_tlm_2_rfPowerdBm</t>
  </si>
  <si>
    <t>pcs_2_tlm_2_rfic</t>
  </si>
  <si>
    <t>pcs_2_tlm_3_errors</t>
  </si>
  <si>
    <t>pcs_2_tlm_3_rfPowerdBm</t>
  </si>
  <si>
    <t>pcs_2_tlm_3_rfic</t>
  </si>
  <si>
    <t>pcs_2_tlm_4_errors</t>
  </si>
  <si>
    <t>pcs_2_tlm_4_rfPowerdBm</t>
  </si>
  <si>
    <t>pcs_2_tlm_4_rfic</t>
  </si>
  <si>
    <t>pcs_2_tlm_5_errors</t>
  </si>
  <si>
    <t>pcs_2_tlm_5_rfPowerdBm</t>
  </si>
  <si>
    <t>pcs_2_tlm_5_rfic</t>
  </si>
  <si>
    <t>pcs_3_tlm_0_errors</t>
  </si>
  <si>
    <t>pcs_3_tlm_0_rfPowerdBm</t>
  </si>
  <si>
    <t>pcs_3_tlm_0_rfic</t>
  </si>
  <si>
    <t>pcs_3_tlm_1_errors</t>
  </si>
  <si>
    <t>pcs_3_tlm_1_rfPowerdBm</t>
  </si>
  <si>
    <t>pcs_3_tlm_1_rfic</t>
  </si>
  <si>
    <t>pcs_3_tlm_2_errors</t>
  </si>
  <si>
    <t>pcs_3_tlm_2_rfPowerdBm</t>
  </si>
  <si>
    <t>pcs_3_tlm_2_rfic</t>
  </si>
  <si>
    <t>pcs_3_tlm_3_errors</t>
  </si>
  <si>
    <t>pcs_3_tlm_3_rfPowerdBm</t>
  </si>
  <si>
    <t>pcs_3_tlm_3_rfic</t>
  </si>
  <si>
    <t>pcs_3_tlm_4_errors</t>
  </si>
  <si>
    <t>pcs_3_tlm_4_rfPowerdBm</t>
  </si>
  <si>
    <t>pcs_3_tlm_4_rfic</t>
  </si>
  <si>
    <t>pcs_3_tlm_5_errors</t>
  </si>
  <si>
    <t>pcs_3_tlm_5_rfPowerdBm</t>
  </si>
  <si>
    <t>pcs_3_tlm_5_rfic</t>
  </si>
  <si>
    <t>pcs_4_tlm_0_errors</t>
  </si>
  <si>
    <t>pcs_4_tlm_0_rfPowerdBm</t>
  </si>
  <si>
    <t>pcs_4_tlm_0_rfic</t>
  </si>
  <si>
    <t>pcs_4_tlm_1_errors</t>
  </si>
  <si>
    <t>pcs_4_tlm_1_rfPowerdBm</t>
  </si>
  <si>
    <t>pcs_4_tlm_1_rfic</t>
  </si>
  <si>
    <t>pcs_4_tlm_2_errors</t>
  </si>
  <si>
    <t>pcs_4_tlm_2_rfPowerdBm</t>
  </si>
  <si>
    <t>pcs_4_tlm_2_rfic</t>
  </si>
  <si>
    <t>pcs_4_tlm_3_errors</t>
  </si>
  <si>
    <t>pcs_4_tlm_3_rfPowerdBm</t>
  </si>
  <si>
    <t>pcs_4_tlm_3_rfic</t>
  </si>
  <si>
    <t>pcs_4_tlm_4_errors</t>
  </si>
  <si>
    <t>pcs_4_tlm_4_rfPowerdBm</t>
  </si>
  <si>
    <t>pcs_4_tlm_4_rfic</t>
  </si>
  <si>
    <t>pcs_4_tlm_5_errors</t>
  </si>
  <si>
    <t>pcs_4_tlm_5_rfPowerdBm</t>
  </si>
  <si>
    <t>pcs_4_tlm_5_rfic</t>
  </si>
  <si>
    <t>pcs_5_tlm_0_errors</t>
  </si>
  <si>
    <t>pcs_5_tlm_0_rfPowerdBm</t>
  </si>
  <si>
    <t>pcs_5_tlm_0_rfic</t>
  </si>
  <si>
    <t>pcs_5_tlm_1_errors</t>
  </si>
  <si>
    <t>pcs_5_tlm_1_rfPowerdBm</t>
  </si>
  <si>
    <t>pcs_5_tlm_1_rfic</t>
  </si>
  <si>
    <t>pcs_5_tlm_2_errors</t>
  </si>
  <si>
    <t>pcs_5_tlm_2_rfPowerdBm</t>
  </si>
  <si>
    <t>pcs_5_tlm_2_rfic</t>
  </si>
  <si>
    <t>pcs_5_tlm_3_errors</t>
  </si>
  <si>
    <t>pcs_5_tlm_3_rfPowerdBm</t>
  </si>
  <si>
    <t>pcs_5_tlm_3_rfic</t>
  </si>
  <si>
    <t>pcs_5_tlm_4_errors</t>
  </si>
  <si>
    <t>pcs_5_tlm_4_rfPowerdBm</t>
  </si>
  <si>
    <t>pcs_5_tlm_4_rfic</t>
  </si>
  <si>
    <t>pcs_5_tlm_5_errors</t>
  </si>
  <si>
    <t>pcs_5_tlm_5_rfPowerdBm</t>
  </si>
  <si>
    <t>pcs_5_tlm_5_rfic</t>
  </si>
  <si>
    <t>logProcStatusTMU</t>
  </si>
  <si>
    <t>tmu_state</t>
  </si>
  <si>
    <t>logStatusCombinerRFIC</t>
  </si>
  <si>
    <t>TLM_1_Rx1.Lens1.RFIC0.Beam1.Power.TotalPower</t>
  </si>
  <si>
    <t>TLM_1_Rx1.Lens1.RFIC0.Beam2.Power.TotalPower</t>
  </si>
  <si>
    <t>TLM_1_Rx1.Lens1.RFIC0.Beam3.Power.TotalPower</t>
  </si>
  <si>
    <t>TLM_1_Rx1.Lens1.RFIC0.Temps.Current</t>
  </si>
  <si>
    <t>TLM_1_Rx1.Lens2.RFIC0.Beam1.Power.TotalPower</t>
  </si>
  <si>
    <t>TLM_1_Rx1.Lens2.RFIC0.Beam2.Power.TotalPower</t>
  </si>
  <si>
    <t>TLM_1_Rx1.Lens2.RFIC0.Beam3.Power.TotalPower</t>
  </si>
  <si>
    <t>TLM_1_Rx1.Lens2.RFIC0.Temps.Current</t>
  </si>
  <si>
    <t>TLM_1_Rx2.Lens1.RFIC0.Beam1.Power.TotalPower</t>
  </si>
  <si>
    <t>TLM_1_Rx2.Lens1.RFIC0.Beam2.Power.TotalPower</t>
  </si>
  <si>
    <t>TLM_1_Rx2.Lens1.RFIC0.Beam3.Power.TotalPower</t>
  </si>
  <si>
    <t>TLM_1_Rx2.Lens1.RFIC0.Temps.Current</t>
  </si>
  <si>
    <t>TLM_1_Rx2.Lens2.RFIC0.Beam1.Power.TotalPower</t>
  </si>
  <si>
    <t>TLM_1_Rx2.Lens2.RFIC0.Beam2.Power.TotalPower</t>
  </si>
  <si>
    <t>TLM_1_Rx2.Lens2.RFIC0.Beam3.Power.TotalPower</t>
  </si>
  <si>
    <t>TLM_1_Rx2.Lens2.RFIC0.Temps.Current</t>
  </si>
  <si>
    <t>TLM_1_Rx3.Lens1.RFIC0.Beam1.Power.TotalPower</t>
  </si>
  <si>
    <t>TLM_1_Rx3.Lens1.RFIC0.Beam2.Power.TotalPower</t>
  </si>
  <si>
    <t>TLM_1_Rx3.Lens1.RFIC0.Beam3.Power.TotalPower</t>
  </si>
  <si>
    <t>TLM_1_Rx3.Lens1.RFIC0.Temps.Current</t>
  </si>
  <si>
    <t>TLM_1_Rx3.Lens2.RFIC0.Beam1.Power.TotalPower</t>
  </si>
  <si>
    <t>TLM_1_Rx3.Lens2.RFIC0.Beam2.Power.TotalPower</t>
  </si>
  <si>
    <t>TLM_1_Rx3.Lens2.RFIC0.Beam3.Power.TotalPower</t>
  </si>
  <si>
    <t>TLM_1_Rx3.Lens2.RFIC0.Temps.Current</t>
  </si>
  <si>
    <t>TLM_1_Tx1.Lens1.RFIC0.Beam1.Power.TotalPower</t>
  </si>
  <si>
    <t>TLM_1_Tx1.Lens1.RFIC0.Beam2.Power.TotalPower</t>
  </si>
  <si>
    <t>TLM_1_Tx1.Lens1.RFIC0.Beam3.Power.TotalPower</t>
  </si>
  <si>
    <t>TLM_1_Tx1.Lens1.RFIC0.Temps.Current</t>
  </si>
  <si>
    <t>TLM_1_Tx1.Lens2.RFIC0.Beam1.Power.TotalPower</t>
  </si>
  <si>
    <t>TLM_1_Tx1.Lens2.RFIC0.Beam2.Power.TotalPower</t>
  </si>
  <si>
    <t>TLM_1_Tx1.Lens2.RFIC0.Beam3.Power.TotalPower</t>
  </si>
  <si>
    <t>TLM_1_Tx1.Lens2.RFIC0.Temps.Current</t>
  </si>
  <si>
    <t>TLM_1_Tx2.Lens1.RFIC0.Beam1.Power.TotalPower</t>
  </si>
  <si>
    <t>TLM_1_Tx2.Lens1.RFIC0.Beam2.Power.TotalPower</t>
  </si>
  <si>
    <t>TLM_1_Tx2.Lens1.RFIC0.Beam3.Power.TotalPower</t>
  </si>
  <si>
    <t>TLM_1_Tx2.Lens1.RFIC0.Temps.Current</t>
  </si>
  <si>
    <t>TLM_1_Tx2.Lens2.RFIC0.Beam1.Power.TotalPower</t>
  </si>
  <si>
    <t>TLM_1_Tx2.Lens2.RFIC0.Beam2.Power.TotalPower</t>
  </si>
  <si>
    <t>TLM_1_Tx2.Lens2.RFIC0.Beam3.Power.TotalPower</t>
  </si>
  <si>
    <t>TLM_1_Tx2.Lens2.RFIC0.Temps.Current</t>
  </si>
  <si>
    <t>TLM_1_Tx3.Lens1.RFIC0.Beam1.Power.TotalPower</t>
  </si>
  <si>
    <t>TLM_1_Tx3.Lens1.RFIC0.Beam2.Power.TotalPower</t>
  </si>
  <si>
    <t>TLM_1_Tx3.Lens1.RFIC0.Beam3.Power.TotalPower</t>
  </si>
  <si>
    <t>TLM_1_Tx3.Lens1.RFIC0.Temps.Current</t>
  </si>
  <si>
    <t>TLM_1_Tx3.Lens2.RFIC0.Beam1.Power.TotalPower</t>
  </si>
  <si>
    <t>TLM_1_Tx3.Lens2.RFIC0.Beam2.Power.TotalPower</t>
  </si>
  <si>
    <t>TLM_1_Tx3.Lens2.RFIC0.Beam3.Power.TotalPower</t>
  </si>
  <si>
    <t>TLM_1_Tx3.Lens2.RFIC0.Temps.Current</t>
  </si>
  <si>
    <t>TLM_2_Rx1.Lens1.RFIC0.Beam1.Power.TotalPower</t>
  </si>
  <si>
    <t>TLM_2_Rx1.Lens1.RFIC0.Beam2.Power.TotalPower</t>
  </si>
  <si>
    <t>TLM_2_Rx1.Lens1.RFIC0.Beam3.Power.TotalPower</t>
  </si>
  <si>
    <t>TLM_2_Rx1.Lens1.RFIC0.Temps.Current</t>
  </si>
  <si>
    <t>TLM_2_Rx1.Lens2.RFIC0.Beam1.Power.TotalPower</t>
  </si>
  <si>
    <t>TLM_2_Rx1.Lens2.RFIC0.Beam2.Power.TotalPower</t>
  </si>
  <si>
    <t>TLM_2_Rx1.Lens2.RFIC0.Beam3.Power.TotalPower</t>
  </si>
  <si>
    <t>TLM_2_Rx1.Lens2.RFIC0.Temps.Current</t>
  </si>
  <si>
    <t>TLM_2_Rx2.Lens1.RFIC0.Beam1.Power.TotalPower</t>
  </si>
  <si>
    <t>TLM_2_Rx2.Lens1.RFIC0.Beam2.Power.TotalPower</t>
  </si>
  <si>
    <t>TLM_2_Rx2.Lens1.RFIC0.Beam3.Power.TotalPower</t>
  </si>
  <si>
    <t>TLM_2_Rx2.Lens1.RFIC0.Temps.Current</t>
  </si>
  <si>
    <t>TLM_2_Rx2.Lens2.RFIC0.Beam1.Power.TotalPower</t>
  </si>
  <si>
    <t>TLM_2_Rx2.Lens2.RFIC0.Beam2.Power.TotalPower</t>
  </si>
  <si>
    <t>TLM_2_Rx2.Lens2.RFIC0.Beam3.Power.TotalPower</t>
  </si>
  <si>
    <t>TLM_2_Rx2.Lens2.RFIC0.Temps.Current</t>
  </si>
  <si>
    <t>TLM_2_Rx3.Lens1.RFIC0.Beam1.Power.TotalPower</t>
  </si>
  <si>
    <t>TLM_2_Rx3.Lens1.RFIC0.Beam2.Power.TotalPower</t>
  </si>
  <si>
    <t>TLM_2_Rx3.Lens1.RFIC0.Beam3.Power.TotalPower</t>
  </si>
  <si>
    <t>TLM_2_Rx3.Lens1.RFIC0.Temps.Current</t>
  </si>
  <si>
    <t>TLM_2_Rx3.Lens2.RFIC0.Beam1.Power.TotalPower</t>
  </si>
  <si>
    <t>TLM_2_Rx3.Lens2.RFIC0.Beam2.Power.TotalPower</t>
  </si>
  <si>
    <t>TLM_2_Rx3.Lens2.RFIC0.Beam3.Power.TotalPower</t>
  </si>
  <si>
    <t>TLM_2_Rx3.Lens2.RFIC0.Temps.Current</t>
  </si>
  <si>
    <t>TLM_2_Tx1.Lens1.RFIC0.Beam1.Power.TotalPower</t>
  </si>
  <si>
    <t>TLM_2_Tx1.Lens1.RFIC0.Beam2.Power.TotalPower</t>
  </si>
  <si>
    <t>TLM_2_Tx1.Lens1.RFIC0.Beam3.Power.TotalPower</t>
  </si>
  <si>
    <t>TLM_2_Tx1.Lens1.RFIC0.Temps.Current</t>
  </si>
  <si>
    <t>TLM_2_Tx1.Lens2.RFIC0.Beam1.Power.TotalPower</t>
  </si>
  <si>
    <t>TLM_2_Tx1.Lens2.RFIC0.Beam2.Power.TotalPower</t>
  </si>
  <si>
    <t>TLM_2_Tx1.Lens2.RFIC0.Beam3.Power.TotalPower</t>
  </si>
  <si>
    <t>TLM_2_Tx1.Lens2.RFIC0.Temps.Current</t>
  </si>
  <si>
    <t>TLM_2_Tx2.Lens1.RFIC0.Beam1.Power.TotalPower</t>
  </si>
  <si>
    <t>TLM_2_Tx2.Lens1.RFIC0.Beam2.Power.TotalPower</t>
  </si>
  <si>
    <t>TLM_2_Tx2.Lens1.RFIC0.Beam3.Power.TotalPower</t>
  </si>
  <si>
    <t>TLM_2_Tx2.Lens1.RFIC0.Temps.Current</t>
  </si>
  <si>
    <t>TLM_2_Tx2.Lens2.RFIC0.Beam1.Power.TotalPower</t>
  </si>
  <si>
    <t>TLM_2_Tx2.Lens2.RFIC0.Beam2.Power.TotalPower</t>
  </si>
  <si>
    <t>TLM_2_Tx2.Lens2.RFIC0.Beam3.Power.TotalPower</t>
  </si>
  <si>
    <t>TLM_2_Tx2.Lens2.RFIC0.Temps.Current</t>
  </si>
  <si>
    <t>TLM_2_Tx3.Lens1.RFIC0.Beam1.Power.TotalPower</t>
  </si>
  <si>
    <t>TLM_2_Tx3.Lens1.RFIC0.Beam2.Power.TotalPower</t>
  </si>
  <si>
    <t>TLM_2_Tx3.Lens1.RFIC0.Beam3.Power.TotalPower</t>
  </si>
  <si>
    <t>TLM_2_Tx3.Lens1.RFIC0.Temps.Current</t>
  </si>
  <si>
    <t>TLM_2_Tx3.Lens2.RFIC0.Beam1.Power.TotalPower</t>
  </si>
  <si>
    <t>TLM_2_Tx3.Lens2.RFIC0.Beam2.Power.TotalPower</t>
  </si>
  <si>
    <t>TLM_2_Tx3.Lens2.RFIC0.Beam3.Power.TotalPower</t>
  </si>
  <si>
    <t>TLM_2_Tx3.Lens2.RFIC0.Temps.Current</t>
  </si>
  <si>
    <t>TLM_3_Rx1.Lens1.RFIC0.Beam1.Power.TotalPower</t>
  </si>
  <si>
    <t>TLM_3_Rx1.Lens1.RFIC0.Beam2.Power.TotalPower</t>
  </si>
  <si>
    <t>TLM_3_Rx1.Lens1.RFIC0.Beam3.Power.TotalPower</t>
  </si>
  <si>
    <t>TLM_3_Rx1.Lens1.RFIC0.Temps.Current</t>
  </si>
  <si>
    <t>TLM_3_Rx1.Lens2.RFIC0.Beam1.Power.TotalPower</t>
  </si>
  <si>
    <t>TLM_3_Rx1.Lens2.RFIC0.Beam2.Power.TotalPower</t>
  </si>
  <si>
    <t>TLM_3_Rx1.Lens2.RFIC0.Beam3.Power.TotalPower</t>
  </si>
  <si>
    <t>TLM_3_Rx1.Lens2.RFIC0.Temps.Current</t>
  </si>
  <si>
    <t>TLM_3_Rx2.Lens1.RFIC0.Beam1.Power.TotalPower</t>
  </si>
  <si>
    <t>TLM_3_Rx2.Lens1.RFIC0.Beam2.Power.TotalPower</t>
  </si>
  <si>
    <t>TLM_3_Rx2.Lens1.RFIC0.Beam3.Power.TotalPower</t>
  </si>
  <si>
    <t>TLM_3_Rx2.Lens1.RFIC0.Temps.Current</t>
  </si>
  <si>
    <t>TLM_3_Rx2.Lens2.RFIC0.Beam1.Power.TotalPower</t>
  </si>
  <si>
    <t>TLM_3_Rx2.Lens2.RFIC0.Beam2.Power.TotalPower</t>
  </si>
  <si>
    <t>TLM_3_Rx2.Lens2.RFIC0.Beam3.Power.TotalPower</t>
  </si>
  <si>
    <t>TLM_3_Rx2.Lens2.RFIC0.Temps.Current</t>
  </si>
  <si>
    <t>TLM_3_Rx3.Lens1.RFIC0.Beam1.Power.TotalPower</t>
  </si>
  <si>
    <t>TLM_3_Rx3.Lens1.RFIC0.Beam2.Power.TotalPower</t>
  </si>
  <si>
    <t>TLM_3_Rx3.Lens1.RFIC0.Beam3.Power.TotalPower</t>
  </si>
  <si>
    <t>TLM_3_Rx3.Lens1.RFIC0.Temps.Current</t>
  </si>
  <si>
    <t>TLM_3_Rx3.Lens2.RFIC0.Beam1.Power.TotalPower</t>
  </si>
  <si>
    <t>TLM_3_Rx3.Lens2.RFIC0.Beam2.Power.TotalPower</t>
  </si>
  <si>
    <t>TLM_3_Rx3.Lens2.RFIC0.Beam3.Power.TotalPower</t>
  </si>
  <si>
    <t>TLM_3_Rx3.Lens2.RFIC0.Temps.Current</t>
  </si>
  <si>
    <t>TLM_3_Tx1.Lens1.RFIC0.Beam1.Power.TotalPower</t>
  </si>
  <si>
    <t>TLM_3_Tx1.Lens1.RFIC0.Beam2.Power.TotalPower</t>
  </si>
  <si>
    <t>TLM_3_Tx1.Lens1.RFIC0.Beam3.Power.TotalPower</t>
  </si>
  <si>
    <t>TLM_3_Tx1.Lens1.RFIC0.Temps.Current</t>
  </si>
  <si>
    <t>TLM_3_Tx1.Lens2.RFIC0.Beam1.Power.TotalPower</t>
  </si>
  <si>
    <t>TLM_3_Tx1.Lens2.RFIC0.Beam2.Power.TotalPower</t>
  </si>
  <si>
    <t>TLM_3_Tx1.Lens2.RFIC0.Beam3.Power.TotalPower</t>
  </si>
  <si>
    <t>TLM_3_Tx1.Lens2.RFIC0.Temps.Current</t>
  </si>
  <si>
    <t>TLM_3_Tx2.Lens1.RFIC0.Beam1.Power.TotalPower</t>
  </si>
  <si>
    <t>TLM_3_Tx2.Lens1.RFIC0.Beam2.Power.TotalPower</t>
  </si>
  <si>
    <t>TLM_3_Tx2.Lens1.RFIC0.Beam3.Power.TotalPower</t>
  </si>
  <si>
    <t>TLM_3_Tx2.Lens1.RFIC0.Temps.Current</t>
  </si>
  <si>
    <t>TLM_3_Tx2.Lens2.RFIC0.Beam1.Power.TotalPower</t>
  </si>
  <si>
    <t>TLM_3_Tx2.Lens2.RFIC0.Beam2.Power.TotalPower</t>
  </si>
  <si>
    <t>TLM_3_Tx2.Lens2.RFIC0.Beam3.Power.TotalPower</t>
  </si>
  <si>
    <t>TLM_3_Tx2.Lens2.RFIC0.Temps.Current</t>
  </si>
  <si>
    <t>TLM_3_Tx3.Lens1.RFIC0.Beam1.Power.TotalPower</t>
  </si>
  <si>
    <t>TLM_3_Tx3.Lens1.RFIC0.Beam2.Power.TotalPower</t>
  </si>
  <si>
    <t>TLM_3_Tx3.Lens1.RFIC0.Beam3.Power.TotalPower</t>
  </si>
  <si>
    <t>TLM_3_Tx3.Lens1.RFIC0.Temps.Current</t>
  </si>
  <si>
    <t>TLM_3_Tx3.Lens2.RFIC0.Beam1.Power.TotalPower</t>
  </si>
  <si>
    <t>TLM_3_Tx3.Lens2.RFIC0.Beam2.Power.TotalPower</t>
  </si>
  <si>
    <t>TLM_3_Tx3.Lens2.RFIC0.Beam3.Power.TotalPower</t>
  </si>
  <si>
    <t>TLM_3_Tx3.Lens2.RFIC0.Temps.Current</t>
  </si>
  <si>
    <t>TLM_4_Rx1.Lens1.RFIC0.Beam1.Power.TotalPower</t>
  </si>
  <si>
    <t>TLM_4_Rx1.Lens1.RFIC0.Beam2.Power.TotalPower</t>
  </si>
  <si>
    <t>TLM_4_Rx1.Lens1.RFIC0.Beam3.Power.TotalPower</t>
  </si>
  <si>
    <t>TLM_4_Rx1.Lens1.RFIC0.Temps.Current</t>
  </si>
  <si>
    <t>TLM_4_Rx1.Lens2.RFIC0.Beam1.Power.TotalPower</t>
  </si>
  <si>
    <t>TLM_4_Rx1.Lens2.RFIC0.Beam2.Power.TotalPower</t>
  </si>
  <si>
    <t>TLM_4_Rx1.Lens2.RFIC0.Beam3.Power.TotalPower</t>
  </si>
  <si>
    <t>TLM_4_Rx1.Lens2.RFIC0.Temps.Current</t>
  </si>
  <si>
    <t>TLM_4_Rx2.Lens1.RFIC0.Beam1.Power.TotalPower</t>
  </si>
  <si>
    <t>TLM_4_Rx2.Lens1.RFIC0.Beam2.Power.TotalPower</t>
  </si>
  <si>
    <t>TLM_4_Rx2.Lens1.RFIC0.Beam3.Power.TotalPower</t>
  </si>
  <si>
    <t>TLM_4_Rx2.Lens1.RFIC0.Temps.Current</t>
  </si>
  <si>
    <t>TLM_4_Rx2.Lens2.RFIC0.Beam1.Power.TotalPower</t>
  </si>
  <si>
    <t>TLM_4_Rx2.Lens2.RFIC0.Beam2.Power.TotalPower</t>
  </si>
  <si>
    <t>TLM_4_Rx2.Lens2.RFIC0.Beam3.Power.TotalPower</t>
  </si>
  <si>
    <t>TLM_4_Rx2.Lens2.RFIC0.Temps.Current</t>
  </si>
  <si>
    <t>TLM_4_Rx3.Lens1.RFIC0.Beam1.Power.TotalPower</t>
  </si>
  <si>
    <t>TLM_4_Rx3.Lens1.RFIC0.Beam2.Power.TotalPower</t>
  </si>
  <si>
    <t>TLM_4_Rx3.Lens1.RFIC0.Beam3.Power.TotalPower</t>
  </si>
  <si>
    <t>TLM_4_Rx3.Lens1.RFIC0.Temps.Current</t>
  </si>
  <si>
    <t>TLM_4_Rx3.Lens2.RFIC0.Beam1.Power.TotalPower</t>
  </si>
  <si>
    <t>TLM_4_Rx3.Lens2.RFIC0.Beam2.Power.TotalPower</t>
  </si>
  <si>
    <t>TLM_4_Rx3.Lens2.RFIC0.Beam3.Power.TotalPower</t>
  </si>
  <si>
    <t>TLM_4_Rx3.Lens2.RFIC0.Temps.Current</t>
  </si>
  <si>
    <t>TLM_4_Tx1.Lens1.RFIC0.Beam1.Power.TotalPower</t>
  </si>
  <si>
    <t>TLM_4_Tx1.Lens1.RFIC0.Beam2.Power.TotalPower</t>
  </si>
  <si>
    <t>TLM_4_Tx1.Lens1.RFIC0.Beam3.Power.TotalPower</t>
  </si>
  <si>
    <t>TLM_4_Tx1.Lens1.RFIC0.Temps.Current</t>
  </si>
  <si>
    <t>TLM_4_Tx1.Lens2.RFIC0.Beam1.Power.TotalPower</t>
  </si>
  <si>
    <t>TLM_4_Tx1.Lens2.RFIC0.Beam2.Power.TotalPower</t>
  </si>
  <si>
    <t>TLM_4_Tx1.Lens2.RFIC0.Beam3.Power.TotalPower</t>
  </si>
  <si>
    <t>TLM_4_Tx1.Lens2.RFIC0.Temps.Current</t>
  </si>
  <si>
    <t>TLM_4_Tx2.Lens1.RFIC0.Beam1.Power.TotalPower</t>
  </si>
  <si>
    <t>TLM_4_Tx2.Lens1.RFIC0.Beam2.Power.TotalPower</t>
  </si>
  <si>
    <t>TLM_4_Tx2.Lens1.RFIC0.Beam3.Power.TotalPower</t>
  </si>
  <si>
    <t>TLM_4_Tx2.Lens1.RFIC0.Temps.Current</t>
  </si>
  <si>
    <t>TLM_4_Tx2.Lens2.RFIC0.Beam1.Power.TotalPower</t>
  </si>
  <si>
    <t>TLM_4_Tx2.Lens2.RFIC0.Beam2.Power.TotalPower</t>
  </si>
  <si>
    <t>TLM_4_Tx2.Lens2.RFIC0.Beam3.Power.TotalPower</t>
  </si>
  <si>
    <t>TLM_4_Tx2.Lens2.RFIC0.Temps.Current</t>
  </si>
  <si>
    <t>TLM_4_Tx3.Lens1.RFIC0.Beam1.Power.TotalPower</t>
  </si>
  <si>
    <t>TLM_4_Tx3.Lens1.RFIC0.Beam2.Power.TotalPower</t>
  </si>
  <si>
    <t>TLM_4_Tx3.Lens1.RFIC0.Beam3.Power.TotalPower</t>
  </si>
  <si>
    <t>TLM_4_Tx3.Lens1.RFIC0.Temps.Current</t>
  </si>
  <si>
    <t>TLM_4_Tx3.Lens2.RFIC0.Beam1.Power.TotalPower</t>
  </si>
  <si>
    <t>TLM_4_Tx3.Lens2.RFIC0.Beam2.Power.TotalPower</t>
  </si>
  <si>
    <t>TLM_4_Tx3.Lens2.RFIC0.Beam3.Power.TotalPower</t>
  </si>
  <si>
    <t>TLM_4_Tx3.Lens2.RFIC0.Temps.Current</t>
  </si>
  <si>
    <t>TLM_5_Rx1.Lens1.RFIC0.Beam1.Power.TotalPower</t>
  </si>
  <si>
    <t>TLM_5_Rx1.Lens1.RFIC0.Beam2.Power.TotalPower</t>
  </si>
  <si>
    <t>TLM_5_Rx1.Lens1.RFIC0.Beam3.Power.TotalPower</t>
  </si>
  <si>
    <t>TLM_5_Rx1.Lens1.RFIC0.Temps.Current</t>
  </si>
  <si>
    <t>TLM_5_Rx1.Lens2.RFIC0.Beam1.Power.TotalPower</t>
  </si>
  <si>
    <t>TLM_5_Rx1.Lens2.RFIC0.Beam2.Power.TotalPower</t>
  </si>
  <si>
    <t>TLM_5_Rx1.Lens2.RFIC0.Beam3.Power.TotalPower</t>
  </si>
  <si>
    <t>TLM_5_Rx1.Lens2.RFIC0.Temps.Current</t>
  </si>
  <si>
    <t>TLM_5_Rx2.Lens1.RFIC0.Beam1.Power.TotalPower</t>
  </si>
  <si>
    <t>TLM_5_Rx2.Lens1.RFIC0.Beam2.Power.TotalPower</t>
  </si>
  <si>
    <t>TLM_5_Rx2.Lens1.RFIC0.Beam3.Power.TotalPower</t>
  </si>
  <si>
    <t>TLM_5_Rx2.Lens1.RFIC0.Temps.Current</t>
  </si>
  <si>
    <t>TLM_5_Rx2.Lens2.RFIC0.Beam1.Power.TotalPower</t>
  </si>
  <si>
    <t>TLM_5_Rx2.Lens2.RFIC0.Beam2.Power.TotalPower</t>
  </si>
  <si>
    <t>TLM_5_Rx2.Lens2.RFIC0.Beam3.Power.TotalPower</t>
  </si>
  <si>
    <t>TLM_5_Rx2.Lens2.RFIC0.Temps.Current</t>
  </si>
  <si>
    <t>TLM_5_Rx3.Lens1.RFIC0.Beam1.Power.TotalPower</t>
  </si>
  <si>
    <t>TLM_5_Rx3.Lens1.RFIC0.Beam2.Power.TotalPower</t>
  </si>
  <si>
    <t>TLM_5_Rx3.Lens1.RFIC0.Beam3.Power.TotalPower</t>
  </si>
  <si>
    <t>TLM_5_Rx3.Lens1.RFIC0.Temps.Current</t>
  </si>
  <si>
    <t>TLM_5_Rx3.Lens2.RFIC0.Beam1.Power.TotalPower</t>
  </si>
  <si>
    <t>TLM_5_Rx3.Lens2.RFIC0.Beam2.Power.TotalPower</t>
  </si>
  <si>
    <t>TLM_5_Rx3.Lens2.RFIC0.Beam3.Power.TotalPower</t>
  </si>
  <si>
    <t>TLM_5_Rx3.Lens2.RFIC0.Temps.Current</t>
  </si>
  <si>
    <t>TLM_5_Tx1.Lens1.RFIC0.Beam1.Power.TotalPower</t>
  </si>
  <si>
    <t>TLM_5_Tx1.Lens1.RFIC0.Beam2.Power.TotalPower</t>
  </si>
  <si>
    <t>TLM_5_Tx1.Lens1.RFIC0.Beam3.Power.TotalPower</t>
  </si>
  <si>
    <t>TLM_5_Tx1.Lens1.RFIC0.Temps.Current</t>
  </si>
  <si>
    <t>TLM_5_Tx1.Lens2.RFIC0.Beam1.Power.TotalPower</t>
  </si>
  <si>
    <t>TLM_5_Tx1.Lens2.RFIC0.Beam2.Power.TotalPower</t>
  </si>
  <si>
    <t>TLM_5_Tx1.Lens2.RFIC0.Beam3.Power.TotalPower</t>
  </si>
  <si>
    <t>TLM_5_Tx1.Lens2.RFIC0.Temps.Current</t>
  </si>
  <si>
    <t>TLM_5_Tx2.Lens1.RFIC0.Beam1.Power.TotalPower</t>
  </si>
  <si>
    <t>TLM_5_Tx2.Lens1.RFIC0.Beam2.Power.TotalPower</t>
  </si>
  <si>
    <t>TLM_5_Tx2.Lens1.RFIC0.Beam3.Power.TotalPower</t>
  </si>
  <si>
    <t>TLM_5_Tx2.Lens1.RFIC0.Temps.Current</t>
  </si>
  <si>
    <t>TLM_5_Tx2.Lens2.RFIC0.Beam1.Power.TotalPower</t>
  </si>
  <si>
    <t>TLM_5_Tx2.Lens2.RFIC0.Beam2.Power.TotalPower</t>
  </si>
  <si>
    <t>TLM_5_Tx2.Lens2.RFIC0.Beam3.Power.TotalPower</t>
  </si>
  <si>
    <t>TLM_5_Tx2.Lens2.RFIC0.Temps.Current</t>
  </si>
  <si>
    <t>TLM_5_Tx3.Lens1.RFIC0.Beam1.Power.TotalPower</t>
  </si>
  <si>
    <t>TLM_5_Tx3.Lens1.RFIC0.Beam2.Power.TotalPower</t>
  </si>
  <si>
    <t>TLM_5_Tx3.Lens1.RFIC0.Beam3.Power.TotalPower</t>
  </si>
  <si>
    <t>TLM_5_Tx3.Lens1.RFIC0.Temps.Current</t>
  </si>
  <si>
    <t>TLM_5_Tx3.Lens2.RFIC0.Beam1.Power.TotalPower</t>
  </si>
  <si>
    <t>TLM_5_Tx3.Lens2.RFIC0.Beam2.Power.TotalPower</t>
  </si>
  <si>
    <t>TLM_5_Tx3.Lens2.RFIC0.Beam3.Power.TotalPower</t>
  </si>
  <si>
    <t>TLM_5_Tx3.Lens2.RFIC0.Temps.Current</t>
  </si>
  <si>
    <t>TLM_6_Rx1.Lens1.RFIC0.Beam1.Power.TotalPower</t>
  </si>
  <si>
    <t>TLM_6_Rx1.Lens1.RFIC0.Beam2.Power.TotalPower</t>
  </si>
  <si>
    <t>TLM_6_Rx1.Lens1.RFIC0.Beam3.Power.TotalPower</t>
  </si>
  <si>
    <t>TLM_6_Rx1.Lens1.RFIC0.Temps.Current</t>
  </si>
  <si>
    <t>TLM_6_Rx1.Lens2.RFIC0.Beam1.Power.TotalPower</t>
  </si>
  <si>
    <t>TLM_6_Rx1.Lens2.RFIC0.Beam2.Power.TotalPower</t>
  </si>
  <si>
    <t>TLM_6_Rx1.Lens2.RFIC0.Beam3.Power.TotalPower</t>
  </si>
  <si>
    <t>TLM_6_Rx1.Lens2.RFIC0.Temps.Current</t>
  </si>
  <si>
    <t>TLM_6_Rx2.Lens1.RFIC0.Beam1.Power.TotalPower</t>
  </si>
  <si>
    <t>TLM_6_Rx2.Lens1.RFIC0.Beam2.Power.TotalPower</t>
  </si>
  <si>
    <t>TLM_6_Rx2.Lens1.RFIC0.Beam3.Power.TotalPower</t>
  </si>
  <si>
    <t>TLM_6_Rx2.Lens1.RFIC0.Temps.Current</t>
  </si>
  <si>
    <t>TLM_6_Rx2.Lens2.RFIC0.Beam1.Power.TotalPower</t>
  </si>
  <si>
    <t>TLM_6_Rx2.Lens2.RFIC0.Beam2.Power.TotalPower</t>
  </si>
  <si>
    <t>TLM_6_Rx2.Lens2.RFIC0.Beam3.Power.TotalPower</t>
  </si>
  <si>
    <t>TLM_6_Rx2.Lens2.RFIC0.Temps.Current</t>
  </si>
  <si>
    <t>TLM_6_Rx3.Lens1.RFIC0.Beam1.Power.TotalPower</t>
  </si>
  <si>
    <t>TLM_6_Rx3.Lens1.RFIC0.Beam2.Power.TotalPower</t>
  </si>
  <si>
    <t>TLM_6_Rx3.Lens1.RFIC0.Beam3.Power.TotalPower</t>
  </si>
  <si>
    <t>TLM_6_Rx3.Lens1.RFIC0.Temps.Current</t>
  </si>
  <si>
    <t>TLM_6_Rx3.Lens2.RFIC0.Beam1.Power.TotalPower</t>
  </si>
  <si>
    <t>TLM_6_Rx3.Lens2.RFIC0.Beam2.Power.TotalPower</t>
  </si>
  <si>
    <t>TLM_6_Rx3.Lens2.RFIC0.Beam3.Power.TotalPower</t>
  </si>
  <si>
    <t>TLM_6_Rx3.Lens2.RFIC0.Temps.Current</t>
  </si>
  <si>
    <t>TLM_6_Tx1.Lens1.RFIC0.Beam1.Power.TotalPower</t>
  </si>
  <si>
    <t>TLM_6_Tx1.Lens1.RFIC0.Beam2.Power.TotalPower</t>
  </si>
  <si>
    <t>TLM_6_Tx1.Lens1.RFIC0.Beam3.Power.TotalPower</t>
  </si>
  <si>
    <t>TLM_6_Tx1.Lens1.RFIC0.Temps.Current</t>
  </si>
  <si>
    <t>TLM_6_Tx1.Lens2.RFIC0.Beam1.Power.TotalPower</t>
  </si>
  <si>
    <t>TLM_6_Tx1.Lens2.RFIC0.Beam2.Power.TotalPower</t>
  </si>
  <si>
    <t>TLM_6_Tx1.Lens2.RFIC0.Beam3.Power.TotalPower</t>
  </si>
  <si>
    <t>TLM_6_Tx1.Lens2.RFIC0.Temps.Current</t>
  </si>
  <si>
    <t>TLM_6_Tx2.Lens1.RFIC0.Beam1.Power.TotalPower</t>
  </si>
  <si>
    <t>TLM_6_Tx2.Lens1.RFIC0.Beam2.Power.TotalPower</t>
  </si>
  <si>
    <t>TLM_6_Tx2.Lens1.RFIC0.Beam3.Power.TotalPower</t>
  </si>
  <si>
    <t>TLM_6_Tx2.Lens1.RFIC0.Temps.Current</t>
  </si>
  <si>
    <t>TLM_6_Tx2.Lens2.RFIC0.Beam1.Power.TotalPower</t>
  </si>
  <si>
    <t>TLM_6_Tx2.Lens2.RFIC0.Beam2.Power.TotalPower</t>
  </si>
  <si>
    <t>TLM_6_Tx2.Lens2.RFIC0.Beam3.Power.TotalPower</t>
  </si>
  <si>
    <t>TLM_6_Tx2.Lens2.RFIC0.Temps.Current</t>
  </si>
  <si>
    <t>TLM_6_Tx3.Lens1.RFIC0.Beam1.Power.TotalPower</t>
  </si>
  <si>
    <t>TLM_6_Tx3.Lens1.RFIC0.Beam2.Power.TotalPower</t>
  </si>
  <si>
    <t>TLM_6_Tx3.Lens1.RFIC0.Beam3.Power.TotalPower</t>
  </si>
  <si>
    <t>TLM_6_Tx3.Lens1.RFIC0.Temps.Current</t>
  </si>
  <si>
    <t>TLM_6_Tx3.Lens2.RFIC0.Beam1.Power.TotalPower</t>
  </si>
  <si>
    <t>TLM_6_Tx3.Lens2.RFIC0.Beam2.Power.TotalPower</t>
  </si>
  <si>
    <t>TLM_6_Tx3.Lens2.RFIC0.Beam3.Power.TotalPower</t>
  </si>
  <si>
    <t>TLM_6_Tx3.Lens2.RFIC0.Temps.Current</t>
  </si>
  <si>
    <t>logStatusMPB</t>
  </si>
  <si>
    <t>bayPower</t>
  </si>
  <si>
    <t>bayState</t>
  </si>
  <si>
    <t>devicePower</t>
  </si>
  <si>
    <t>id</t>
  </si>
  <si>
    <t>present</t>
  </si>
  <si>
    <t>temp</t>
  </si>
  <si>
    <t>logStatusTLM</t>
  </si>
  <si>
    <t>TLM_1_Rx1.PsuMeasurements.1v.Amps.Now</t>
  </si>
  <si>
    <t>TLM_1_Rx1.PsuMeasurements.1v.Volts.Now</t>
  </si>
  <si>
    <t>TLM_1_Rx1.PsuMeasurements.1v5.Amps.Now</t>
  </si>
  <si>
    <t>TLM_1_Rx1.PsuMeasurements.1v5.Volts.Now</t>
  </si>
  <si>
    <t>TLM_1_Rx1.PsuMeasurements.36v.Amps.Now</t>
  </si>
  <si>
    <t>TLM_1_Rx1.PsuMeasurements.36v.Volts.Now</t>
  </si>
  <si>
    <t>TLM_1_Rx2.PsuMeasurements.1v.Amps.Now</t>
  </si>
  <si>
    <t>TLM_1_Rx2.PsuMeasurements.1v.Volts.Now</t>
  </si>
  <si>
    <t>TLM_1_Rx2.PsuMeasurements.1v5.Amps.Now</t>
  </si>
  <si>
    <t>TLM_1_Rx2.PsuMeasurements.1v5.Volts.Now</t>
  </si>
  <si>
    <t>TLM_1_Rx2.PsuMeasurements.36v.Amps.Now</t>
  </si>
  <si>
    <t>TLM_1_Rx2.PsuMeasurements.36v.Volts.Now</t>
  </si>
  <si>
    <t>TLM_1_Rx3.PsuMeasurements.1v.Amps.Now</t>
  </si>
  <si>
    <t>TLM_1_Rx3.PsuMeasurements.1v.Volts.Now</t>
  </si>
  <si>
    <t>TLM_1_Rx3.PsuMeasurements.1v5.Amps.Now</t>
  </si>
  <si>
    <t>TLM_1_Rx3.PsuMeasurements.1v5.Volts.Now</t>
  </si>
  <si>
    <t>TLM_1_Rx3.PsuMeasurements.36v.Amps.Now</t>
  </si>
  <si>
    <t>TLM_1_Rx3.PsuMeasurements.36v.Volts.Now</t>
  </si>
  <si>
    <t>TLM_1_Tx1.PsuMeasurements.1v8.Volts.Now</t>
  </si>
  <si>
    <t>TLM_1_Tx1.PsuMeasurements.1v8_A.Amps.Now</t>
  </si>
  <si>
    <t>TLM_1_Tx1.PsuMeasurements.1v8_B.Amps.Now</t>
  </si>
  <si>
    <t>TLM_1_Tx1.PsuMeasurements.1v8_C.Amps.Now</t>
  </si>
  <si>
    <t>TLM_1_Tx1.PsuMeasurements.36v.Amps.Now</t>
  </si>
  <si>
    <t>TLM_1_Tx1.PsuMeasurements.4v.Volts.Now</t>
  </si>
  <si>
    <t>TLM_1_Tx1.PsuMeasurements.4v_A.Amps.Now</t>
  </si>
  <si>
    <t>TLM_1_Tx1.PsuMeasurements.4v_B.Amps.Now</t>
  </si>
  <si>
    <t>TLM_1_Tx1.PsuMeasurements.4v_C.Amps.Now</t>
  </si>
  <si>
    <t>TLM_1_Tx2.PsuMeasurements.1v8.Volts.Now</t>
  </si>
  <si>
    <t>TLM_1_Tx2.PsuMeasurements.1v8_A.Amps.Now</t>
  </si>
  <si>
    <t>TLM_1_Tx2.PsuMeasurements.1v8_B.Amps.Now</t>
  </si>
  <si>
    <t>TLM_1_Tx2.PsuMeasurements.1v8_C.Amps.Now</t>
  </si>
  <si>
    <t>TLM_1_Tx2.PsuMeasurements.36v.Amps.Now</t>
  </si>
  <si>
    <t>TLM_1_Tx2.PsuMeasurements.4v.Volts.Now</t>
  </si>
  <si>
    <t>TLM_1_Tx2.PsuMeasurements.4v_A.Amps.Now</t>
  </si>
  <si>
    <t>TLM_1_Tx2.PsuMeasurements.4v_B.Amps.Now</t>
  </si>
  <si>
    <t>TLM_1_Tx2.PsuMeasurements.4v_C.Amps.Now</t>
  </si>
  <si>
    <t>TLM_1_Tx3.PsuMeasurements.1v8.Volts.Now</t>
  </si>
  <si>
    <t>TLM_1_Tx3.PsuMeasurements.1v8_A.Amps.Now</t>
  </si>
  <si>
    <t>TLM_1_Tx3.PsuMeasurements.1v8_B.Amps.Now</t>
  </si>
  <si>
    <t>TLM_1_Tx3.PsuMeasurements.1v8_C.Amps.Now</t>
  </si>
  <si>
    <t>TLM_1_Tx3.PsuMeasurements.36v.Amps.Now</t>
  </si>
  <si>
    <t>TLM_1_Tx3.PsuMeasurements.4v.Volts.Now</t>
  </si>
  <si>
    <t>TLM_1_Tx3.PsuMeasurements.4v_A.Amps.Now</t>
  </si>
  <si>
    <t>TLM_1_Tx3.PsuMeasurements.4v_B.Amps.Now</t>
  </si>
  <si>
    <t>TLM_1_Tx3.PsuMeasurements.4v_C.Amps.Now</t>
  </si>
  <si>
    <t>TLM_2_Rx1.PsuMeasurements.1v.Amps.Now</t>
  </si>
  <si>
    <t>TLM_2_Rx1.PsuMeasurements.1v.Volts.Now</t>
  </si>
  <si>
    <t>TLM_2_Rx1.PsuMeasurements.1v5.Amps.Now</t>
  </si>
  <si>
    <t>TLM_2_Rx1.PsuMeasurements.1v5.Volts.Now</t>
  </si>
  <si>
    <t>TLM_2_Rx1.PsuMeasurements.36v.Amps.Now</t>
  </si>
  <si>
    <t>TLM_2_Rx1.PsuMeasurements.36v.Volts.Now</t>
  </si>
  <si>
    <t>TLM_2_Rx2.PsuMeasurements.1v.Amps.Now</t>
  </si>
  <si>
    <t>TLM_2_Rx2.PsuMeasurements.1v.Volts.Now</t>
  </si>
  <si>
    <t>TLM_2_Rx2.PsuMeasurements.1v5.Amps.Now</t>
  </si>
  <si>
    <t>TLM_2_Rx2.PsuMeasurements.1v5.Volts.Now</t>
  </si>
  <si>
    <t>TLM_2_Rx2.PsuMeasurements.36v.Amps.Now</t>
  </si>
  <si>
    <t>TLM_2_Rx2.PsuMeasurements.36v.Volts.Now</t>
  </si>
  <si>
    <t>TLM_2_Rx3.PsuMeasurements.1v.Amps.Now</t>
  </si>
  <si>
    <t>TLM_2_Rx3.PsuMeasurements.1v.Volts.Now</t>
  </si>
  <si>
    <t>TLM_2_Rx3.PsuMeasurements.1v5.Amps.Now</t>
  </si>
  <si>
    <t>TLM_2_Rx3.PsuMeasurements.1v5.Volts.Now</t>
  </si>
  <si>
    <t>TLM_2_Rx3.PsuMeasurements.36v.Amps.Now</t>
  </si>
  <si>
    <t>TLM_2_Rx3.PsuMeasurements.36v.Volts.Now</t>
  </si>
  <si>
    <t>TLM_2_Tx1.PsuMeasurements.1v8.Volts.Now</t>
  </si>
  <si>
    <t>TLM_2_Tx1.PsuMeasurements.1v8_A.Amps.Now</t>
  </si>
  <si>
    <t>TLM_2_Tx1.PsuMeasurements.1v8_B.Amps.Now</t>
  </si>
  <si>
    <t>TLM_2_Tx1.PsuMeasurements.1v8_C.Amps.Now</t>
  </si>
  <si>
    <t>TLM_2_Tx1.PsuMeasurements.36v.Amps.Now</t>
  </si>
  <si>
    <t>TLM_2_Tx1.PsuMeasurements.4v.Volts.Now</t>
  </si>
  <si>
    <t>TLM_2_Tx1.PsuMeasurements.4v_A.Amps.Now</t>
  </si>
  <si>
    <t>TLM_2_Tx1.PsuMeasurements.4v_B.Amps.Now</t>
  </si>
  <si>
    <t>TLM_2_Tx1.PsuMeasurements.4v_C.Amps.Now</t>
  </si>
  <si>
    <t>TLM_2_Tx2.PsuMeasurements.1v8.Volts.Now</t>
  </si>
  <si>
    <t>TLM_2_Tx2.PsuMeasurements.1v8_A.Amps.Now</t>
  </si>
  <si>
    <t>TLM_2_Tx2.PsuMeasurements.1v8_B.Amps.Now</t>
  </si>
  <si>
    <t>TLM_2_Tx2.PsuMeasurements.1v8_C.Amps.Now</t>
  </si>
  <si>
    <t>TLM_2_Tx2.PsuMeasurements.36v.Amps.Now</t>
  </si>
  <si>
    <t>TLM_2_Tx2.PsuMeasurements.4v.Volts.Now</t>
  </si>
  <si>
    <t>TLM_2_Tx2.PsuMeasurements.4v_A.Amps.Now</t>
  </si>
  <si>
    <t>TLM_2_Tx2.PsuMeasurements.4v_B.Amps.Now</t>
  </si>
  <si>
    <t>TLM_2_Tx2.PsuMeasurements.4v_C.Amps.Now</t>
  </si>
  <si>
    <t>TLM_2_Tx3.PsuMeasurements.1v8.Volts.Now</t>
  </si>
  <si>
    <t>TLM_2_Tx3.PsuMeasurements.1v8_A.Amps.Now</t>
  </si>
  <si>
    <t>TLM_2_Tx3.PsuMeasurements.1v8_B.Amps.Now</t>
  </si>
  <si>
    <t>TLM_2_Tx3.PsuMeasurements.1v8_C.Amps.Now</t>
  </si>
  <si>
    <t>TLM_2_Tx3.PsuMeasurements.36v.Amps.Now</t>
  </si>
  <si>
    <t>TLM_2_Tx3.PsuMeasurements.4v.Volts.Now</t>
  </si>
  <si>
    <t>TLM_2_Tx3.PsuMeasurements.4v_A.Amps.Now</t>
  </si>
  <si>
    <t>TLM_2_Tx3.PsuMeasurements.4v_B.Amps.Now</t>
  </si>
  <si>
    <t>TLM_2_Tx3.PsuMeasurements.4v_C.Amps.Now</t>
  </si>
  <si>
    <t>TLM_3_Rx1.PsuMeasurements.1v.Amps.Now</t>
  </si>
  <si>
    <t>TLM_3_Rx1.PsuMeasurements.1v.Volts.Now</t>
  </si>
  <si>
    <t>TLM_3_Rx1.PsuMeasurements.1v5.Amps.Now</t>
  </si>
  <si>
    <t>TLM_3_Rx1.PsuMeasurements.1v5.Volts.Now</t>
  </si>
  <si>
    <t>TLM_3_Rx1.PsuMeasurements.36v.Amps.Now</t>
  </si>
  <si>
    <t>TLM_3_Rx1.PsuMeasurements.36v.Volts.Now</t>
  </si>
  <si>
    <t>TLM_3_Rx2.PsuMeasurements.1v.Amps.Now</t>
  </si>
  <si>
    <t>TLM_3_Rx2.PsuMeasurements.1v.Volts.Now</t>
  </si>
  <si>
    <t>TLM_3_Rx2.PsuMeasurements.1v5.Amps.Now</t>
  </si>
  <si>
    <t>TLM_3_Rx2.PsuMeasurements.1v5.Volts.Now</t>
  </si>
  <si>
    <t>TLM_3_Rx2.PsuMeasurements.36v.Amps.Now</t>
  </si>
  <si>
    <t>TLM_3_Rx2.PsuMeasurements.36v.Volts.Now</t>
  </si>
  <si>
    <t>TLM_3_Rx3.PsuMeasurements.1v.Amps.Now</t>
  </si>
  <si>
    <t>TLM_3_Rx3.PsuMeasurements.1v.Volts.Now</t>
  </si>
  <si>
    <t>TLM_3_Rx3.PsuMeasurements.1v5.Amps.Now</t>
  </si>
  <si>
    <t>TLM_3_Rx3.PsuMeasurements.1v5.Volts.Now</t>
  </si>
  <si>
    <t>TLM_3_Rx3.PsuMeasurements.36v.Amps.Now</t>
  </si>
  <si>
    <t>TLM_3_Rx3.PsuMeasurements.36v.Volts.Now</t>
  </si>
  <si>
    <t>TLM_3_Tx1.PsuMeasurements.1v8.Volts.Now</t>
  </si>
  <si>
    <t>TLM_3_Tx1.PsuMeasurements.1v8_A.Amps.Now</t>
  </si>
  <si>
    <t>TLM_3_Tx1.PsuMeasurements.1v8_B.Amps.Now</t>
  </si>
  <si>
    <t>TLM_3_Tx1.PsuMeasurements.1v8_C.Amps.Now</t>
  </si>
  <si>
    <t>TLM_3_Tx1.PsuMeasurements.36v.Amps.Now</t>
  </si>
  <si>
    <t>TLM_3_Tx1.PsuMeasurements.4v.Volts.Now</t>
  </si>
  <si>
    <t>TLM_3_Tx1.PsuMeasurements.4v_A.Amps.Now</t>
  </si>
  <si>
    <t>TLM_3_Tx1.PsuMeasurements.4v_B.Amps.Now</t>
  </si>
  <si>
    <t>TLM_3_Tx1.PsuMeasurements.4v_C.Amps.Now</t>
  </si>
  <si>
    <t>TLM_3_Tx2.PsuMeasurements.1v8.Volts.Now</t>
  </si>
  <si>
    <t>TLM_3_Tx2.PsuMeasurements.1v8_A.Amps.Now</t>
  </si>
  <si>
    <t>TLM_3_Tx2.PsuMeasurements.1v8_B.Amps.Now</t>
  </si>
  <si>
    <t>TLM_3_Tx2.PsuMeasurements.1v8_C.Amps.Now</t>
  </si>
  <si>
    <t>TLM_3_Tx2.PsuMeasurements.36v.Amps.Now</t>
  </si>
  <si>
    <t>TLM_3_Tx2.PsuMeasurements.4v.Volts.Now</t>
  </si>
  <si>
    <t>TLM_3_Tx2.PsuMeasurements.4v_A.Amps.Now</t>
  </si>
  <si>
    <t>TLM_3_Tx2.PsuMeasurements.4v_B.Amps.Now</t>
  </si>
  <si>
    <t>TLM_3_Tx2.PsuMeasurements.4v_C.Amps.Now</t>
  </si>
  <si>
    <t>TLM_3_Tx3.PsuMeasurements.1v8.Volts.Now</t>
  </si>
  <si>
    <t>TLM_3_Tx3.PsuMeasurements.1v8_A.Amps.Now</t>
  </si>
  <si>
    <t>TLM_3_Tx3.PsuMeasurements.1v8_B.Amps.Now</t>
  </si>
  <si>
    <t>TLM_3_Tx3.PsuMeasurements.1v8_C.Amps.Now</t>
  </si>
  <si>
    <t>TLM_3_Tx3.PsuMeasurements.36v.Amps.Now</t>
  </si>
  <si>
    <t>TLM_3_Tx3.PsuMeasurements.4v.Volts.Now</t>
  </si>
  <si>
    <t>TLM_3_Tx3.PsuMeasurements.4v_A.Amps.Now</t>
  </si>
  <si>
    <t>TLM_3_Tx3.PsuMeasurements.4v_B.Amps.Now</t>
  </si>
  <si>
    <t>TLM_3_Tx3.PsuMeasurements.4v_C.Amps.Now</t>
  </si>
  <si>
    <t>TLM_4_Rx1.PsuMeasurements.1v.Amps.Now</t>
  </si>
  <si>
    <t>TLM_4_Rx1.PsuMeasurements.1v.Volts.Now</t>
  </si>
  <si>
    <t>TLM_4_Rx1.PsuMeasurements.1v5.Amps.Now</t>
  </si>
  <si>
    <t>TLM_4_Rx1.PsuMeasurements.1v5.Volts.Now</t>
  </si>
  <si>
    <t>TLM_4_Rx1.PsuMeasurements.36v.Amps.Now</t>
  </si>
  <si>
    <t>TLM_4_Rx1.PsuMeasurements.36v.Volts.Now</t>
  </si>
  <si>
    <t>TLM_4_Rx2.PsuMeasurements.1v.Amps.Now</t>
  </si>
  <si>
    <t>TLM_4_Rx2.PsuMeasurements.1v.Volts.Now</t>
  </si>
  <si>
    <t>TLM_4_Rx2.PsuMeasurements.1v5.Amps.Now</t>
  </si>
  <si>
    <t>TLM_4_Rx2.PsuMeasurements.1v5.Volts.Now</t>
  </si>
  <si>
    <t>TLM_4_Rx2.PsuMeasurements.36v.Amps.Now</t>
  </si>
  <si>
    <t>TLM_4_Rx2.PsuMeasurements.36v.Volts.Now</t>
  </si>
  <si>
    <t>TLM_4_Rx3.PsuMeasurements.1v.Amps.Now</t>
  </si>
  <si>
    <t>TLM_4_Rx3.PsuMeasurements.1v.Volts.Now</t>
  </si>
  <si>
    <t>TLM_4_Rx3.PsuMeasurements.1v5.Amps.Now</t>
  </si>
  <si>
    <t>TLM_4_Rx3.PsuMeasurements.1v5.Volts.Now</t>
  </si>
  <si>
    <t>TLM_4_Rx3.PsuMeasurements.36v.Amps.Now</t>
  </si>
  <si>
    <t>TLM_4_Rx3.PsuMeasurements.36v.Volts.Now</t>
  </si>
  <si>
    <t>TLM_4_Tx1.PsuMeasurements.1v8.Volts.Now</t>
  </si>
  <si>
    <t>TLM_4_Tx1.PsuMeasurements.1v8_A.Amps.Now</t>
  </si>
  <si>
    <t>TLM_4_Tx1.PsuMeasurements.1v8_B.Amps.Now</t>
  </si>
  <si>
    <t>TLM_4_Tx1.PsuMeasurements.1v8_C.Amps.Now</t>
  </si>
  <si>
    <t>TLM_4_Tx1.PsuMeasurements.36v.Amps.Now</t>
  </si>
  <si>
    <t>TLM_4_Tx1.PsuMeasurements.4v.Volts.Now</t>
  </si>
  <si>
    <t>TLM_4_Tx1.PsuMeasurements.4v_A.Amps.Now</t>
  </si>
  <si>
    <t>TLM_4_Tx1.PsuMeasurements.4v_B.Amps.Now</t>
  </si>
  <si>
    <t>TLM_4_Tx1.PsuMeasurements.4v_C.Amps.Now</t>
  </si>
  <si>
    <t>TLM_4_Tx2.PsuMeasurements.1v8.Volts.Now</t>
  </si>
  <si>
    <t>TLM_4_Tx2.PsuMeasurements.1v8_A.Amps.Now</t>
  </si>
  <si>
    <t>TLM_4_Tx2.PsuMeasurements.1v8_B.Amps.Now</t>
  </si>
  <si>
    <t>TLM_4_Tx2.PsuMeasurements.1v8_C.Amps.Now</t>
  </si>
  <si>
    <t>TLM_4_Tx2.PsuMeasurements.36v.Amps.Now</t>
  </si>
  <si>
    <t>TLM_4_Tx2.PsuMeasurements.4v.Volts.Now</t>
  </si>
  <si>
    <t>TLM_4_Tx2.PsuMeasurements.4v_A.Amps.Now</t>
  </si>
  <si>
    <t>TLM_4_Tx2.PsuMeasurements.4v_B.Amps.Now</t>
  </si>
  <si>
    <t>TLM_4_Tx2.PsuMeasurements.4v_C.Amps.Now</t>
  </si>
  <si>
    <t>TLM_4_Tx3.PsuMeasurements.1v8.Volts.Now</t>
  </si>
  <si>
    <t>TLM_4_Tx3.PsuMeasurements.1v8_A.Amps.Now</t>
  </si>
  <si>
    <t>TLM_4_Tx3.PsuMeasurements.1v8_B.Amps.Now</t>
  </si>
  <si>
    <t>TLM_4_Tx3.PsuMeasurements.1v8_C.Amps.Now</t>
  </si>
  <si>
    <t>TLM_4_Tx3.PsuMeasurements.36v.Amps.Now</t>
  </si>
  <si>
    <t>TLM_4_Tx3.PsuMeasurements.4v.Volts.Now</t>
  </si>
  <si>
    <t>TLM_4_Tx3.PsuMeasurements.4v_A.Amps.Now</t>
  </si>
  <si>
    <t>TLM_4_Tx3.PsuMeasurements.4v_B.Amps.Now</t>
  </si>
  <si>
    <t>TLM_4_Tx3.PsuMeasurements.4v_C.Amps.Now</t>
  </si>
  <si>
    <t>TLM_5_Rx1.PsuMeasurements.1v.Amps.Now</t>
  </si>
  <si>
    <t>TLM_5_Rx1.PsuMeasurements.1v.Volts.Now</t>
  </si>
  <si>
    <t>TLM_5_Rx1.PsuMeasurements.1v5.Amps.Now</t>
  </si>
  <si>
    <t>TLM_5_Rx1.PsuMeasurements.1v5.Volts.Now</t>
  </si>
  <si>
    <t>TLM_5_Rx1.PsuMeasurements.36v.Amps.Now</t>
  </si>
  <si>
    <t>TLM_5_Rx1.PsuMeasurements.36v.Volts.Now</t>
  </si>
  <si>
    <t>TLM_5_Rx2.PsuMeasurements.1v.Amps.Now</t>
  </si>
  <si>
    <t>TLM_5_Rx2.PsuMeasurements.1v.Volts.Now</t>
  </si>
  <si>
    <t>TLM_5_Rx2.PsuMeasurements.1v5.Amps.Now</t>
  </si>
  <si>
    <t>TLM_5_Rx2.PsuMeasurements.1v5.Volts.Now</t>
  </si>
  <si>
    <t>TLM_5_Rx2.PsuMeasurements.36v.Amps.Now</t>
  </si>
  <si>
    <t>TLM_5_Rx2.PsuMeasurements.36v.Volts.Now</t>
  </si>
  <si>
    <t>TLM_5_Rx3.PsuMeasurements.1v.Amps.Now</t>
  </si>
  <si>
    <t>TLM_5_Rx3.PsuMeasurements.1v.Volts.Now</t>
  </si>
  <si>
    <t>TLM_5_Rx3.PsuMeasurements.1v5.Amps.Now</t>
  </si>
  <si>
    <t>TLM_5_Rx3.PsuMeasurements.1v5.Volts.Now</t>
  </si>
  <si>
    <t>TLM_5_Rx3.PsuMeasurements.36v.Amps.Now</t>
  </si>
  <si>
    <t>TLM_5_Rx3.PsuMeasurements.36v.Volts.Now</t>
  </si>
  <si>
    <t>TLM_5_Tx1.PsuMeasurements.1v8.Volts.Now</t>
  </si>
  <si>
    <t>TLM_5_Tx1.PsuMeasurements.1v8_A.Amps.Now</t>
  </si>
  <si>
    <t>TLM_5_Tx1.PsuMeasurements.1v8_B.Amps.Now</t>
  </si>
  <si>
    <t>TLM_5_Tx1.PsuMeasurements.1v8_C.Amps.Now</t>
  </si>
  <si>
    <t>TLM_5_Tx1.PsuMeasurements.36v.Amps.Now</t>
  </si>
  <si>
    <t>TLM_5_Tx1.PsuMeasurements.4v.Volts.Now</t>
  </si>
  <si>
    <t>TLM_5_Tx1.PsuMeasurements.4v_A.Amps.Now</t>
  </si>
  <si>
    <t>TLM_5_Tx1.PsuMeasurements.4v_B.Amps.Now</t>
  </si>
  <si>
    <t>TLM_5_Tx1.PsuMeasurements.4v_C.Amps.Now</t>
  </si>
  <si>
    <t>TLM_5_Tx2.PsuMeasurements.1v8.Volts.Now</t>
  </si>
  <si>
    <t>TLM_5_Tx2.PsuMeasurements.1v8_A.Amps.Now</t>
  </si>
  <si>
    <t>TLM_5_Tx2.PsuMeasurements.1v8_B.Amps.Now</t>
  </si>
  <si>
    <t>TLM_5_Tx2.PsuMeasurements.1v8_C.Amps.Now</t>
  </si>
  <si>
    <t>TLM_5_Tx2.PsuMeasurements.36v.Amps.Now</t>
  </si>
  <si>
    <t>TLM_5_Tx2.PsuMeasurements.4v.Volts.Now</t>
  </si>
  <si>
    <t>TLM_5_Tx2.PsuMeasurements.4v_A.Amps.Now</t>
  </si>
  <si>
    <t>TLM_5_Tx2.PsuMeasurements.4v_B.Amps.Now</t>
  </si>
  <si>
    <t>TLM_5_Tx2.PsuMeasurements.4v_C.Amps.Now</t>
  </si>
  <si>
    <t>TLM_5_Tx3.PsuMeasurements.1v8.Volts.Now</t>
  </si>
  <si>
    <t>TLM_5_Tx3.PsuMeasurements.1v8_A.Amps.Now</t>
  </si>
  <si>
    <t>TLM_5_Tx3.PsuMeasurements.1v8_B.Amps.Now</t>
  </si>
  <si>
    <t>TLM_5_Tx3.PsuMeasurements.1v8_C.Amps.Now</t>
  </si>
  <si>
    <t>TLM_5_Tx3.PsuMeasurements.36v.Amps.Now</t>
  </si>
  <si>
    <t>TLM_5_Tx3.PsuMeasurements.4v.Volts.Now</t>
  </si>
  <si>
    <t>TLM_5_Tx3.PsuMeasurements.4v_A.Amps.Now</t>
  </si>
  <si>
    <t>TLM_5_Tx3.PsuMeasurements.4v_B.Amps.Now</t>
  </si>
  <si>
    <t>TLM_5_Tx3.PsuMeasurements.4v_C.Amps.Now</t>
  </si>
  <si>
    <t>TLM_6_Rx1.PsuMeasurements.1v.Amps.Now</t>
  </si>
  <si>
    <t>TLM_6_Rx1.PsuMeasurements.1v.Volts.Now</t>
  </si>
  <si>
    <t>TLM_6_Rx1.PsuMeasurements.1v5.Amps.Now</t>
  </si>
  <si>
    <t>TLM_6_Rx1.PsuMeasurements.1v5.Volts.Now</t>
  </si>
  <si>
    <t>TLM_6_Rx1.PsuMeasurements.36v.Amps.Now</t>
  </si>
  <si>
    <t>TLM_6_Rx1.PsuMeasurements.36v.Volts.Now</t>
  </si>
  <si>
    <t>TLM_6_Rx2.PsuMeasurements.1v.Amps.Now</t>
  </si>
  <si>
    <t>TLM_6_Rx2.PsuMeasurements.1v.Volts.Now</t>
  </si>
  <si>
    <t>TLM_6_Rx2.PsuMeasurements.1v5.Amps.Now</t>
  </si>
  <si>
    <t>TLM_6_Rx2.PsuMeasurements.1v5.Volts.Now</t>
  </si>
  <si>
    <t>TLM_6_Rx2.PsuMeasurements.36v.Amps.Now</t>
  </si>
  <si>
    <t>TLM_6_Rx2.PsuMeasurements.36v.Volts.Now</t>
  </si>
  <si>
    <t>TLM_6_Rx3.PsuMeasurements.1v.Amps.Now</t>
  </si>
  <si>
    <t>TLM_6_Rx3.PsuMeasurements.1v.Volts.Now</t>
  </si>
  <si>
    <t>TLM_6_Rx3.PsuMeasurements.1v5.Amps.Now</t>
  </si>
  <si>
    <t>TLM_6_Rx3.PsuMeasurements.1v5.Volts.Now</t>
  </si>
  <si>
    <t>TLM_6_Rx3.PsuMeasurements.36v.Amps.Now</t>
  </si>
  <si>
    <t>TLM_6_Rx3.PsuMeasurements.36v.Volts.Now</t>
  </si>
  <si>
    <t>TLM_6_Tx1.PsuMeasurements.1v8.Volts.Now</t>
  </si>
  <si>
    <t>TLM_6_Tx1.PsuMeasurements.1v8_A.Amps.Now</t>
  </si>
  <si>
    <t>TLM_6_Tx1.PsuMeasurements.1v8_B.Amps.Now</t>
  </si>
  <si>
    <t>TLM_6_Tx1.PsuMeasurements.1v8_C.Amps.Now</t>
  </si>
  <si>
    <t>TLM_6_Tx1.PsuMeasurements.36v.Amps.Now</t>
  </si>
  <si>
    <t>TLM_6_Tx1.PsuMeasurements.4v.Volts.Now</t>
  </si>
  <si>
    <t>TLM_6_Tx1.PsuMeasurements.4v_A.Amps.Now</t>
  </si>
  <si>
    <t>TLM_6_Tx1.PsuMeasurements.4v_B.Amps.Now</t>
  </si>
  <si>
    <t>TLM_6_Tx1.PsuMeasurements.4v_C.Amps.Now</t>
  </si>
  <si>
    <t>TLM_6_Tx2.PsuMeasurements.1v8.Volts.Now</t>
  </si>
  <si>
    <t>TLM_6_Tx2.PsuMeasurements.1v8_A.Amps.Now</t>
  </si>
  <si>
    <t>TLM_6_Tx2.PsuMeasurements.1v8_B.Amps.Now</t>
  </si>
  <si>
    <t>TLM_6_Tx2.PsuMeasurements.1v8_C.Amps.Now</t>
  </si>
  <si>
    <t>TLM_6_Tx2.PsuMeasurements.36v.Amps.Now</t>
  </si>
  <si>
    <t>TLM_6_Tx2.PsuMeasurements.4v.Volts.Now</t>
  </si>
  <si>
    <t>TLM_6_Tx2.PsuMeasurements.4v_A.Amps.Now</t>
  </si>
  <si>
    <t>TLM_6_Tx2.PsuMeasurements.4v_B.Amps.Now</t>
  </si>
  <si>
    <t>TLM_6_Tx2.PsuMeasurements.4v_C.Amps.Now</t>
  </si>
  <si>
    <t>TLM_6_Tx3.PsuMeasurements.1v8.Volts.Now</t>
  </si>
  <si>
    <t>TLM_6_Tx3.PsuMeasurements.1v8_A.Amps.Now</t>
  </si>
  <si>
    <t>TLM_6_Tx3.PsuMeasurements.1v8_B.Amps.Now</t>
  </si>
  <si>
    <t>TLM_6_Tx3.PsuMeasurements.1v8_C.Amps.Now</t>
  </si>
  <si>
    <t>TLM_6_Tx3.PsuMeasurements.36v.Amps.Now</t>
  </si>
  <si>
    <t>TLM_6_Tx3.PsuMeasurements.4v.Volts.Now</t>
  </si>
  <si>
    <t>TLM_6_Tx3.PsuMeasurements.4v_A.Amps.Now</t>
  </si>
  <si>
    <t>TLM_6_Tx3.PsuMeasurements.4v_B.Amps.Now</t>
  </si>
  <si>
    <t>TLM_6_Tx3.PsuMeasurements.4v_C.Amps.Now</t>
  </si>
  <si>
    <t>logStatusVN300</t>
  </si>
  <si>
    <t>ACU.Vn300Device.FirmwareVersion</t>
  </si>
  <si>
    <t>ACU.Vn300Device.ImuTemperature</t>
  </si>
  <si>
    <t>ACU.Vn300Device.InsStatusMode</t>
  </si>
  <si>
    <t>ACU.Vn300Device.ModelNumber</t>
  </si>
  <si>
    <t>ACU.Vn300Device.SerialNumber</t>
  </si>
  <si>
    <t>Prod Lower House CCU</t>
  </si>
  <si>
    <t>NPI Pre Check NO TLMs</t>
  </si>
  <si>
    <t>NPI Pre Check NO</t>
  </si>
  <si>
    <t>NPI Pre Check TLMs</t>
  </si>
  <si>
    <t>meas_no</t>
  </si>
  <si>
    <t>limits_found</t>
  </si>
  <si>
    <t>percentage_limits</t>
  </si>
  <si>
    <t>limits_available</t>
  </si>
  <si>
    <t>percentage_values</t>
  </si>
  <si>
    <t>limit_found</t>
  </si>
  <si>
    <t>limit_available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</si>
</sst>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34"/>
  <sheetViews>
    <sheetView tabSelected="1" workbookViewId="0">
      <selection activeCell="S5" sqref="S5"/>
    </sheetView>
  </sheetViews>
  <sheetFormatPr defaultRowHeight="14.5" x14ac:dyDescent="0.35"/>
  <cols>
    <col min="2" max="2" width="22.453125" bestFit="1" customWidth="1"/>
    <col min="3" max="3" width="20.36328125" bestFit="1" customWidth="1"/>
    <col min="4" max="4" width="43.6328125" bestFit="1" customWidth="1"/>
    <col min="5" max="5" width="12.453125" bestFit="1" customWidth="1"/>
    <col min="6" max="6" width="11.81640625" bestFit="1" customWidth="1"/>
    <col min="7" max="7" width="2.81640625" bestFit="1" customWidth="1"/>
    <col min="8" max="8" width="12.54296875" bestFit="1" customWidth="1"/>
    <col min="9" max="9" width="7.54296875" bestFit="1" customWidth="1"/>
    <col min="10" max="10" width="7.90625" bestFit="1" customWidth="1"/>
    <col min="11" max="11" width="7.54296875" bestFit="1" customWidth="1"/>
    <col min="12" max="12" width="9.08984375" bestFit="1" customWidth="1"/>
    <col min="13" max="14" width="12.453125" bestFit="1" customWidth="1"/>
    <col min="15" max="15" width="11.81640625" bestFit="1" customWidth="1"/>
    <col min="16" max="16" width="12.453125" bestFit="1" customWidth="1"/>
    <col min="17" max="17" width="20.26953125" bestFit="1" customWidth="1"/>
    <col min="18" max="18" width="10.54296875" bestFit="1" customWidth="1"/>
    <col min="19" max="19" width="13" bestFit="1" customWidth="1"/>
    <col min="26" max="26" width="16.453125" bestFit="1" customWidth="1"/>
    <col min="27" max="27" width="4.81640625" bestFit="1" customWidth="1"/>
  </cols>
  <sheetData>
    <row r="1" spans="1:2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835</v>
      </c>
      <c r="S1" s="3" t="s">
        <v>836</v>
      </c>
      <c r="Z1" t="s">
        <v>830</v>
      </c>
      <c r="AA1">
        <f>MAX(A:A)+1</f>
        <v>1933</v>
      </c>
    </row>
    <row r="2" spans="1:27" x14ac:dyDescent="0.35">
      <c r="A2" s="1">
        <v>0</v>
      </c>
      <c r="B2" t="s">
        <v>16</v>
      </c>
      <c r="C2" t="s">
        <v>17</v>
      </c>
      <c r="D2" t="s">
        <v>18</v>
      </c>
      <c r="E2">
        <v>7526.1533333333336</v>
      </c>
      <c r="F2">
        <v>124.28993876638241</v>
      </c>
      <c r="G2">
        <v>45</v>
      </c>
      <c r="H2" t="s">
        <v>19</v>
      </c>
      <c r="M2">
        <v>7774.7332108660976</v>
      </c>
      <c r="N2">
        <v>7277.5734558005688</v>
      </c>
      <c r="O2">
        <v>497.15975506552968</v>
      </c>
      <c r="P2">
        <v>60.553198497262329</v>
      </c>
      <c r="R2" t="str">
        <f>IF(H2="yes","yes","no")</f>
        <v>no</v>
      </c>
      <c r="S2" t="str">
        <f>IF(I2,"yes","no")</f>
        <v>no</v>
      </c>
      <c r="Z2" t="s">
        <v>831</v>
      </c>
      <c r="AA2">
        <f>COUNTIF(H:H, "yes")</f>
        <v>1238</v>
      </c>
    </row>
    <row r="3" spans="1:27" x14ac:dyDescent="0.35">
      <c r="A3" s="1">
        <v>1</v>
      </c>
      <c r="B3" t="s">
        <v>16</v>
      </c>
      <c r="C3" t="s">
        <v>17</v>
      </c>
      <c r="D3" t="s">
        <v>20</v>
      </c>
      <c r="E3">
        <v>1</v>
      </c>
      <c r="F3">
        <v>0</v>
      </c>
      <c r="G3">
        <v>45</v>
      </c>
      <c r="H3" t="s">
        <v>19</v>
      </c>
      <c r="M3">
        <v>1</v>
      </c>
      <c r="N3">
        <v>1</v>
      </c>
      <c r="O3">
        <v>0</v>
      </c>
      <c r="P3" t="s">
        <v>21</v>
      </c>
      <c r="R3" t="str">
        <f t="shared" ref="R3:R66" si="0">IF(H3="yes","yes","no")</f>
        <v>no</v>
      </c>
      <c r="S3" t="str">
        <f t="shared" ref="S3:S66" si="1">IF(I3,"yes","no")</f>
        <v>no</v>
      </c>
      <c r="Z3" t="s">
        <v>832</v>
      </c>
      <c r="AA3" s="2">
        <f>100*AA2/AA1</f>
        <v>64.045525090532848</v>
      </c>
    </row>
    <row r="4" spans="1:27" x14ac:dyDescent="0.35">
      <c r="A4" s="1">
        <v>2</v>
      </c>
      <c r="B4" t="s">
        <v>16</v>
      </c>
      <c r="C4" t="s">
        <v>17</v>
      </c>
      <c r="D4" t="s">
        <v>22</v>
      </c>
      <c r="E4">
        <v>7535.5822222222223</v>
      </c>
      <c r="F4">
        <v>127.40664011227049</v>
      </c>
      <c r="G4">
        <v>45</v>
      </c>
      <c r="H4" t="s">
        <v>19</v>
      </c>
      <c r="M4">
        <v>7790.3955024467632</v>
      </c>
      <c r="N4">
        <v>7280.7689419976814</v>
      </c>
      <c r="O4">
        <v>509.62656044908181</v>
      </c>
      <c r="P4">
        <v>59.145914338388337</v>
      </c>
      <c r="R4" t="str">
        <f t="shared" si="0"/>
        <v>no</v>
      </c>
      <c r="S4" t="str">
        <f t="shared" si="1"/>
        <v>no</v>
      </c>
      <c r="Z4" t="s">
        <v>833</v>
      </c>
      <c r="AA4">
        <f>COUNT(I:I)</f>
        <v>198</v>
      </c>
    </row>
    <row r="5" spans="1:27" x14ac:dyDescent="0.35">
      <c r="A5" s="1">
        <v>3</v>
      </c>
      <c r="B5" t="s">
        <v>16</v>
      </c>
      <c r="C5" t="s">
        <v>17</v>
      </c>
      <c r="D5" t="s">
        <v>23</v>
      </c>
      <c r="E5">
        <v>1</v>
      </c>
      <c r="F5">
        <v>0</v>
      </c>
      <c r="G5">
        <v>45</v>
      </c>
      <c r="H5" t="s">
        <v>19</v>
      </c>
      <c r="M5">
        <v>1</v>
      </c>
      <c r="N5">
        <v>1</v>
      </c>
      <c r="O5">
        <v>0</v>
      </c>
      <c r="P5" t="s">
        <v>21</v>
      </c>
      <c r="R5" t="str">
        <f t="shared" si="0"/>
        <v>no</v>
      </c>
      <c r="S5" t="str">
        <f t="shared" si="1"/>
        <v>no</v>
      </c>
      <c r="Z5" t="s">
        <v>834</v>
      </c>
      <c r="AA5">
        <f>100*AA4/AA2</f>
        <v>15.993537964458804</v>
      </c>
    </row>
    <row r="6" spans="1:27" x14ac:dyDescent="0.35">
      <c r="A6" s="1">
        <v>4</v>
      </c>
      <c r="B6" t="s">
        <v>16</v>
      </c>
      <c r="C6" t="s">
        <v>17</v>
      </c>
      <c r="D6" t="s">
        <v>24</v>
      </c>
      <c r="E6">
        <v>7550.9925925925927</v>
      </c>
      <c r="F6">
        <v>105.4538426358438</v>
      </c>
      <c r="G6">
        <v>45</v>
      </c>
      <c r="H6" t="s">
        <v>19</v>
      </c>
      <c r="M6">
        <v>7761.9002778642807</v>
      </c>
      <c r="N6">
        <v>7340.0849073209047</v>
      </c>
      <c r="O6">
        <v>421.81537054337599</v>
      </c>
      <c r="P6">
        <v>71.604717323273789</v>
      </c>
      <c r="R6" t="str">
        <f t="shared" si="0"/>
        <v>no</v>
      </c>
      <c r="S6" t="str">
        <f t="shared" si="1"/>
        <v>no</v>
      </c>
    </row>
    <row r="7" spans="1:27" x14ac:dyDescent="0.35">
      <c r="A7" s="1">
        <v>5</v>
      </c>
      <c r="B7" t="s">
        <v>16</v>
      </c>
      <c r="C7" t="s">
        <v>17</v>
      </c>
      <c r="D7" t="s">
        <v>25</v>
      </c>
      <c r="E7">
        <v>1</v>
      </c>
      <c r="F7">
        <v>0</v>
      </c>
      <c r="G7">
        <v>45</v>
      </c>
      <c r="H7" t="s">
        <v>19</v>
      </c>
      <c r="M7">
        <v>1</v>
      </c>
      <c r="N7">
        <v>1</v>
      </c>
      <c r="O7">
        <v>0</v>
      </c>
      <c r="P7" t="s">
        <v>21</v>
      </c>
      <c r="R7" t="str">
        <f t="shared" si="0"/>
        <v>no</v>
      </c>
      <c r="S7" t="str">
        <f t="shared" si="1"/>
        <v>no</v>
      </c>
    </row>
    <row r="8" spans="1:27" x14ac:dyDescent="0.35">
      <c r="A8" s="1">
        <v>6</v>
      </c>
      <c r="B8" t="s">
        <v>16</v>
      </c>
      <c r="C8" t="s">
        <v>17</v>
      </c>
      <c r="D8" t="s">
        <v>26</v>
      </c>
      <c r="E8">
        <v>7543.0103703703699</v>
      </c>
      <c r="F8">
        <v>100.3271882715121</v>
      </c>
      <c r="G8">
        <v>45</v>
      </c>
      <c r="H8" t="s">
        <v>19</v>
      </c>
      <c r="M8">
        <v>7743.6647469133941</v>
      </c>
      <c r="N8">
        <v>7342.3559938273456</v>
      </c>
      <c r="O8">
        <v>401.30875308604851</v>
      </c>
      <c r="P8">
        <v>75.184110113372</v>
      </c>
      <c r="R8" t="str">
        <f t="shared" si="0"/>
        <v>no</v>
      </c>
      <c r="S8" t="str">
        <f t="shared" si="1"/>
        <v>no</v>
      </c>
    </row>
    <row r="9" spans="1:27" x14ac:dyDescent="0.35">
      <c r="A9" s="1">
        <v>7</v>
      </c>
      <c r="B9" t="s">
        <v>16</v>
      </c>
      <c r="C9" t="s">
        <v>17</v>
      </c>
      <c r="D9" t="s">
        <v>27</v>
      </c>
      <c r="E9">
        <v>1</v>
      </c>
      <c r="F9">
        <v>0</v>
      </c>
      <c r="G9">
        <v>45</v>
      </c>
      <c r="H9" t="s">
        <v>19</v>
      </c>
      <c r="M9">
        <v>1</v>
      </c>
      <c r="N9">
        <v>1</v>
      </c>
      <c r="O9">
        <v>0</v>
      </c>
      <c r="P9" t="s">
        <v>21</v>
      </c>
      <c r="R9" t="str">
        <f t="shared" si="0"/>
        <v>no</v>
      </c>
      <c r="S9" t="str">
        <f t="shared" si="1"/>
        <v>no</v>
      </c>
    </row>
    <row r="10" spans="1:27" x14ac:dyDescent="0.35">
      <c r="A10" s="1">
        <v>8</v>
      </c>
      <c r="B10" t="s">
        <v>16</v>
      </c>
      <c r="C10" t="s">
        <v>17</v>
      </c>
      <c r="D10" t="s">
        <v>28</v>
      </c>
      <c r="E10">
        <v>7571.3762962962955</v>
      </c>
      <c r="F10">
        <v>110.2128900225771</v>
      </c>
      <c r="G10">
        <v>45</v>
      </c>
      <c r="H10" t="s">
        <v>19</v>
      </c>
      <c r="M10">
        <v>7791.8020763414497</v>
      </c>
      <c r="N10">
        <v>7350.9505162511414</v>
      </c>
      <c r="O10">
        <v>440.85156009030828</v>
      </c>
      <c r="P10">
        <v>68.697738483631994</v>
      </c>
      <c r="R10" t="str">
        <f t="shared" si="0"/>
        <v>no</v>
      </c>
      <c r="S10" t="str">
        <f t="shared" si="1"/>
        <v>no</v>
      </c>
    </row>
    <row r="11" spans="1:27" x14ac:dyDescent="0.35">
      <c r="A11" s="1">
        <v>9</v>
      </c>
      <c r="B11" t="s">
        <v>16</v>
      </c>
      <c r="C11" t="s">
        <v>17</v>
      </c>
      <c r="D11" t="s">
        <v>29</v>
      </c>
      <c r="E11">
        <v>1</v>
      </c>
      <c r="F11">
        <v>0</v>
      </c>
      <c r="G11">
        <v>45</v>
      </c>
      <c r="H11" t="s">
        <v>19</v>
      </c>
      <c r="M11">
        <v>1</v>
      </c>
      <c r="N11">
        <v>1</v>
      </c>
      <c r="O11">
        <v>0</v>
      </c>
      <c r="P11" t="s">
        <v>21</v>
      </c>
      <c r="R11" t="str">
        <f t="shared" si="0"/>
        <v>no</v>
      </c>
      <c r="S11" t="str">
        <f t="shared" si="1"/>
        <v>no</v>
      </c>
    </row>
    <row r="12" spans="1:27" x14ac:dyDescent="0.35">
      <c r="A12" s="1">
        <v>10</v>
      </c>
      <c r="B12" t="s">
        <v>16</v>
      </c>
      <c r="C12" t="s">
        <v>17</v>
      </c>
      <c r="D12" t="s">
        <v>30</v>
      </c>
      <c r="E12">
        <v>7554.2659259259253</v>
      </c>
      <c r="F12">
        <v>122.8610223828734</v>
      </c>
      <c r="G12">
        <v>45</v>
      </c>
      <c r="H12" t="s">
        <v>19</v>
      </c>
      <c r="M12">
        <v>7799.9879706916718</v>
      </c>
      <c r="N12">
        <v>7308.5438811601789</v>
      </c>
      <c r="O12">
        <v>491.44408953149292</v>
      </c>
      <c r="P12">
        <v>61.486269440152213</v>
      </c>
      <c r="R12" t="str">
        <f t="shared" si="0"/>
        <v>no</v>
      </c>
      <c r="S12" t="str">
        <f t="shared" si="1"/>
        <v>no</v>
      </c>
    </row>
    <row r="13" spans="1:27" x14ac:dyDescent="0.35">
      <c r="A13" s="1">
        <v>11</v>
      </c>
      <c r="B13" t="s">
        <v>16</v>
      </c>
      <c r="C13" t="s">
        <v>17</v>
      </c>
      <c r="D13" t="s">
        <v>31</v>
      </c>
      <c r="E13">
        <v>1</v>
      </c>
      <c r="F13">
        <v>0</v>
      </c>
      <c r="G13">
        <v>45</v>
      </c>
      <c r="H13" t="s">
        <v>19</v>
      </c>
      <c r="M13">
        <v>1</v>
      </c>
      <c r="N13">
        <v>1</v>
      </c>
      <c r="O13">
        <v>0</v>
      </c>
      <c r="P13" t="s">
        <v>21</v>
      </c>
      <c r="R13" t="str">
        <f t="shared" si="0"/>
        <v>no</v>
      </c>
      <c r="S13" t="str">
        <f t="shared" si="1"/>
        <v>no</v>
      </c>
    </row>
    <row r="14" spans="1:27" x14ac:dyDescent="0.35">
      <c r="A14" s="1">
        <v>12</v>
      </c>
      <c r="B14" t="s">
        <v>16</v>
      </c>
      <c r="C14" t="s">
        <v>17</v>
      </c>
      <c r="D14" t="s">
        <v>32</v>
      </c>
      <c r="E14">
        <v>7595.0044444444447</v>
      </c>
      <c r="F14">
        <v>117.7024599520698</v>
      </c>
      <c r="G14">
        <v>45</v>
      </c>
      <c r="H14" t="s">
        <v>19</v>
      </c>
      <c r="M14">
        <v>7830.4093643485839</v>
      </c>
      <c r="N14">
        <v>7359.5995245403064</v>
      </c>
      <c r="O14">
        <v>470.80983980827841</v>
      </c>
      <c r="P14">
        <v>64.52715132323695</v>
      </c>
      <c r="R14" t="str">
        <f t="shared" si="0"/>
        <v>no</v>
      </c>
      <c r="S14" t="str">
        <f t="shared" si="1"/>
        <v>no</v>
      </c>
    </row>
    <row r="15" spans="1:27" x14ac:dyDescent="0.35">
      <c r="A15" s="1">
        <v>13</v>
      </c>
      <c r="B15" t="s">
        <v>16</v>
      </c>
      <c r="C15" t="s">
        <v>17</v>
      </c>
      <c r="D15" t="s">
        <v>33</v>
      </c>
      <c r="E15">
        <v>1</v>
      </c>
      <c r="F15">
        <v>0</v>
      </c>
      <c r="G15">
        <v>45</v>
      </c>
      <c r="H15" t="s">
        <v>19</v>
      </c>
      <c r="M15">
        <v>1</v>
      </c>
      <c r="N15">
        <v>1</v>
      </c>
      <c r="O15">
        <v>0</v>
      </c>
      <c r="P15" t="s">
        <v>21</v>
      </c>
      <c r="R15" t="str">
        <f t="shared" si="0"/>
        <v>no</v>
      </c>
      <c r="S15" t="str">
        <f t="shared" si="1"/>
        <v>no</v>
      </c>
    </row>
    <row r="16" spans="1:27" x14ac:dyDescent="0.35">
      <c r="A16" s="1">
        <v>14</v>
      </c>
      <c r="B16" t="s">
        <v>16</v>
      </c>
      <c r="C16" t="s">
        <v>17</v>
      </c>
      <c r="D16" t="s">
        <v>34</v>
      </c>
      <c r="E16">
        <v>7553.3814814814814</v>
      </c>
      <c r="F16">
        <v>116.6398698842295</v>
      </c>
      <c r="G16">
        <v>45</v>
      </c>
      <c r="H16" t="s">
        <v>19</v>
      </c>
      <c r="M16">
        <v>7786.6612212499404</v>
      </c>
      <c r="N16">
        <v>7320.1017417130224</v>
      </c>
      <c r="O16">
        <v>466.55947953691788</v>
      </c>
      <c r="P16">
        <v>64.758143926074027</v>
      </c>
      <c r="R16" t="str">
        <f t="shared" si="0"/>
        <v>no</v>
      </c>
      <c r="S16" t="str">
        <f t="shared" si="1"/>
        <v>no</v>
      </c>
    </row>
    <row r="17" spans="1:19" x14ac:dyDescent="0.35">
      <c r="A17" s="1">
        <v>15</v>
      </c>
      <c r="B17" t="s">
        <v>16</v>
      </c>
      <c r="C17" t="s">
        <v>17</v>
      </c>
      <c r="D17" t="s">
        <v>35</v>
      </c>
      <c r="E17">
        <v>1</v>
      </c>
      <c r="F17">
        <v>0</v>
      </c>
      <c r="G17">
        <v>45</v>
      </c>
      <c r="H17" t="s">
        <v>19</v>
      </c>
      <c r="M17">
        <v>1</v>
      </c>
      <c r="N17">
        <v>1</v>
      </c>
      <c r="O17">
        <v>0</v>
      </c>
      <c r="P17" t="s">
        <v>21</v>
      </c>
      <c r="R17" t="str">
        <f t="shared" si="0"/>
        <v>no</v>
      </c>
      <c r="S17" t="str">
        <f t="shared" si="1"/>
        <v>no</v>
      </c>
    </row>
    <row r="18" spans="1:19" x14ac:dyDescent="0.35">
      <c r="A18" s="1">
        <v>16</v>
      </c>
      <c r="B18" t="s">
        <v>16</v>
      </c>
      <c r="C18" t="s">
        <v>17</v>
      </c>
      <c r="D18" t="s">
        <v>36</v>
      </c>
      <c r="E18">
        <v>5.5261996261843231</v>
      </c>
      <c r="F18">
        <v>6.851321245483491E-2</v>
      </c>
      <c r="G18">
        <v>45</v>
      </c>
      <c r="H18" t="s">
        <v>19</v>
      </c>
      <c r="M18">
        <v>5.6632260510939929</v>
      </c>
      <c r="N18">
        <v>5.3891732012746534</v>
      </c>
      <c r="O18">
        <v>0.27405284981933947</v>
      </c>
      <c r="P18">
        <v>80.658889405124441</v>
      </c>
      <c r="R18" t="str">
        <f t="shared" si="0"/>
        <v>no</v>
      </c>
      <c r="S18" t="str">
        <f t="shared" si="1"/>
        <v>no</v>
      </c>
    </row>
    <row r="19" spans="1:19" x14ac:dyDescent="0.35">
      <c r="A19" s="1">
        <v>17</v>
      </c>
      <c r="B19" t="s">
        <v>16</v>
      </c>
      <c r="C19" t="s">
        <v>17</v>
      </c>
      <c r="D19" t="s">
        <v>37</v>
      </c>
      <c r="E19">
        <v>23.784964775193799</v>
      </c>
      <c r="F19">
        <v>0.27958322613344849</v>
      </c>
      <c r="G19">
        <v>45</v>
      </c>
      <c r="H19" t="s">
        <v>19</v>
      </c>
      <c r="M19">
        <v>24.3441312274607</v>
      </c>
      <c r="N19">
        <v>23.225798322926899</v>
      </c>
      <c r="O19">
        <v>1.118332904533794</v>
      </c>
      <c r="P19">
        <v>85.072931964240752</v>
      </c>
      <c r="R19" t="str">
        <f t="shared" si="0"/>
        <v>no</v>
      </c>
      <c r="S19" t="str">
        <f t="shared" si="1"/>
        <v>no</v>
      </c>
    </row>
    <row r="20" spans="1:19" x14ac:dyDescent="0.35">
      <c r="A20" s="1">
        <v>18</v>
      </c>
      <c r="B20" t="s">
        <v>16</v>
      </c>
      <c r="C20" t="s">
        <v>17</v>
      </c>
      <c r="D20" t="s">
        <v>38</v>
      </c>
      <c r="E20">
        <v>2.345343324720069E-2</v>
      </c>
      <c r="F20">
        <v>1.3354878959361339E-2</v>
      </c>
      <c r="G20">
        <v>45</v>
      </c>
      <c r="H20" t="s">
        <v>19</v>
      </c>
      <c r="M20">
        <v>5.0163191165923368E-2</v>
      </c>
      <c r="N20">
        <v>-3.2563246715219892E-3</v>
      </c>
      <c r="O20">
        <v>5.3419515837445357E-2</v>
      </c>
      <c r="P20">
        <v>1.756169660434143</v>
      </c>
      <c r="R20" t="str">
        <f t="shared" si="0"/>
        <v>no</v>
      </c>
      <c r="S20" t="str">
        <f t="shared" si="1"/>
        <v>no</v>
      </c>
    </row>
    <row r="21" spans="1:19" x14ac:dyDescent="0.35">
      <c r="A21" s="1">
        <v>19</v>
      </c>
      <c r="B21" t="s">
        <v>16</v>
      </c>
      <c r="C21" t="s">
        <v>17</v>
      </c>
      <c r="D21" t="s">
        <v>39</v>
      </c>
      <c r="E21">
        <v>23.828358532299742</v>
      </c>
      <c r="F21">
        <v>0.28287122892223748</v>
      </c>
      <c r="G21">
        <v>45</v>
      </c>
      <c r="H21" t="s">
        <v>19</v>
      </c>
      <c r="M21">
        <v>24.394100990144221</v>
      </c>
      <c r="N21">
        <v>23.26261607445527</v>
      </c>
      <c r="O21">
        <v>1.131484915688951</v>
      </c>
      <c r="P21">
        <v>84.237476618204468</v>
      </c>
      <c r="R21" t="str">
        <f t="shared" si="0"/>
        <v>no</v>
      </c>
      <c r="S21" t="str">
        <f t="shared" si="1"/>
        <v>no</v>
      </c>
    </row>
    <row r="22" spans="1:19" x14ac:dyDescent="0.35">
      <c r="A22" s="1">
        <v>20</v>
      </c>
      <c r="B22" t="s">
        <v>16</v>
      </c>
      <c r="C22" t="s">
        <v>17</v>
      </c>
      <c r="D22" t="s">
        <v>40</v>
      </c>
      <c r="E22">
        <v>1.168298880275624E-2</v>
      </c>
      <c r="F22">
        <v>6.210943890819224E-3</v>
      </c>
      <c r="G22">
        <v>45</v>
      </c>
      <c r="H22" t="s">
        <v>19</v>
      </c>
      <c r="M22">
        <v>2.410487658439469E-2</v>
      </c>
      <c r="N22">
        <v>-7.3889897888220792E-4</v>
      </c>
      <c r="O22">
        <v>2.4843775563276899E-2</v>
      </c>
      <c r="P22">
        <v>1.881032739649376</v>
      </c>
      <c r="R22" t="str">
        <f t="shared" si="0"/>
        <v>no</v>
      </c>
      <c r="S22" t="str">
        <f t="shared" si="1"/>
        <v>no</v>
      </c>
    </row>
    <row r="23" spans="1:19" x14ac:dyDescent="0.35">
      <c r="A23" s="1">
        <v>21</v>
      </c>
      <c r="B23" t="s">
        <v>16</v>
      </c>
      <c r="C23" t="s">
        <v>17</v>
      </c>
      <c r="D23" t="s">
        <v>41</v>
      </c>
      <c r="E23">
        <v>23.81109615159345</v>
      </c>
      <c r="F23">
        <v>0.25405101051956269</v>
      </c>
      <c r="G23">
        <v>45</v>
      </c>
      <c r="H23" t="s">
        <v>19</v>
      </c>
      <c r="M23">
        <v>24.319198172632571</v>
      </c>
      <c r="N23">
        <v>23.302994130554321</v>
      </c>
      <c r="O23">
        <v>1.0162040420782501</v>
      </c>
      <c r="P23">
        <v>93.7256502262955</v>
      </c>
      <c r="R23" t="str">
        <f t="shared" si="0"/>
        <v>no</v>
      </c>
      <c r="S23" t="str">
        <f t="shared" si="1"/>
        <v>no</v>
      </c>
    </row>
    <row r="24" spans="1:19" x14ac:dyDescent="0.35">
      <c r="A24" s="1">
        <v>22</v>
      </c>
      <c r="B24" t="s">
        <v>16</v>
      </c>
      <c r="C24" t="s">
        <v>17</v>
      </c>
      <c r="D24" t="s">
        <v>42</v>
      </c>
      <c r="E24">
        <v>1.4301595176571921E-2</v>
      </c>
      <c r="F24">
        <v>7.5390910187436537E-3</v>
      </c>
      <c r="G24">
        <v>45</v>
      </c>
      <c r="H24" t="s">
        <v>19</v>
      </c>
      <c r="M24">
        <v>2.9379777214059231E-2</v>
      </c>
      <c r="N24">
        <v>-7.7658686091538684E-4</v>
      </c>
      <c r="O24">
        <v>3.0156364074974611E-2</v>
      </c>
      <c r="P24">
        <v>1.896991977018895</v>
      </c>
      <c r="R24" t="str">
        <f t="shared" si="0"/>
        <v>no</v>
      </c>
      <c r="S24" t="str">
        <f t="shared" si="1"/>
        <v>no</v>
      </c>
    </row>
    <row r="25" spans="1:19" x14ac:dyDescent="0.35">
      <c r="A25" s="1">
        <v>23</v>
      </c>
      <c r="B25" t="s">
        <v>16</v>
      </c>
      <c r="C25" t="s">
        <v>17</v>
      </c>
      <c r="D25" t="s">
        <v>43</v>
      </c>
      <c r="E25">
        <v>23.83939255641689</v>
      </c>
      <c r="F25">
        <v>0.2395661663369193</v>
      </c>
      <c r="G25">
        <v>45</v>
      </c>
      <c r="H25" t="s">
        <v>19</v>
      </c>
      <c r="M25">
        <v>24.318524889090732</v>
      </c>
      <c r="N25">
        <v>23.360260223743051</v>
      </c>
      <c r="O25">
        <v>0.95826466534767718</v>
      </c>
      <c r="P25">
        <v>99.510681833468169</v>
      </c>
      <c r="R25" t="str">
        <f t="shared" si="0"/>
        <v>no</v>
      </c>
      <c r="S25" t="str">
        <f t="shared" si="1"/>
        <v>no</v>
      </c>
    </row>
    <row r="26" spans="1:19" x14ac:dyDescent="0.35">
      <c r="A26" s="1">
        <v>24</v>
      </c>
      <c r="B26" t="s">
        <v>16</v>
      </c>
      <c r="C26" t="s">
        <v>17</v>
      </c>
      <c r="D26" t="s">
        <v>44</v>
      </c>
      <c r="E26">
        <v>3.8034156813092159</v>
      </c>
      <c r="F26">
        <v>0.18251788920451481</v>
      </c>
      <c r="G26">
        <v>45</v>
      </c>
      <c r="H26" t="s">
        <v>19</v>
      </c>
      <c r="M26">
        <v>4.1684514597182458</v>
      </c>
      <c r="N26">
        <v>3.438379902900186</v>
      </c>
      <c r="O26">
        <v>0.73007155681805935</v>
      </c>
      <c r="P26">
        <v>20.838591208160508</v>
      </c>
      <c r="R26" t="str">
        <f t="shared" si="0"/>
        <v>no</v>
      </c>
      <c r="S26" t="str">
        <f t="shared" si="1"/>
        <v>no</v>
      </c>
    </row>
    <row r="27" spans="1:19" x14ac:dyDescent="0.35">
      <c r="A27" s="1">
        <v>25</v>
      </c>
      <c r="B27" t="s">
        <v>16</v>
      </c>
      <c r="C27" t="s">
        <v>17</v>
      </c>
      <c r="D27" t="s">
        <v>45</v>
      </c>
      <c r="E27">
        <v>35.906192639104233</v>
      </c>
      <c r="F27">
        <v>0.1330579698352688</v>
      </c>
      <c r="G27">
        <v>45</v>
      </c>
      <c r="H27" t="s">
        <v>19</v>
      </c>
      <c r="M27">
        <v>36.172308578774768</v>
      </c>
      <c r="N27">
        <v>35.640076699433699</v>
      </c>
      <c r="O27">
        <v>0.53223187934106875</v>
      </c>
      <c r="P27">
        <v>269.85375384546728</v>
      </c>
      <c r="R27" t="str">
        <f t="shared" si="0"/>
        <v>no</v>
      </c>
      <c r="S27" t="str">
        <f t="shared" si="1"/>
        <v>no</v>
      </c>
    </row>
    <row r="28" spans="1:19" x14ac:dyDescent="0.35">
      <c r="A28" s="1">
        <v>26</v>
      </c>
      <c r="B28" t="s">
        <v>16</v>
      </c>
      <c r="C28" t="s">
        <v>17</v>
      </c>
      <c r="D28" t="s">
        <v>46</v>
      </c>
      <c r="E28">
        <v>3.6601160878552972</v>
      </c>
      <c r="F28">
        <v>0.2246513838216623</v>
      </c>
      <c r="G28">
        <v>45</v>
      </c>
      <c r="H28" t="s">
        <v>19</v>
      </c>
      <c r="M28">
        <v>4.109418855498622</v>
      </c>
      <c r="N28">
        <v>3.210813320211972</v>
      </c>
      <c r="O28">
        <v>0.89860553528664955</v>
      </c>
      <c r="P28">
        <v>16.29242618314273</v>
      </c>
      <c r="R28" t="str">
        <f t="shared" si="0"/>
        <v>no</v>
      </c>
      <c r="S28" t="str">
        <f t="shared" si="1"/>
        <v>no</v>
      </c>
    </row>
    <row r="29" spans="1:19" x14ac:dyDescent="0.35">
      <c r="A29" s="1">
        <v>27</v>
      </c>
      <c r="B29" t="s">
        <v>16</v>
      </c>
      <c r="C29" t="s">
        <v>17</v>
      </c>
      <c r="D29" t="s">
        <v>47</v>
      </c>
      <c r="E29">
        <v>35.89730291300603</v>
      </c>
      <c r="F29">
        <v>0.1550848476731807</v>
      </c>
      <c r="G29">
        <v>45</v>
      </c>
      <c r="H29" t="s">
        <v>19</v>
      </c>
      <c r="M29">
        <v>36.20747260835239</v>
      </c>
      <c r="N29">
        <v>35.58713321765967</v>
      </c>
      <c r="O29">
        <v>0.62033939069272037</v>
      </c>
      <c r="P29">
        <v>231.46879564052901</v>
      </c>
      <c r="R29" t="str">
        <f t="shared" si="0"/>
        <v>no</v>
      </c>
      <c r="S29" t="str">
        <f t="shared" si="1"/>
        <v>no</v>
      </c>
    </row>
    <row r="30" spans="1:19" x14ac:dyDescent="0.35">
      <c r="A30" s="1">
        <v>28</v>
      </c>
      <c r="B30" t="s">
        <v>16</v>
      </c>
      <c r="C30" t="s">
        <v>17</v>
      </c>
      <c r="D30" t="s">
        <v>48</v>
      </c>
      <c r="E30">
        <v>3.4939418828596041</v>
      </c>
      <c r="F30">
        <v>0.27392821067596018</v>
      </c>
      <c r="G30">
        <v>45</v>
      </c>
      <c r="H30" t="s">
        <v>19</v>
      </c>
      <c r="M30">
        <v>4.0417983042115244</v>
      </c>
      <c r="N30">
        <v>2.9460854615076841</v>
      </c>
      <c r="O30">
        <v>1.095712842703841</v>
      </c>
      <c r="P30">
        <v>12.754954570899301</v>
      </c>
      <c r="R30" t="str">
        <f t="shared" si="0"/>
        <v>no</v>
      </c>
      <c r="S30" t="str">
        <f t="shared" si="1"/>
        <v>no</v>
      </c>
    </row>
    <row r="31" spans="1:19" x14ac:dyDescent="0.35">
      <c r="A31" s="1">
        <v>29</v>
      </c>
      <c r="B31" t="s">
        <v>16</v>
      </c>
      <c r="C31" t="s">
        <v>17</v>
      </c>
      <c r="D31" t="s">
        <v>49</v>
      </c>
      <c r="E31">
        <v>35.738971064599482</v>
      </c>
      <c r="F31">
        <v>0.1589551350350154</v>
      </c>
      <c r="G31">
        <v>45</v>
      </c>
      <c r="H31" t="s">
        <v>19</v>
      </c>
      <c r="M31">
        <v>36.056881334669512</v>
      </c>
      <c r="N31">
        <v>35.421060794529453</v>
      </c>
      <c r="O31">
        <v>0.63582054014005962</v>
      </c>
      <c r="P31">
        <v>224.8368450426388</v>
      </c>
      <c r="R31" t="str">
        <f t="shared" si="0"/>
        <v>no</v>
      </c>
      <c r="S31" t="str">
        <f t="shared" si="1"/>
        <v>no</v>
      </c>
    </row>
    <row r="32" spans="1:19" x14ac:dyDescent="0.35">
      <c r="A32" s="1">
        <v>30</v>
      </c>
      <c r="B32" t="s">
        <v>16</v>
      </c>
      <c r="C32" t="s">
        <v>17</v>
      </c>
      <c r="D32" t="s">
        <v>50</v>
      </c>
      <c r="E32">
        <v>3.606734282515073</v>
      </c>
      <c r="F32">
        <v>0.59315388686711157</v>
      </c>
      <c r="G32">
        <v>45</v>
      </c>
      <c r="H32" t="s">
        <v>19</v>
      </c>
      <c r="M32">
        <v>4.7930420562492966</v>
      </c>
      <c r="N32">
        <v>2.4204265087808499</v>
      </c>
      <c r="O32">
        <v>2.3726155474684472</v>
      </c>
      <c r="P32">
        <v>6.0806046497729769</v>
      </c>
      <c r="R32" t="str">
        <f t="shared" si="0"/>
        <v>no</v>
      </c>
      <c r="S32" t="str">
        <f t="shared" si="1"/>
        <v>no</v>
      </c>
    </row>
    <row r="33" spans="1:19" x14ac:dyDescent="0.35">
      <c r="A33" s="1">
        <v>31</v>
      </c>
      <c r="B33" t="s">
        <v>16</v>
      </c>
      <c r="C33" t="s">
        <v>17</v>
      </c>
      <c r="D33" t="s">
        <v>51</v>
      </c>
      <c r="E33">
        <v>35.830406804478898</v>
      </c>
      <c r="F33">
        <v>0.14725548129318269</v>
      </c>
      <c r="G33">
        <v>45</v>
      </c>
      <c r="H33" t="s">
        <v>19</v>
      </c>
      <c r="M33">
        <v>36.124917767065263</v>
      </c>
      <c r="N33">
        <v>35.535895841892533</v>
      </c>
      <c r="O33">
        <v>0.58902192517273022</v>
      </c>
      <c r="P33">
        <v>243.32137920992761</v>
      </c>
      <c r="R33" t="str">
        <f t="shared" si="0"/>
        <v>no</v>
      </c>
      <c r="S33" t="str">
        <f t="shared" si="1"/>
        <v>no</v>
      </c>
    </row>
    <row r="34" spans="1:19" x14ac:dyDescent="0.35">
      <c r="A34" s="1">
        <v>32</v>
      </c>
      <c r="B34" t="s">
        <v>16</v>
      </c>
      <c r="C34" t="s">
        <v>17</v>
      </c>
      <c r="D34" t="s">
        <v>52</v>
      </c>
      <c r="E34">
        <v>3.5126990835486649</v>
      </c>
      <c r="F34">
        <v>0.22315128103873541</v>
      </c>
      <c r="G34">
        <v>45</v>
      </c>
      <c r="H34" t="s">
        <v>19</v>
      </c>
      <c r="M34">
        <v>3.9590016456261359</v>
      </c>
      <c r="N34">
        <v>3.0663965214711939</v>
      </c>
      <c r="O34">
        <v>0.89260512415494198</v>
      </c>
      <c r="P34">
        <v>15.74133505843024</v>
      </c>
      <c r="R34" t="str">
        <f t="shared" si="0"/>
        <v>no</v>
      </c>
      <c r="S34" t="str">
        <f t="shared" si="1"/>
        <v>no</v>
      </c>
    </row>
    <row r="35" spans="1:19" x14ac:dyDescent="0.35">
      <c r="A35" s="1">
        <v>33</v>
      </c>
      <c r="B35" t="s">
        <v>16</v>
      </c>
      <c r="C35" t="s">
        <v>17</v>
      </c>
      <c r="D35" t="s">
        <v>53</v>
      </c>
      <c r="E35">
        <v>35.866871033591721</v>
      </c>
      <c r="F35">
        <v>0.20719006947011909</v>
      </c>
      <c r="G35">
        <v>45</v>
      </c>
      <c r="H35" t="s">
        <v>19</v>
      </c>
      <c r="M35">
        <v>36.28125117253196</v>
      </c>
      <c r="N35">
        <v>35.452490894651483</v>
      </c>
      <c r="O35">
        <v>0.82876027788047679</v>
      </c>
      <c r="P35">
        <v>173.11095616368061</v>
      </c>
      <c r="R35" t="str">
        <f t="shared" si="0"/>
        <v>no</v>
      </c>
      <c r="S35" t="str">
        <f t="shared" si="1"/>
        <v>no</v>
      </c>
    </row>
    <row r="36" spans="1:19" x14ac:dyDescent="0.35">
      <c r="A36" s="1">
        <v>34</v>
      </c>
      <c r="B36" t="s">
        <v>16</v>
      </c>
      <c r="C36" t="s">
        <v>17</v>
      </c>
      <c r="D36" t="s">
        <v>54</v>
      </c>
      <c r="E36">
        <v>3.5745753488372092</v>
      </c>
      <c r="F36">
        <v>0.25886639825147439</v>
      </c>
      <c r="G36">
        <v>45</v>
      </c>
      <c r="H36" t="s">
        <v>19</v>
      </c>
      <c r="M36">
        <v>4.0923081453401577</v>
      </c>
      <c r="N36">
        <v>3.0568425523342611</v>
      </c>
      <c r="O36">
        <v>1.0354655930058969</v>
      </c>
      <c r="P36">
        <v>13.808572193926491</v>
      </c>
      <c r="R36" t="str">
        <f t="shared" si="0"/>
        <v>no</v>
      </c>
      <c r="S36" t="str">
        <f t="shared" si="1"/>
        <v>no</v>
      </c>
    </row>
    <row r="37" spans="1:19" x14ac:dyDescent="0.35">
      <c r="A37" s="1">
        <v>35</v>
      </c>
      <c r="B37" t="s">
        <v>16</v>
      </c>
      <c r="C37" t="s">
        <v>17</v>
      </c>
      <c r="D37" t="s">
        <v>55</v>
      </c>
      <c r="E37">
        <v>35.821274244616703</v>
      </c>
      <c r="F37">
        <v>9.3214889107751789E-2</v>
      </c>
      <c r="G37">
        <v>45</v>
      </c>
      <c r="H37" t="s">
        <v>19</v>
      </c>
      <c r="M37">
        <v>36.007704022832208</v>
      </c>
      <c r="N37">
        <v>35.634844466401198</v>
      </c>
      <c r="O37">
        <v>0.37285955643100982</v>
      </c>
      <c r="P37">
        <v>384.28704456440522</v>
      </c>
      <c r="R37" t="str">
        <f t="shared" si="0"/>
        <v>no</v>
      </c>
      <c r="S37" t="str">
        <f t="shared" si="1"/>
        <v>no</v>
      </c>
    </row>
    <row r="38" spans="1:19" x14ac:dyDescent="0.35">
      <c r="A38" s="1">
        <v>36</v>
      </c>
      <c r="B38" t="s">
        <v>16</v>
      </c>
      <c r="C38" t="s">
        <v>56</v>
      </c>
      <c r="D38" t="s">
        <v>57</v>
      </c>
      <c r="E38">
        <v>0</v>
      </c>
      <c r="F38">
        <v>0</v>
      </c>
      <c r="G38">
        <v>45</v>
      </c>
      <c r="H38" t="s">
        <v>58</v>
      </c>
      <c r="M38">
        <v>0</v>
      </c>
      <c r="N38">
        <v>0</v>
      </c>
      <c r="O38">
        <v>0</v>
      </c>
      <c r="R38" t="str">
        <f t="shared" si="0"/>
        <v>yes</v>
      </c>
      <c r="S38" t="str">
        <f t="shared" si="1"/>
        <v>no</v>
      </c>
    </row>
    <row r="39" spans="1:19" x14ac:dyDescent="0.35">
      <c r="A39" s="1">
        <v>37</v>
      </c>
      <c r="B39" t="s">
        <v>16</v>
      </c>
      <c r="C39" t="s">
        <v>56</v>
      </c>
      <c r="D39" t="s">
        <v>59</v>
      </c>
      <c r="E39">
        <v>0</v>
      </c>
      <c r="F39">
        <v>0</v>
      </c>
      <c r="G39">
        <v>45</v>
      </c>
      <c r="H39" t="s">
        <v>58</v>
      </c>
      <c r="M39">
        <v>0</v>
      </c>
      <c r="N39">
        <v>0</v>
      </c>
      <c r="O39">
        <v>0</v>
      </c>
      <c r="R39" t="str">
        <f t="shared" si="0"/>
        <v>yes</v>
      </c>
      <c r="S39" t="str">
        <f t="shared" si="1"/>
        <v>no</v>
      </c>
    </row>
    <row r="40" spans="1:19" x14ac:dyDescent="0.35">
      <c r="A40" s="1">
        <v>38</v>
      </c>
      <c r="B40" t="s">
        <v>16</v>
      </c>
      <c r="C40" t="s">
        <v>56</v>
      </c>
      <c r="D40" t="s">
        <v>60</v>
      </c>
      <c r="E40">
        <v>0</v>
      </c>
      <c r="F40">
        <v>0</v>
      </c>
      <c r="G40">
        <v>45</v>
      </c>
      <c r="H40" t="s">
        <v>58</v>
      </c>
      <c r="M40">
        <v>0</v>
      </c>
      <c r="N40">
        <v>0</v>
      </c>
      <c r="O40">
        <v>0</v>
      </c>
      <c r="R40" t="str">
        <f t="shared" si="0"/>
        <v>yes</v>
      </c>
      <c r="S40" t="str">
        <f t="shared" si="1"/>
        <v>no</v>
      </c>
    </row>
    <row r="41" spans="1:19" x14ac:dyDescent="0.35">
      <c r="A41" s="1">
        <v>39</v>
      </c>
      <c r="B41" t="s">
        <v>16</v>
      </c>
      <c r="C41" t="s">
        <v>56</v>
      </c>
      <c r="D41" t="s">
        <v>61</v>
      </c>
      <c r="E41">
        <v>0</v>
      </c>
      <c r="F41">
        <v>0</v>
      </c>
      <c r="G41">
        <v>45</v>
      </c>
      <c r="H41" t="s">
        <v>58</v>
      </c>
      <c r="M41">
        <v>0</v>
      </c>
      <c r="N41">
        <v>0</v>
      </c>
      <c r="O41">
        <v>0</v>
      </c>
      <c r="R41" t="str">
        <f t="shared" si="0"/>
        <v>yes</v>
      </c>
      <c r="S41" t="str">
        <f t="shared" si="1"/>
        <v>no</v>
      </c>
    </row>
    <row r="42" spans="1:19" x14ac:dyDescent="0.35">
      <c r="A42" s="1">
        <v>40</v>
      </c>
      <c r="B42" t="s">
        <v>16</v>
      </c>
      <c r="C42" t="s">
        <v>56</v>
      </c>
      <c r="D42" t="s">
        <v>62</v>
      </c>
      <c r="E42">
        <v>0</v>
      </c>
      <c r="F42">
        <v>0</v>
      </c>
      <c r="G42">
        <v>45</v>
      </c>
      <c r="H42" t="s">
        <v>58</v>
      </c>
      <c r="M42">
        <v>0</v>
      </c>
      <c r="N42">
        <v>0</v>
      </c>
      <c r="O42">
        <v>0</v>
      </c>
      <c r="R42" t="str">
        <f t="shared" si="0"/>
        <v>yes</v>
      </c>
      <c r="S42" t="str">
        <f t="shared" si="1"/>
        <v>no</v>
      </c>
    </row>
    <row r="43" spans="1:19" x14ac:dyDescent="0.35">
      <c r="A43" s="1">
        <v>41</v>
      </c>
      <c r="B43" t="s">
        <v>16</v>
      </c>
      <c r="C43" t="s">
        <v>56</v>
      </c>
      <c r="D43" t="s">
        <v>63</v>
      </c>
      <c r="E43">
        <v>0</v>
      </c>
      <c r="F43">
        <v>0</v>
      </c>
      <c r="G43">
        <v>45</v>
      </c>
      <c r="H43" t="s">
        <v>58</v>
      </c>
      <c r="M43">
        <v>0</v>
      </c>
      <c r="N43">
        <v>0</v>
      </c>
      <c r="O43">
        <v>0</v>
      </c>
      <c r="R43" t="str">
        <f t="shared" si="0"/>
        <v>yes</v>
      </c>
      <c r="S43" t="str">
        <f t="shared" si="1"/>
        <v>no</v>
      </c>
    </row>
    <row r="44" spans="1:19" x14ac:dyDescent="0.35">
      <c r="A44" s="1">
        <v>42</v>
      </c>
      <c r="B44" t="s">
        <v>16</v>
      </c>
      <c r="C44" t="s">
        <v>56</v>
      </c>
      <c r="D44" t="s">
        <v>64</v>
      </c>
      <c r="E44">
        <v>0</v>
      </c>
      <c r="F44">
        <v>0</v>
      </c>
      <c r="G44">
        <v>45</v>
      </c>
      <c r="H44" t="s">
        <v>58</v>
      </c>
      <c r="M44">
        <v>0</v>
      </c>
      <c r="N44">
        <v>0</v>
      </c>
      <c r="O44">
        <v>0</v>
      </c>
      <c r="R44" t="str">
        <f t="shared" si="0"/>
        <v>yes</v>
      </c>
      <c r="S44" t="str">
        <f t="shared" si="1"/>
        <v>no</v>
      </c>
    </row>
    <row r="45" spans="1:19" x14ac:dyDescent="0.35">
      <c r="A45" s="1">
        <v>43</v>
      </c>
      <c r="B45" t="s">
        <v>16</v>
      </c>
      <c r="C45" t="s">
        <v>56</v>
      </c>
      <c r="D45" t="s">
        <v>65</v>
      </c>
      <c r="E45">
        <v>0</v>
      </c>
      <c r="F45">
        <v>0</v>
      </c>
      <c r="G45">
        <v>45</v>
      </c>
      <c r="H45" t="s">
        <v>58</v>
      </c>
      <c r="M45">
        <v>0</v>
      </c>
      <c r="N45">
        <v>0</v>
      </c>
      <c r="O45">
        <v>0</v>
      </c>
      <c r="R45" t="str">
        <f t="shared" si="0"/>
        <v>yes</v>
      </c>
      <c r="S45" t="str">
        <f t="shared" si="1"/>
        <v>no</v>
      </c>
    </row>
    <row r="46" spans="1:19" x14ac:dyDescent="0.35">
      <c r="A46" s="1">
        <v>44</v>
      </c>
      <c r="B46" t="s">
        <v>16</v>
      </c>
      <c r="C46" t="s">
        <v>56</v>
      </c>
      <c r="D46" t="s">
        <v>66</v>
      </c>
      <c r="E46">
        <v>0</v>
      </c>
      <c r="F46">
        <v>0</v>
      </c>
      <c r="G46">
        <v>45</v>
      </c>
      <c r="H46" t="s">
        <v>58</v>
      </c>
      <c r="M46">
        <v>0</v>
      </c>
      <c r="N46">
        <v>0</v>
      </c>
      <c r="O46">
        <v>0</v>
      </c>
      <c r="R46" t="str">
        <f t="shared" si="0"/>
        <v>yes</v>
      </c>
      <c r="S46" t="str">
        <f t="shared" si="1"/>
        <v>no</v>
      </c>
    </row>
    <row r="47" spans="1:19" x14ac:dyDescent="0.35">
      <c r="A47" s="1">
        <v>45</v>
      </c>
      <c r="B47" t="s">
        <v>16</v>
      </c>
      <c r="C47" t="s">
        <v>56</v>
      </c>
      <c r="D47" t="s">
        <v>67</v>
      </c>
      <c r="E47">
        <v>0</v>
      </c>
      <c r="F47">
        <v>0</v>
      </c>
      <c r="G47">
        <v>45</v>
      </c>
      <c r="H47" t="s">
        <v>58</v>
      </c>
      <c r="I47">
        <v>-50</v>
      </c>
      <c r="J47">
        <v>90</v>
      </c>
      <c r="K47">
        <v>20</v>
      </c>
      <c r="L47">
        <v>140</v>
      </c>
      <c r="M47">
        <v>0</v>
      </c>
      <c r="N47">
        <v>0</v>
      </c>
      <c r="O47">
        <v>0</v>
      </c>
      <c r="Q47" t="s">
        <v>21</v>
      </c>
      <c r="R47" t="str">
        <f t="shared" si="0"/>
        <v>yes</v>
      </c>
      <c r="S47" t="str">
        <f t="shared" si="1"/>
        <v>yes</v>
      </c>
    </row>
    <row r="48" spans="1:19" x14ac:dyDescent="0.35">
      <c r="A48" s="1">
        <v>46</v>
      </c>
      <c r="B48" t="s">
        <v>16</v>
      </c>
      <c r="C48" t="s">
        <v>56</v>
      </c>
      <c r="D48" t="s">
        <v>68</v>
      </c>
      <c r="E48">
        <v>0</v>
      </c>
      <c r="F48">
        <v>0</v>
      </c>
      <c r="G48">
        <v>45</v>
      </c>
      <c r="H48" t="s">
        <v>58</v>
      </c>
      <c r="I48">
        <v>-50</v>
      </c>
      <c r="J48">
        <v>90</v>
      </c>
      <c r="K48">
        <v>20</v>
      </c>
      <c r="L48">
        <v>140</v>
      </c>
      <c r="M48">
        <v>0</v>
      </c>
      <c r="N48">
        <v>0</v>
      </c>
      <c r="O48">
        <v>0</v>
      </c>
      <c r="Q48" t="s">
        <v>21</v>
      </c>
      <c r="R48" t="str">
        <f t="shared" si="0"/>
        <v>yes</v>
      </c>
      <c r="S48" t="str">
        <f t="shared" si="1"/>
        <v>yes</v>
      </c>
    </row>
    <row r="49" spans="1:19" x14ac:dyDescent="0.35">
      <c r="A49" s="1">
        <v>47</v>
      </c>
      <c r="B49" t="s">
        <v>16</v>
      </c>
      <c r="C49" t="s">
        <v>56</v>
      </c>
      <c r="D49" t="s">
        <v>69</v>
      </c>
      <c r="E49">
        <v>0</v>
      </c>
      <c r="F49">
        <v>0</v>
      </c>
      <c r="G49">
        <v>45</v>
      </c>
      <c r="H49" t="s">
        <v>58</v>
      </c>
      <c r="M49">
        <v>0</v>
      </c>
      <c r="N49">
        <v>0</v>
      </c>
      <c r="O49">
        <v>0</v>
      </c>
      <c r="R49" t="str">
        <f t="shared" si="0"/>
        <v>yes</v>
      </c>
      <c r="S49" t="str">
        <f t="shared" si="1"/>
        <v>no</v>
      </c>
    </row>
    <row r="50" spans="1:19" x14ac:dyDescent="0.35">
      <c r="A50" s="1">
        <v>48</v>
      </c>
      <c r="B50" t="s">
        <v>16</v>
      </c>
      <c r="C50" t="s">
        <v>56</v>
      </c>
      <c r="D50" t="s">
        <v>70</v>
      </c>
      <c r="E50">
        <v>0</v>
      </c>
      <c r="F50">
        <v>0</v>
      </c>
      <c r="G50">
        <v>45</v>
      </c>
      <c r="H50" t="s">
        <v>58</v>
      </c>
      <c r="M50">
        <v>0</v>
      </c>
      <c r="N50">
        <v>0</v>
      </c>
      <c r="O50">
        <v>0</v>
      </c>
      <c r="R50" t="str">
        <f t="shared" si="0"/>
        <v>yes</v>
      </c>
      <c r="S50" t="str">
        <f t="shared" si="1"/>
        <v>no</v>
      </c>
    </row>
    <row r="51" spans="1:19" x14ac:dyDescent="0.35">
      <c r="A51" s="1">
        <v>49</v>
      </c>
      <c r="B51" t="s">
        <v>16</v>
      </c>
      <c r="C51" t="s">
        <v>56</v>
      </c>
      <c r="D51" t="s">
        <v>71</v>
      </c>
      <c r="E51">
        <v>0</v>
      </c>
      <c r="F51">
        <v>0</v>
      </c>
      <c r="G51">
        <v>45</v>
      </c>
      <c r="H51" t="s">
        <v>58</v>
      </c>
      <c r="M51">
        <v>0</v>
      </c>
      <c r="N51">
        <v>0</v>
      </c>
      <c r="O51">
        <v>0</v>
      </c>
      <c r="R51" t="str">
        <f t="shared" si="0"/>
        <v>yes</v>
      </c>
      <c r="S51" t="str">
        <f t="shared" si="1"/>
        <v>no</v>
      </c>
    </row>
    <row r="52" spans="1:19" x14ac:dyDescent="0.35">
      <c r="A52" s="1">
        <v>50</v>
      </c>
      <c r="B52" t="s">
        <v>16</v>
      </c>
      <c r="C52" t="s">
        <v>56</v>
      </c>
      <c r="D52" t="s">
        <v>72</v>
      </c>
      <c r="E52">
        <v>0</v>
      </c>
      <c r="F52">
        <v>0</v>
      </c>
      <c r="G52">
        <v>45</v>
      </c>
      <c r="H52" t="s">
        <v>58</v>
      </c>
      <c r="M52">
        <v>0</v>
      </c>
      <c r="N52">
        <v>0</v>
      </c>
      <c r="O52">
        <v>0</v>
      </c>
      <c r="R52" t="str">
        <f t="shared" si="0"/>
        <v>yes</v>
      </c>
      <c r="S52" t="str">
        <f t="shared" si="1"/>
        <v>no</v>
      </c>
    </row>
    <row r="53" spans="1:19" x14ac:dyDescent="0.35">
      <c r="A53" s="1">
        <v>51</v>
      </c>
      <c r="B53" t="s">
        <v>16</v>
      </c>
      <c r="C53" t="s">
        <v>56</v>
      </c>
      <c r="D53" t="s">
        <v>73</v>
      </c>
      <c r="E53">
        <v>0</v>
      </c>
      <c r="F53">
        <v>0</v>
      </c>
      <c r="G53">
        <v>45</v>
      </c>
      <c r="H53" t="s">
        <v>58</v>
      </c>
      <c r="M53">
        <v>0</v>
      </c>
      <c r="N53">
        <v>0</v>
      </c>
      <c r="O53">
        <v>0</v>
      </c>
      <c r="R53" t="str">
        <f t="shared" si="0"/>
        <v>yes</v>
      </c>
      <c r="S53" t="str">
        <f t="shared" si="1"/>
        <v>no</v>
      </c>
    </row>
    <row r="54" spans="1:19" x14ac:dyDescent="0.35">
      <c r="A54" s="1">
        <v>52</v>
      </c>
      <c r="B54" t="s">
        <v>16</v>
      </c>
      <c r="C54" t="s">
        <v>56</v>
      </c>
      <c r="D54" t="s">
        <v>74</v>
      </c>
      <c r="E54">
        <v>0</v>
      </c>
      <c r="F54">
        <v>0</v>
      </c>
      <c r="G54">
        <v>45</v>
      </c>
      <c r="H54" t="s">
        <v>58</v>
      </c>
      <c r="M54">
        <v>0</v>
      </c>
      <c r="N54">
        <v>0</v>
      </c>
      <c r="O54">
        <v>0</v>
      </c>
      <c r="R54" t="str">
        <f t="shared" si="0"/>
        <v>yes</v>
      </c>
      <c r="S54" t="str">
        <f t="shared" si="1"/>
        <v>no</v>
      </c>
    </row>
    <row r="55" spans="1:19" x14ac:dyDescent="0.35">
      <c r="A55" s="1">
        <v>53</v>
      </c>
      <c r="B55" t="s">
        <v>75</v>
      </c>
      <c r="C55" t="s">
        <v>76</v>
      </c>
      <c r="D55" t="s">
        <v>77</v>
      </c>
      <c r="G55">
        <v>27</v>
      </c>
      <c r="H55" t="s">
        <v>19</v>
      </c>
      <c r="R55" t="str">
        <f t="shared" si="0"/>
        <v>no</v>
      </c>
      <c r="S55" t="str">
        <f t="shared" si="1"/>
        <v>no</v>
      </c>
    </row>
    <row r="56" spans="1:19" x14ac:dyDescent="0.35">
      <c r="A56" s="1">
        <v>54</v>
      </c>
      <c r="B56" t="s">
        <v>75</v>
      </c>
      <c r="C56" t="s">
        <v>76</v>
      </c>
      <c r="D56" t="s">
        <v>78</v>
      </c>
      <c r="E56">
        <v>1</v>
      </c>
      <c r="F56">
        <v>0</v>
      </c>
      <c r="G56">
        <v>27</v>
      </c>
      <c r="H56" t="s">
        <v>19</v>
      </c>
      <c r="M56">
        <v>1</v>
      </c>
      <c r="N56">
        <v>1</v>
      </c>
      <c r="O56">
        <v>0</v>
      </c>
      <c r="P56" t="s">
        <v>21</v>
      </c>
      <c r="R56" t="str">
        <f t="shared" si="0"/>
        <v>no</v>
      </c>
      <c r="S56" t="str">
        <f t="shared" si="1"/>
        <v>no</v>
      </c>
    </row>
    <row r="57" spans="1:19" x14ac:dyDescent="0.35">
      <c r="A57" s="1">
        <v>55</v>
      </c>
      <c r="B57" t="s">
        <v>75</v>
      </c>
      <c r="C57" t="s">
        <v>76</v>
      </c>
      <c r="D57" t="s">
        <v>79</v>
      </c>
      <c r="E57">
        <v>1</v>
      </c>
      <c r="F57">
        <v>0</v>
      </c>
      <c r="G57">
        <v>27</v>
      </c>
      <c r="H57" t="s">
        <v>19</v>
      </c>
      <c r="M57">
        <v>1</v>
      </c>
      <c r="N57">
        <v>1</v>
      </c>
      <c r="O57">
        <v>0</v>
      </c>
      <c r="P57" t="s">
        <v>21</v>
      </c>
      <c r="R57" t="str">
        <f t="shared" si="0"/>
        <v>no</v>
      </c>
      <c r="S57" t="str">
        <f t="shared" si="1"/>
        <v>no</v>
      </c>
    </row>
    <row r="58" spans="1:19" x14ac:dyDescent="0.35">
      <c r="A58" s="1">
        <v>56</v>
      </c>
      <c r="B58" t="s">
        <v>75</v>
      </c>
      <c r="C58" t="s">
        <v>76</v>
      </c>
      <c r="D58" t="s">
        <v>80</v>
      </c>
      <c r="E58">
        <v>1</v>
      </c>
      <c r="F58">
        <v>0</v>
      </c>
      <c r="G58">
        <v>27</v>
      </c>
      <c r="H58" t="s">
        <v>19</v>
      </c>
      <c r="M58">
        <v>1</v>
      </c>
      <c r="N58">
        <v>1</v>
      </c>
      <c r="O58">
        <v>0</v>
      </c>
      <c r="P58" t="s">
        <v>21</v>
      </c>
      <c r="R58" t="str">
        <f t="shared" si="0"/>
        <v>no</v>
      </c>
      <c r="S58" t="str">
        <f t="shared" si="1"/>
        <v>no</v>
      </c>
    </row>
    <row r="59" spans="1:19" x14ac:dyDescent="0.35">
      <c r="A59" s="1">
        <v>57</v>
      </c>
      <c r="B59" t="s">
        <v>75</v>
      </c>
      <c r="C59" t="s">
        <v>76</v>
      </c>
      <c r="D59" t="s">
        <v>81</v>
      </c>
      <c r="E59">
        <v>1</v>
      </c>
      <c r="F59">
        <v>0</v>
      </c>
      <c r="G59">
        <v>27</v>
      </c>
      <c r="H59" t="s">
        <v>19</v>
      </c>
      <c r="M59">
        <v>1</v>
      </c>
      <c r="N59">
        <v>1</v>
      </c>
      <c r="O59">
        <v>0</v>
      </c>
      <c r="P59" t="s">
        <v>21</v>
      </c>
      <c r="R59" t="str">
        <f t="shared" si="0"/>
        <v>no</v>
      </c>
      <c r="S59" t="str">
        <f t="shared" si="1"/>
        <v>no</v>
      </c>
    </row>
    <row r="60" spans="1:19" x14ac:dyDescent="0.35">
      <c r="A60" s="1">
        <v>58</v>
      </c>
      <c r="B60" t="s">
        <v>75</v>
      </c>
      <c r="C60" t="s">
        <v>76</v>
      </c>
      <c r="D60" t="s">
        <v>82</v>
      </c>
      <c r="E60">
        <v>1</v>
      </c>
      <c r="F60">
        <v>0</v>
      </c>
      <c r="G60">
        <v>27</v>
      </c>
      <c r="H60" t="s">
        <v>19</v>
      </c>
      <c r="M60">
        <v>1</v>
      </c>
      <c r="N60">
        <v>1</v>
      </c>
      <c r="O60">
        <v>0</v>
      </c>
      <c r="P60" t="s">
        <v>21</v>
      </c>
      <c r="R60" t="str">
        <f t="shared" si="0"/>
        <v>no</v>
      </c>
      <c r="S60" t="str">
        <f t="shared" si="1"/>
        <v>no</v>
      </c>
    </row>
    <row r="61" spans="1:19" x14ac:dyDescent="0.35">
      <c r="A61" s="1">
        <v>59</v>
      </c>
      <c r="B61" t="s">
        <v>75</v>
      </c>
      <c r="C61" t="s">
        <v>76</v>
      </c>
      <c r="D61" t="s">
        <v>83</v>
      </c>
      <c r="E61">
        <v>1</v>
      </c>
      <c r="F61">
        <v>0</v>
      </c>
      <c r="G61">
        <v>27</v>
      </c>
      <c r="H61" t="s">
        <v>19</v>
      </c>
      <c r="M61">
        <v>1</v>
      </c>
      <c r="N61">
        <v>1</v>
      </c>
      <c r="O61">
        <v>0</v>
      </c>
      <c r="P61" t="s">
        <v>21</v>
      </c>
      <c r="R61" t="str">
        <f t="shared" si="0"/>
        <v>no</v>
      </c>
      <c r="S61" t="str">
        <f t="shared" si="1"/>
        <v>no</v>
      </c>
    </row>
    <row r="62" spans="1:19" x14ac:dyDescent="0.35">
      <c r="A62" s="1">
        <v>60</v>
      </c>
      <c r="B62" t="s">
        <v>75</v>
      </c>
      <c r="C62" t="s">
        <v>76</v>
      </c>
      <c r="D62" t="s">
        <v>84</v>
      </c>
      <c r="E62">
        <v>1</v>
      </c>
      <c r="F62">
        <v>0</v>
      </c>
      <c r="G62">
        <v>27</v>
      </c>
      <c r="H62" t="s">
        <v>19</v>
      </c>
      <c r="M62">
        <v>1</v>
      </c>
      <c r="N62">
        <v>1</v>
      </c>
      <c r="O62">
        <v>0</v>
      </c>
      <c r="P62" t="s">
        <v>21</v>
      </c>
      <c r="R62" t="str">
        <f t="shared" si="0"/>
        <v>no</v>
      </c>
      <c r="S62" t="str">
        <f t="shared" si="1"/>
        <v>no</v>
      </c>
    </row>
    <row r="63" spans="1:19" x14ac:dyDescent="0.35">
      <c r="A63" s="1">
        <v>61</v>
      </c>
      <c r="B63" t="s">
        <v>75</v>
      </c>
      <c r="C63" t="s">
        <v>76</v>
      </c>
      <c r="D63" t="s">
        <v>85</v>
      </c>
      <c r="E63">
        <v>48.398895208641967</v>
      </c>
      <c r="F63">
        <v>3.508381603602404</v>
      </c>
      <c r="G63">
        <v>27</v>
      </c>
      <c r="H63" t="s">
        <v>19</v>
      </c>
      <c r="M63">
        <v>55.415658415846778</v>
      </c>
      <c r="N63">
        <v>41.382132001437157</v>
      </c>
      <c r="O63">
        <v>14.03352641440962</v>
      </c>
      <c r="P63">
        <v>13.795219755726119</v>
      </c>
      <c r="R63" t="str">
        <f t="shared" si="0"/>
        <v>no</v>
      </c>
      <c r="S63" t="str">
        <f t="shared" si="1"/>
        <v>no</v>
      </c>
    </row>
    <row r="64" spans="1:19" x14ac:dyDescent="0.35">
      <c r="A64" s="1">
        <v>62</v>
      </c>
      <c r="B64" t="s">
        <v>75</v>
      </c>
      <c r="C64" t="s">
        <v>76</v>
      </c>
      <c r="D64" t="s">
        <v>86</v>
      </c>
      <c r="G64">
        <v>27</v>
      </c>
      <c r="H64" t="s">
        <v>19</v>
      </c>
      <c r="R64" t="str">
        <f t="shared" si="0"/>
        <v>no</v>
      </c>
      <c r="S64" t="str">
        <f t="shared" si="1"/>
        <v>no</v>
      </c>
    </row>
    <row r="65" spans="1:19" x14ac:dyDescent="0.35">
      <c r="A65" s="1">
        <v>63</v>
      </c>
      <c r="B65" t="s">
        <v>75</v>
      </c>
      <c r="C65" t="s">
        <v>87</v>
      </c>
      <c r="D65" t="s">
        <v>88</v>
      </c>
      <c r="G65">
        <v>27</v>
      </c>
      <c r="H65" t="s">
        <v>19</v>
      </c>
      <c r="R65" t="str">
        <f t="shared" si="0"/>
        <v>no</v>
      </c>
      <c r="S65" t="str">
        <f t="shared" si="1"/>
        <v>no</v>
      </c>
    </row>
    <row r="66" spans="1:19" x14ac:dyDescent="0.35">
      <c r="A66" s="1">
        <v>64</v>
      </c>
      <c r="B66" t="s">
        <v>75</v>
      </c>
      <c r="C66" t="s">
        <v>87</v>
      </c>
      <c r="D66" t="s">
        <v>89</v>
      </c>
      <c r="E66">
        <v>1</v>
      </c>
      <c r="F66">
        <v>0</v>
      </c>
      <c r="G66">
        <v>27</v>
      </c>
      <c r="H66" t="s">
        <v>19</v>
      </c>
      <c r="M66">
        <v>1</v>
      </c>
      <c r="N66">
        <v>1</v>
      </c>
      <c r="O66">
        <v>0</v>
      </c>
      <c r="P66" t="s">
        <v>21</v>
      </c>
      <c r="R66" t="str">
        <f t="shared" si="0"/>
        <v>no</v>
      </c>
      <c r="S66" t="str">
        <f t="shared" si="1"/>
        <v>no</v>
      </c>
    </row>
    <row r="67" spans="1:19" x14ac:dyDescent="0.35">
      <c r="A67" s="1">
        <v>65</v>
      </c>
      <c r="B67" t="s">
        <v>75</v>
      </c>
      <c r="C67" t="s">
        <v>87</v>
      </c>
      <c r="D67" t="s">
        <v>90</v>
      </c>
      <c r="E67">
        <v>1</v>
      </c>
      <c r="F67">
        <v>0</v>
      </c>
      <c r="G67">
        <v>27</v>
      </c>
      <c r="H67" t="s">
        <v>19</v>
      </c>
      <c r="M67">
        <v>1</v>
      </c>
      <c r="N67">
        <v>1</v>
      </c>
      <c r="O67">
        <v>0</v>
      </c>
      <c r="P67" t="s">
        <v>21</v>
      </c>
      <c r="R67" t="str">
        <f t="shared" ref="R67:R130" si="2">IF(H67="yes","yes","no")</f>
        <v>no</v>
      </c>
      <c r="S67" t="str">
        <f t="shared" ref="S67:S130" si="3">IF(I67,"yes","no")</f>
        <v>no</v>
      </c>
    </row>
    <row r="68" spans="1:19" x14ac:dyDescent="0.35">
      <c r="A68" s="1">
        <v>66</v>
      </c>
      <c r="B68" t="s">
        <v>75</v>
      </c>
      <c r="C68" t="s">
        <v>87</v>
      </c>
      <c r="D68" t="s">
        <v>91</v>
      </c>
      <c r="G68">
        <v>27</v>
      </c>
      <c r="H68" t="s">
        <v>19</v>
      </c>
      <c r="R68" t="str">
        <f t="shared" si="2"/>
        <v>no</v>
      </c>
      <c r="S68" t="str">
        <f t="shared" si="3"/>
        <v>no</v>
      </c>
    </row>
    <row r="69" spans="1:19" x14ac:dyDescent="0.35">
      <c r="A69" s="1">
        <v>67</v>
      </c>
      <c r="B69" t="s">
        <v>75</v>
      </c>
      <c r="C69" t="s">
        <v>87</v>
      </c>
      <c r="D69" t="s">
        <v>92</v>
      </c>
      <c r="E69">
        <v>35.836111111111109</v>
      </c>
      <c r="F69">
        <v>4.1147458443690734</v>
      </c>
      <c r="G69">
        <v>27</v>
      </c>
      <c r="H69" t="s">
        <v>19</v>
      </c>
      <c r="M69">
        <v>44.065602799849259</v>
      </c>
      <c r="N69">
        <v>27.606619422372962</v>
      </c>
      <c r="O69">
        <v>16.458983377476301</v>
      </c>
      <c r="P69">
        <v>8.7091918836620081</v>
      </c>
      <c r="R69" t="str">
        <f t="shared" si="2"/>
        <v>no</v>
      </c>
      <c r="S69" t="str">
        <f t="shared" si="3"/>
        <v>no</v>
      </c>
    </row>
    <row r="70" spans="1:19" x14ac:dyDescent="0.35">
      <c r="A70" s="1">
        <v>68</v>
      </c>
      <c r="B70" t="s">
        <v>75</v>
      </c>
      <c r="C70" t="s">
        <v>87</v>
      </c>
      <c r="D70" t="s">
        <v>93</v>
      </c>
      <c r="E70">
        <v>37.305555555555557</v>
      </c>
      <c r="F70">
        <v>4.087775765730167</v>
      </c>
      <c r="G70">
        <v>27</v>
      </c>
      <c r="H70" t="s">
        <v>19</v>
      </c>
      <c r="M70">
        <v>45.481107087015893</v>
      </c>
      <c r="N70">
        <v>29.130004024095221</v>
      </c>
      <c r="O70">
        <v>16.351103062920672</v>
      </c>
      <c r="P70">
        <v>9.1261257205706734</v>
      </c>
      <c r="R70" t="str">
        <f t="shared" si="2"/>
        <v>no</v>
      </c>
      <c r="S70" t="str">
        <f t="shared" si="3"/>
        <v>no</v>
      </c>
    </row>
    <row r="71" spans="1:19" x14ac:dyDescent="0.35">
      <c r="A71" s="1">
        <v>69</v>
      </c>
      <c r="B71" t="s">
        <v>75</v>
      </c>
      <c r="C71" t="s">
        <v>94</v>
      </c>
      <c r="D71" t="s">
        <v>95</v>
      </c>
      <c r="E71">
        <v>32.390012020987648</v>
      </c>
      <c r="F71">
        <v>3.2190158864685992</v>
      </c>
      <c r="G71">
        <v>27</v>
      </c>
      <c r="H71" t="s">
        <v>19</v>
      </c>
      <c r="M71">
        <v>38.828043793924849</v>
      </c>
      <c r="N71">
        <v>25.95198024805045</v>
      </c>
      <c r="O71">
        <v>12.8760635458744</v>
      </c>
      <c r="P71">
        <v>10.06208517240991</v>
      </c>
      <c r="R71" t="str">
        <f t="shared" si="2"/>
        <v>no</v>
      </c>
      <c r="S71" t="str">
        <f t="shared" si="3"/>
        <v>no</v>
      </c>
    </row>
    <row r="72" spans="1:19" x14ac:dyDescent="0.35">
      <c r="A72" s="1">
        <v>70</v>
      </c>
      <c r="B72" t="s">
        <v>75</v>
      </c>
      <c r="C72" t="s">
        <v>94</v>
      </c>
      <c r="D72" t="s">
        <v>96</v>
      </c>
      <c r="E72">
        <v>60</v>
      </c>
      <c r="F72">
        <v>0</v>
      </c>
      <c r="G72">
        <v>27</v>
      </c>
      <c r="H72" t="s">
        <v>19</v>
      </c>
      <c r="M72">
        <v>60</v>
      </c>
      <c r="N72">
        <v>60</v>
      </c>
      <c r="O72">
        <v>0</v>
      </c>
      <c r="P72" t="s">
        <v>21</v>
      </c>
      <c r="R72" t="str">
        <f t="shared" si="2"/>
        <v>no</v>
      </c>
      <c r="S72" t="str">
        <f t="shared" si="3"/>
        <v>no</v>
      </c>
    </row>
    <row r="73" spans="1:19" x14ac:dyDescent="0.35">
      <c r="A73" s="1">
        <v>71</v>
      </c>
      <c r="B73" t="s">
        <v>75</v>
      </c>
      <c r="C73" t="s">
        <v>94</v>
      </c>
      <c r="D73" t="s">
        <v>97</v>
      </c>
      <c r="E73">
        <v>34.844667435802457</v>
      </c>
      <c r="F73">
        <v>3.8092287991949072</v>
      </c>
      <c r="G73">
        <v>27</v>
      </c>
      <c r="H73" t="s">
        <v>19</v>
      </c>
      <c r="M73">
        <v>42.463125034192267</v>
      </c>
      <c r="N73">
        <v>27.22620983741264</v>
      </c>
      <c r="O73">
        <v>15.236915196779631</v>
      </c>
      <c r="P73">
        <v>9.1474335810878546</v>
      </c>
      <c r="R73" t="str">
        <f t="shared" si="2"/>
        <v>no</v>
      </c>
      <c r="S73" t="str">
        <f t="shared" si="3"/>
        <v>no</v>
      </c>
    </row>
    <row r="74" spans="1:19" x14ac:dyDescent="0.35">
      <c r="A74" s="1">
        <v>72</v>
      </c>
      <c r="B74" t="s">
        <v>75</v>
      </c>
      <c r="C74" t="s">
        <v>94</v>
      </c>
      <c r="D74" t="s">
        <v>98</v>
      </c>
      <c r="E74">
        <v>29.935356666666671</v>
      </c>
      <c r="F74">
        <v>2.6687437053481688</v>
      </c>
      <c r="G74">
        <v>27</v>
      </c>
      <c r="H74" t="s">
        <v>19</v>
      </c>
      <c r="M74">
        <v>35.272844077363011</v>
      </c>
      <c r="N74">
        <v>24.59786925597033</v>
      </c>
      <c r="O74">
        <v>10.674974821392681</v>
      </c>
      <c r="P74">
        <v>11.217021929335569</v>
      </c>
      <c r="R74" t="str">
        <f t="shared" si="2"/>
        <v>no</v>
      </c>
      <c r="S74" t="str">
        <f t="shared" si="3"/>
        <v>no</v>
      </c>
    </row>
    <row r="75" spans="1:19" x14ac:dyDescent="0.35">
      <c r="A75" s="1">
        <v>73</v>
      </c>
      <c r="B75" t="s">
        <v>75</v>
      </c>
      <c r="C75" t="s">
        <v>99</v>
      </c>
      <c r="D75" t="s">
        <v>100</v>
      </c>
      <c r="G75">
        <v>27</v>
      </c>
      <c r="H75" t="s">
        <v>19</v>
      </c>
      <c r="R75" t="str">
        <f t="shared" si="2"/>
        <v>no</v>
      </c>
      <c r="S75" t="str">
        <f t="shared" si="3"/>
        <v>no</v>
      </c>
    </row>
    <row r="76" spans="1:19" x14ac:dyDescent="0.35">
      <c r="A76" s="1">
        <v>74</v>
      </c>
      <c r="B76" t="s">
        <v>75</v>
      </c>
      <c r="C76" t="s">
        <v>99</v>
      </c>
      <c r="D76" t="s">
        <v>101</v>
      </c>
      <c r="E76">
        <v>1</v>
      </c>
      <c r="F76">
        <v>0</v>
      </c>
      <c r="G76">
        <v>27</v>
      </c>
      <c r="H76" t="s">
        <v>19</v>
      </c>
      <c r="M76">
        <v>1</v>
      </c>
      <c r="N76">
        <v>1</v>
      </c>
      <c r="O76">
        <v>0</v>
      </c>
      <c r="P76" t="s">
        <v>21</v>
      </c>
      <c r="R76" t="str">
        <f t="shared" si="2"/>
        <v>no</v>
      </c>
      <c r="S76" t="str">
        <f t="shared" si="3"/>
        <v>no</v>
      </c>
    </row>
    <row r="77" spans="1:19" x14ac:dyDescent="0.35">
      <c r="A77" s="1">
        <v>75</v>
      </c>
      <c r="B77" t="s">
        <v>75</v>
      </c>
      <c r="C77" t="s">
        <v>99</v>
      </c>
      <c r="D77" t="s">
        <v>102</v>
      </c>
      <c r="E77">
        <v>1</v>
      </c>
      <c r="F77">
        <v>0</v>
      </c>
      <c r="G77">
        <v>27</v>
      </c>
      <c r="H77" t="s">
        <v>19</v>
      </c>
      <c r="M77">
        <v>1</v>
      </c>
      <c r="N77">
        <v>1</v>
      </c>
      <c r="O77">
        <v>0</v>
      </c>
      <c r="P77" t="s">
        <v>21</v>
      </c>
      <c r="R77" t="str">
        <f t="shared" si="2"/>
        <v>no</v>
      </c>
      <c r="S77" t="str">
        <f t="shared" si="3"/>
        <v>no</v>
      </c>
    </row>
    <row r="78" spans="1:19" x14ac:dyDescent="0.35">
      <c r="A78" s="1">
        <v>76</v>
      </c>
      <c r="B78" t="s">
        <v>75</v>
      </c>
      <c r="C78" t="s">
        <v>99</v>
      </c>
      <c r="D78" t="s">
        <v>103</v>
      </c>
      <c r="E78">
        <v>1</v>
      </c>
      <c r="F78">
        <v>0</v>
      </c>
      <c r="G78">
        <v>27</v>
      </c>
      <c r="H78" t="s">
        <v>19</v>
      </c>
      <c r="M78">
        <v>1</v>
      </c>
      <c r="N78">
        <v>1</v>
      </c>
      <c r="O78">
        <v>0</v>
      </c>
      <c r="P78" t="s">
        <v>21</v>
      </c>
      <c r="R78" t="str">
        <f t="shared" si="2"/>
        <v>no</v>
      </c>
      <c r="S78" t="str">
        <f t="shared" si="3"/>
        <v>no</v>
      </c>
    </row>
    <row r="79" spans="1:19" x14ac:dyDescent="0.35">
      <c r="A79" s="1">
        <v>77</v>
      </c>
      <c r="B79" t="s">
        <v>75</v>
      </c>
      <c r="C79" t="s">
        <v>99</v>
      </c>
      <c r="D79" t="s">
        <v>104</v>
      </c>
      <c r="E79">
        <v>1</v>
      </c>
      <c r="F79">
        <v>0</v>
      </c>
      <c r="G79">
        <v>27</v>
      </c>
      <c r="H79" t="s">
        <v>19</v>
      </c>
      <c r="M79">
        <v>1</v>
      </c>
      <c r="N79">
        <v>1</v>
      </c>
      <c r="O79">
        <v>0</v>
      </c>
      <c r="P79" t="s">
        <v>21</v>
      </c>
      <c r="R79" t="str">
        <f t="shared" si="2"/>
        <v>no</v>
      </c>
      <c r="S79" t="str">
        <f t="shared" si="3"/>
        <v>no</v>
      </c>
    </row>
    <row r="80" spans="1:19" x14ac:dyDescent="0.35">
      <c r="A80" s="1">
        <v>78</v>
      </c>
      <c r="B80" t="s">
        <v>75</v>
      </c>
      <c r="C80" t="s">
        <v>99</v>
      </c>
      <c r="D80" t="s">
        <v>105</v>
      </c>
      <c r="E80">
        <v>42.828395061728401</v>
      </c>
      <c r="F80">
        <v>6.4137556420875628</v>
      </c>
      <c r="G80">
        <v>27</v>
      </c>
      <c r="H80" t="s">
        <v>19</v>
      </c>
      <c r="M80">
        <v>55.655906345903517</v>
      </c>
      <c r="N80">
        <v>30.00088377755328</v>
      </c>
      <c r="O80">
        <v>25.655022568350251</v>
      </c>
      <c r="P80">
        <v>6.6775844687136416</v>
      </c>
      <c r="R80" t="str">
        <f t="shared" si="2"/>
        <v>no</v>
      </c>
      <c r="S80" t="str">
        <f t="shared" si="3"/>
        <v>no</v>
      </c>
    </row>
    <row r="81" spans="1:19" x14ac:dyDescent="0.35">
      <c r="A81" s="1">
        <v>79</v>
      </c>
      <c r="B81" t="s">
        <v>75</v>
      </c>
      <c r="C81" t="s">
        <v>99</v>
      </c>
      <c r="D81" t="s">
        <v>106</v>
      </c>
      <c r="E81">
        <v>42.027160493827161</v>
      </c>
      <c r="F81">
        <v>5.8162710572076382</v>
      </c>
      <c r="G81">
        <v>27</v>
      </c>
      <c r="H81" t="s">
        <v>19</v>
      </c>
      <c r="M81">
        <v>53.659702608242441</v>
      </c>
      <c r="N81">
        <v>30.394618379411881</v>
      </c>
      <c r="O81">
        <v>23.26508422883056</v>
      </c>
      <c r="P81">
        <v>7.2257912467381091</v>
      </c>
      <c r="R81" t="str">
        <f t="shared" si="2"/>
        <v>no</v>
      </c>
      <c r="S81" t="str">
        <f t="shared" si="3"/>
        <v>no</v>
      </c>
    </row>
    <row r="82" spans="1:19" x14ac:dyDescent="0.35">
      <c r="A82" s="1">
        <v>80</v>
      </c>
      <c r="B82" t="s">
        <v>75</v>
      </c>
      <c r="C82" t="s">
        <v>99</v>
      </c>
      <c r="D82" t="s">
        <v>107</v>
      </c>
      <c r="G82">
        <v>27</v>
      </c>
      <c r="H82" t="s">
        <v>19</v>
      </c>
      <c r="R82" t="str">
        <f t="shared" si="2"/>
        <v>no</v>
      </c>
      <c r="S82" t="str">
        <f t="shared" si="3"/>
        <v>no</v>
      </c>
    </row>
    <row r="83" spans="1:19" x14ac:dyDescent="0.35">
      <c r="A83" s="1">
        <v>81</v>
      </c>
      <c r="B83" t="s">
        <v>75</v>
      </c>
      <c r="C83" t="s">
        <v>99</v>
      </c>
      <c r="D83" t="s">
        <v>108</v>
      </c>
      <c r="E83">
        <v>1</v>
      </c>
      <c r="F83">
        <v>0</v>
      </c>
      <c r="G83">
        <v>27</v>
      </c>
      <c r="H83" t="s">
        <v>19</v>
      </c>
      <c r="M83">
        <v>1</v>
      </c>
      <c r="N83">
        <v>1</v>
      </c>
      <c r="O83">
        <v>0</v>
      </c>
      <c r="P83" t="s">
        <v>21</v>
      </c>
      <c r="R83" t="str">
        <f t="shared" si="2"/>
        <v>no</v>
      </c>
      <c r="S83" t="str">
        <f t="shared" si="3"/>
        <v>no</v>
      </c>
    </row>
    <row r="84" spans="1:19" x14ac:dyDescent="0.35">
      <c r="A84" s="1">
        <v>82</v>
      </c>
      <c r="B84" t="s">
        <v>75</v>
      </c>
      <c r="C84" t="s">
        <v>99</v>
      </c>
      <c r="D84" t="s">
        <v>109</v>
      </c>
      <c r="E84">
        <v>1</v>
      </c>
      <c r="F84">
        <v>0</v>
      </c>
      <c r="G84">
        <v>27</v>
      </c>
      <c r="H84" t="s">
        <v>19</v>
      </c>
      <c r="M84">
        <v>1</v>
      </c>
      <c r="N84">
        <v>1</v>
      </c>
      <c r="O84">
        <v>0</v>
      </c>
      <c r="P84" t="s">
        <v>21</v>
      </c>
      <c r="R84" t="str">
        <f t="shared" si="2"/>
        <v>no</v>
      </c>
      <c r="S84" t="str">
        <f t="shared" si="3"/>
        <v>no</v>
      </c>
    </row>
    <row r="85" spans="1:19" x14ac:dyDescent="0.35">
      <c r="A85" s="1">
        <v>83</v>
      </c>
      <c r="B85" t="s">
        <v>75</v>
      </c>
      <c r="C85" t="s">
        <v>99</v>
      </c>
      <c r="D85" t="s">
        <v>110</v>
      </c>
      <c r="E85">
        <v>1</v>
      </c>
      <c r="F85">
        <v>0</v>
      </c>
      <c r="G85">
        <v>27</v>
      </c>
      <c r="H85" t="s">
        <v>19</v>
      </c>
      <c r="M85">
        <v>1</v>
      </c>
      <c r="N85">
        <v>1</v>
      </c>
      <c r="O85">
        <v>0</v>
      </c>
      <c r="P85" t="s">
        <v>21</v>
      </c>
      <c r="R85" t="str">
        <f t="shared" si="2"/>
        <v>no</v>
      </c>
      <c r="S85" t="str">
        <f t="shared" si="3"/>
        <v>no</v>
      </c>
    </row>
    <row r="86" spans="1:19" x14ac:dyDescent="0.35">
      <c r="A86" s="1">
        <v>84</v>
      </c>
      <c r="B86" t="s">
        <v>75</v>
      </c>
      <c r="C86" t="s">
        <v>99</v>
      </c>
      <c r="D86" t="s">
        <v>111</v>
      </c>
      <c r="E86">
        <v>1</v>
      </c>
      <c r="F86">
        <v>0</v>
      </c>
      <c r="G86">
        <v>27</v>
      </c>
      <c r="H86" t="s">
        <v>19</v>
      </c>
      <c r="M86">
        <v>1</v>
      </c>
      <c r="N86">
        <v>1</v>
      </c>
      <c r="O86">
        <v>0</v>
      </c>
      <c r="P86" t="s">
        <v>21</v>
      </c>
      <c r="R86" t="str">
        <f t="shared" si="2"/>
        <v>no</v>
      </c>
      <c r="S86" t="str">
        <f t="shared" si="3"/>
        <v>no</v>
      </c>
    </row>
    <row r="87" spans="1:19" x14ac:dyDescent="0.35">
      <c r="A87" s="1">
        <v>85</v>
      </c>
      <c r="B87" t="s">
        <v>75</v>
      </c>
      <c r="C87" t="s">
        <v>99</v>
      </c>
      <c r="D87" t="s">
        <v>112</v>
      </c>
      <c r="E87">
        <v>41.513580246913577</v>
      </c>
      <c r="F87">
        <v>6.8104540129895472</v>
      </c>
      <c r="G87">
        <v>27</v>
      </c>
      <c r="H87" t="s">
        <v>19</v>
      </c>
      <c r="M87">
        <v>55.134488272892668</v>
      </c>
      <c r="N87">
        <v>27.892672220934479</v>
      </c>
      <c r="O87">
        <v>27.241816051958189</v>
      </c>
      <c r="P87">
        <v>6.0955672217644992</v>
      </c>
      <c r="R87" t="str">
        <f t="shared" si="2"/>
        <v>no</v>
      </c>
      <c r="S87" t="str">
        <f t="shared" si="3"/>
        <v>no</v>
      </c>
    </row>
    <row r="88" spans="1:19" x14ac:dyDescent="0.35">
      <c r="A88" s="1">
        <v>86</v>
      </c>
      <c r="B88" t="s">
        <v>75</v>
      </c>
      <c r="C88" t="s">
        <v>99</v>
      </c>
      <c r="D88" t="s">
        <v>113</v>
      </c>
      <c r="E88">
        <v>42.480246913580253</v>
      </c>
      <c r="F88">
        <v>5.4044257984052102</v>
      </c>
      <c r="G88">
        <v>27</v>
      </c>
      <c r="H88" t="s">
        <v>19</v>
      </c>
      <c r="M88">
        <v>53.289098510390673</v>
      </c>
      <c r="N88">
        <v>31.671395316769829</v>
      </c>
      <c r="O88">
        <v>21.617703193620841</v>
      </c>
      <c r="P88">
        <v>7.8602701745143273</v>
      </c>
      <c r="R88" t="str">
        <f t="shared" si="2"/>
        <v>no</v>
      </c>
      <c r="S88" t="str">
        <f t="shared" si="3"/>
        <v>no</v>
      </c>
    </row>
    <row r="89" spans="1:19" x14ac:dyDescent="0.35">
      <c r="A89" s="1">
        <v>87</v>
      </c>
      <c r="B89" t="s">
        <v>75</v>
      </c>
      <c r="C89" t="s">
        <v>99</v>
      </c>
      <c r="D89" t="s">
        <v>114</v>
      </c>
      <c r="G89">
        <v>27</v>
      </c>
      <c r="H89" t="s">
        <v>19</v>
      </c>
      <c r="R89" t="str">
        <f t="shared" si="2"/>
        <v>no</v>
      </c>
      <c r="S89" t="str">
        <f t="shared" si="3"/>
        <v>no</v>
      </c>
    </row>
    <row r="90" spans="1:19" x14ac:dyDescent="0.35">
      <c r="A90" s="1">
        <v>88</v>
      </c>
      <c r="B90" t="s">
        <v>75</v>
      </c>
      <c r="C90" t="s">
        <v>99</v>
      </c>
      <c r="D90" t="s">
        <v>115</v>
      </c>
      <c r="E90">
        <v>1</v>
      </c>
      <c r="F90">
        <v>0</v>
      </c>
      <c r="G90">
        <v>27</v>
      </c>
      <c r="H90" t="s">
        <v>19</v>
      </c>
      <c r="M90">
        <v>1</v>
      </c>
      <c r="N90">
        <v>1</v>
      </c>
      <c r="O90">
        <v>0</v>
      </c>
      <c r="P90" t="s">
        <v>21</v>
      </c>
      <c r="R90" t="str">
        <f t="shared" si="2"/>
        <v>no</v>
      </c>
      <c r="S90" t="str">
        <f t="shared" si="3"/>
        <v>no</v>
      </c>
    </row>
    <row r="91" spans="1:19" x14ac:dyDescent="0.35">
      <c r="A91" s="1">
        <v>89</v>
      </c>
      <c r="B91" t="s">
        <v>75</v>
      </c>
      <c r="C91" t="s">
        <v>99</v>
      </c>
      <c r="D91" t="s">
        <v>116</v>
      </c>
      <c r="E91">
        <v>1</v>
      </c>
      <c r="F91">
        <v>0</v>
      </c>
      <c r="G91">
        <v>27</v>
      </c>
      <c r="H91" t="s">
        <v>19</v>
      </c>
      <c r="M91">
        <v>1</v>
      </c>
      <c r="N91">
        <v>1</v>
      </c>
      <c r="O91">
        <v>0</v>
      </c>
      <c r="P91" t="s">
        <v>21</v>
      </c>
      <c r="R91" t="str">
        <f t="shared" si="2"/>
        <v>no</v>
      </c>
      <c r="S91" t="str">
        <f t="shared" si="3"/>
        <v>no</v>
      </c>
    </row>
    <row r="92" spans="1:19" x14ac:dyDescent="0.35">
      <c r="A92" s="1">
        <v>90</v>
      </c>
      <c r="B92" t="s">
        <v>75</v>
      </c>
      <c r="C92" t="s">
        <v>99</v>
      </c>
      <c r="D92" t="s">
        <v>117</v>
      </c>
      <c r="E92">
        <v>1</v>
      </c>
      <c r="F92">
        <v>0</v>
      </c>
      <c r="G92">
        <v>27</v>
      </c>
      <c r="H92" t="s">
        <v>19</v>
      </c>
      <c r="M92">
        <v>1</v>
      </c>
      <c r="N92">
        <v>1</v>
      </c>
      <c r="O92">
        <v>0</v>
      </c>
      <c r="P92" t="s">
        <v>21</v>
      </c>
      <c r="R92" t="str">
        <f t="shared" si="2"/>
        <v>no</v>
      </c>
      <c r="S92" t="str">
        <f t="shared" si="3"/>
        <v>no</v>
      </c>
    </row>
    <row r="93" spans="1:19" x14ac:dyDescent="0.35">
      <c r="A93" s="1">
        <v>91</v>
      </c>
      <c r="B93" t="s">
        <v>75</v>
      </c>
      <c r="C93" t="s">
        <v>99</v>
      </c>
      <c r="D93" t="s">
        <v>118</v>
      </c>
      <c r="E93">
        <v>1</v>
      </c>
      <c r="F93">
        <v>0</v>
      </c>
      <c r="G93">
        <v>27</v>
      </c>
      <c r="H93" t="s">
        <v>19</v>
      </c>
      <c r="M93">
        <v>1</v>
      </c>
      <c r="N93">
        <v>1</v>
      </c>
      <c r="O93">
        <v>0</v>
      </c>
      <c r="P93" t="s">
        <v>21</v>
      </c>
      <c r="R93" t="str">
        <f t="shared" si="2"/>
        <v>no</v>
      </c>
      <c r="S93" t="str">
        <f t="shared" si="3"/>
        <v>no</v>
      </c>
    </row>
    <row r="94" spans="1:19" x14ac:dyDescent="0.35">
      <c r="A94" s="1">
        <v>92</v>
      </c>
      <c r="B94" t="s">
        <v>75</v>
      </c>
      <c r="C94" t="s">
        <v>99</v>
      </c>
      <c r="D94" t="s">
        <v>119</v>
      </c>
      <c r="E94">
        <v>46.845679012345677</v>
      </c>
      <c r="F94">
        <v>7.8558216287398936</v>
      </c>
      <c r="G94">
        <v>27</v>
      </c>
      <c r="H94" t="s">
        <v>19</v>
      </c>
      <c r="M94">
        <v>62.557322269825463</v>
      </c>
      <c r="N94">
        <v>31.134035754865891</v>
      </c>
      <c r="O94">
        <v>31.423286514959571</v>
      </c>
      <c r="P94">
        <v>5.9631800753933257</v>
      </c>
      <c r="R94" t="str">
        <f t="shared" si="2"/>
        <v>no</v>
      </c>
      <c r="S94" t="str">
        <f t="shared" si="3"/>
        <v>no</v>
      </c>
    </row>
    <row r="95" spans="1:19" x14ac:dyDescent="0.35">
      <c r="A95" s="1">
        <v>93</v>
      </c>
      <c r="B95" t="s">
        <v>75</v>
      </c>
      <c r="C95" t="s">
        <v>99</v>
      </c>
      <c r="D95" t="s">
        <v>120</v>
      </c>
      <c r="E95">
        <v>45.93333333333333</v>
      </c>
      <c r="F95">
        <v>5.6142740256402046</v>
      </c>
      <c r="G95">
        <v>27</v>
      </c>
      <c r="H95" t="s">
        <v>19</v>
      </c>
      <c r="M95">
        <v>57.161881384613743</v>
      </c>
      <c r="N95">
        <v>34.704785282052917</v>
      </c>
      <c r="O95">
        <v>22.457096102560811</v>
      </c>
      <c r="P95">
        <v>8.1815267875342936</v>
      </c>
      <c r="R95" t="str">
        <f t="shared" si="2"/>
        <v>no</v>
      </c>
      <c r="S95" t="str">
        <f t="shared" si="3"/>
        <v>no</v>
      </c>
    </row>
    <row r="96" spans="1:19" x14ac:dyDescent="0.35">
      <c r="A96" s="1">
        <v>94</v>
      </c>
      <c r="B96" t="s">
        <v>75</v>
      </c>
      <c r="C96" t="s">
        <v>99</v>
      </c>
      <c r="D96" t="s">
        <v>121</v>
      </c>
      <c r="G96">
        <v>27</v>
      </c>
      <c r="H96" t="s">
        <v>19</v>
      </c>
      <c r="R96" t="str">
        <f t="shared" si="2"/>
        <v>no</v>
      </c>
      <c r="S96" t="str">
        <f t="shared" si="3"/>
        <v>no</v>
      </c>
    </row>
    <row r="97" spans="1:19" x14ac:dyDescent="0.35">
      <c r="A97" s="1">
        <v>95</v>
      </c>
      <c r="B97" t="s">
        <v>75</v>
      </c>
      <c r="C97" t="s">
        <v>99</v>
      </c>
      <c r="D97" t="s">
        <v>122</v>
      </c>
      <c r="E97">
        <v>1</v>
      </c>
      <c r="F97">
        <v>0</v>
      </c>
      <c r="G97">
        <v>27</v>
      </c>
      <c r="H97" t="s">
        <v>19</v>
      </c>
      <c r="M97">
        <v>1</v>
      </c>
      <c r="N97">
        <v>1</v>
      </c>
      <c r="O97">
        <v>0</v>
      </c>
      <c r="P97" t="s">
        <v>21</v>
      </c>
      <c r="R97" t="str">
        <f t="shared" si="2"/>
        <v>no</v>
      </c>
      <c r="S97" t="str">
        <f t="shared" si="3"/>
        <v>no</v>
      </c>
    </row>
    <row r="98" spans="1:19" x14ac:dyDescent="0.35">
      <c r="A98" s="1">
        <v>96</v>
      </c>
      <c r="B98" t="s">
        <v>75</v>
      </c>
      <c r="C98" t="s">
        <v>99</v>
      </c>
      <c r="D98" t="s">
        <v>123</v>
      </c>
      <c r="E98">
        <v>1</v>
      </c>
      <c r="F98">
        <v>0</v>
      </c>
      <c r="G98">
        <v>27</v>
      </c>
      <c r="H98" t="s">
        <v>19</v>
      </c>
      <c r="M98">
        <v>1</v>
      </c>
      <c r="N98">
        <v>1</v>
      </c>
      <c r="O98">
        <v>0</v>
      </c>
      <c r="P98" t="s">
        <v>21</v>
      </c>
      <c r="R98" t="str">
        <f t="shared" si="2"/>
        <v>no</v>
      </c>
      <c r="S98" t="str">
        <f t="shared" si="3"/>
        <v>no</v>
      </c>
    </row>
    <row r="99" spans="1:19" x14ac:dyDescent="0.35">
      <c r="A99" s="1">
        <v>97</v>
      </c>
      <c r="B99" t="s">
        <v>75</v>
      </c>
      <c r="C99" t="s">
        <v>99</v>
      </c>
      <c r="D99" t="s">
        <v>124</v>
      </c>
      <c r="E99">
        <v>1</v>
      </c>
      <c r="F99">
        <v>0</v>
      </c>
      <c r="G99">
        <v>27</v>
      </c>
      <c r="H99" t="s">
        <v>19</v>
      </c>
      <c r="M99">
        <v>1</v>
      </c>
      <c r="N99">
        <v>1</v>
      </c>
      <c r="O99">
        <v>0</v>
      </c>
      <c r="P99" t="s">
        <v>21</v>
      </c>
      <c r="R99" t="str">
        <f t="shared" si="2"/>
        <v>no</v>
      </c>
      <c r="S99" t="str">
        <f t="shared" si="3"/>
        <v>no</v>
      </c>
    </row>
    <row r="100" spans="1:19" x14ac:dyDescent="0.35">
      <c r="A100" s="1">
        <v>98</v>
      </c>
      <c r="B100" t="s">
        <v>75</v>
      </c>
      <c r="C100" t="s">
        <v>99</v>
      </c>
      <c r="D100" t="s">
        <v>125</v>
      </c>
      <c r="E100">
        <v>1</v>
      </c>
      <c r="F100">
        <v>0</v>
      </c>
      <c r="G100">
        <v>27</v>
      </c>
      <c r="H100" t="s">
        <v>19</v>
      </c>
      <c r="M100">
        <v>1</v>
      </c>
      <c r="N100">
        <v>1</v>
      </c>
      <c r="O100">
        <v>0</v>
      </c>
      <c r="P100" t="s">
        <v>21</v>
      </c>
      <c r="R100" t="str">
        <f t="shared" si="2"/>
        <v>no</v>
      </c>
      <c r="S100" t="str">
        <f t="shared" si="3"/>
        <v>no</v>
      </c>
    </row>
    <row r="101" spans="1:19" x14ac:dyDescent="0.35">
      <c r="A101" s="1">
        <v>99</v>
      </c>
      <c r="B101" t="s">
        <v>75</v>
      </c>
      <c r="C101" t="s">
        <v>99</v>
      </c>
      <c r="D101" t="s">
        <v>126</v>
      </c>
      <c r="E101">
        <v>44.783950617283949</v>
      </c>
      <c r="F101">
        <v>4.7117697015593762</v>
      </c>
      <c r="G101">
        <v>27</v>
      </c>
      <c r="H101" t="s">
        <v>19</v>
      </c>
      <c r="M101">
        <v>54.207490020402702</v>
      </c>
      <c r="N101">
        <v>35.360411214165197</v>
      </c>
      <c r="O101">
        <v>18.847078806237501</v>
      </c>
      <c r="P101">
        <v>9.5046985429832329</v>
      </c>
      <c r="R101" t="str">
        <f t="shared" si="2"/>
        <v>no</v>
      </c>
      <c r="S101" t="str">
        <f t="shared" si="3"/>
        <v>no</v>
      </c>
    </row>
    <row r="102" spans="1:19" x14ac:dyDescent="0.35">
      <c r="A102" s="1">
        <v>100</v>
      </c>
      <c r="B102" t="s">
        <v>75</v>
      </c>
      <c r="C102" t="s">
        <v>99</v>
      </c>
      <c r="D102" t="s">
        <v>127</v>
      </c>
      <c r="E102">
        <v>41.304938271604939</v>
      </c>
      <c r="F102">
        <v>5.3343463808630078</v>
      </c>
      <c r="G102">
        <v>27</v>
      </c>
      <c r="H102" t="s">
        <v>19</v>
      </c>
      <c r="M102">
        <v>51.973631033330953</v>
      </c>
      <c r="N102">
        <v>30.636245509878929</v>
      </c>
      <c r="O102">
        <v>21.337385523452031</v>
      </c>
      <c r="P102">
        <v>7.7432051318951833</v>
      </c>
      <c r="R102" t="str">
        <f t="shared" si="2"/>
        <v>no</v>
      </c>
      <c r="S102" t="str">
        <f t="shared" si="3"/>
        <v>no</v>
      </c>
    </row>
    <row r="103" spans="1:19" x14ac:dyDescent="0.35">
      <c r="A103" s="1">
        <v>101</v>
      </c>
      <c r="B103" t="s">
        <v>75</v>
      </c>
      <c r="C103" t="s">
        <v>99</v>
      </c>
      <c r="D103" t="s">
        <v>128</v>
      </c>
      <c r="G103">
        <v>27</v>
      </c>
      <c r="H103" t="s">
        <v>19</v>
      </c>
      <c r="R103" t="str">
        <f t="shared" si="2"/>
        <v>no</v>
      </c>
      <c r="S103" t="str">
        <f t="shared" si="3"/>
        <v>no</v>
      </c>
    </row>
    <row r="104" spans="1:19" x14ac:dyDescent="0.35">
      <c r="A104" s="1">
        <v>102</v>
      </c>
      <c r="B104" t="s">
        <v>75</v>
      </c>
      <c r="C104" t="s">
        <v>99</v>
      </c>
      <c r="D104" t="s">
        <v>129</v>
      </c>
      <c r="E104">
        <v>1</v>
      </c>
      <c r="F104">
        <v>0</v>
      </c>
      <c r="G104">
        <v>27</v>
      </c>
      <c r="H104" t="s">
        <v>19</v>
      </c>
      <c r="M104">
        <v>1</v>
      </c>
      <c r="N104">
        <v>1</v>
      </c>
      <c r="O104">
        <v>0</v>
      </c>
      <c r="P104" t="s">
        <v>21</v>
      </c>
      <c r="R104" t="str">
        <f t="shared" si="2"/>
        <v>no</v>
      </c>
      <c r="S104" t="str">
        <f t="shared" si="3"/>
        <v>no</v>
      </c>
    </row>
    <row r="105" spans="1:19" x14ac:dyDescent="0.35">
      <c r="A105" s="1">
        <v>103</v>
      </c>
      <c r="B105" t="s">
        <v>75</v>
      </c>
      <c r="C105" t="s">
        <v>99</v>
      </c>
      <c r="D105" t="s">
        <v>130</v>
      </c>
      <c r="E105">
        <v>1</v>
      </c>
      <c r="F105">
        <v>0</v>
      </c>
      <c r="G105">
        <v>27</v>
      </c>
      <c r="H105" t="s">
        <v>19</v>
      </c>
      <c r="M105">
        <v>1</v>
      </c>
      <c r="N105">
        <v>1</v>
      </c>
      <c r="O105">
        <v>0</v>
      </c>
      <c r="P105" t="s">
        <v>21</v>
      </c>
      <c r="R105" t="str">
        <f t="shared" si="2"/>
        <v>no</v>
      </c>
      <c r="S105" t="str">
        <f t="shared" si="3"/>
        <v>no</v>
      </c>
    </row>
    <row r="106" spans="1:19" x14ac:dyDescent="0.35">
      <c r="A106" s="1">
        <v>104</v>
      </c>
      <c r="B106" t="s">
        <v>75</v>
      </c>
      <c r="C106" t="s">
        <v>99</v>
      </c>
      <c r="D106" t="s">
        <v>131</v>
      </c>
      <c r="E106">
        <v>1</v>
      </c>
      <c r="F106">
        <v>0</v>
      </c>
      <c r="G106">
        <v>27</v>
      </c>
      <c r="H106" t="s">
        <v>19</v>
      </c>
      <c r="M106">
        <v>1</v>
      </c>
      <c r="N106">
        <v>1</v>
      </c>
      <c r="O106">
        <v>0</v>
      </c>
      <c r="P106" t="s">
        <v>21</v>
      </c>
      <c r="R106" t="str">
        <f t="shared" si="2"/>
        <v>no</v>
      </c>
      <c r="S106" t="str">
        <f t="shared" si="3"/>
        <v>no</v>
      </c>
    </row>
    <row r="107" spans="1:19" x14ac:dyDescent="0.35">
      <c r="A107" s="1">
        <v>105</v>
      </c>
      <c r="B107" t="s">
        <v>75</v>
      </c>
      <c r="C107" t="s">
        <v>99</v>
      </c>
      <c r="D107" t="s">
        <v>132</v>
      </c>
      <c r="E107">
        <v>1</v>
      </c>
      <c r="F107">
        <v>0</v>
      </c>
      <c r="G107">
        <v>27</v>
      </c>
      <c r="H107" t="s">
        <v>19</v>
      </c>
      <c r="M107">
        <v>1</v>
      </c>
      <c r="N107">
        <v>1</v>
      </c>
      <c r="O107">
        <v>0</v>
      </c>
      <c r="P107" t="s">
        <v>21</v>
      </c>
      <c r="R107" t="str">
        <f t="shared" si="2"/>
        <v>no</v>
      </c>
      <c r="S107" t="str">
        <f t="shared" si="3"/>
        <v>no</v>
      </c>
    </row>
    <row r="108" spans="1:19" x14ac:dyDescent="0.35">
      <c r="A108" s="1">
        <v>106</v>
      </c>
      <c r="B108" t="s">
        <v>75</v>
      </c>
      <c r="C108" t="s">
        <v>99</v>
      </c>
      <c r="D108" t="s">
        <v>133</v>
      </c>
      <c r="E108">
        <v>41.128395061728398</v>
      </c>
      <c r="F108">
        <v>5.1712770273184789</v>
      </c>
      <c r="G108">
        <v>27</v>
      </c>
      <c r="H108" t="s">
        <v>19</v>
      </c>
      <c r="M108">
        <v>51.470949116365347</v>
      </c>
      <c r="N108">
        <v>30.785841007091442</v>
      </c>
      <c r="O108">
        <v>20.685108109273909</v>
      </c>
      <c r="P108">
        <v>7.9532376324954246</v>
      </c>
      <c r="R108" t="str">
        <f t="shared" si="2"/>
        <v>no</v>
      </c>
      <c r="S108" t="str">
        <f t="shared" si="3"/>
        <v>no</v>
      </c>
    </row>
    <row r="109" spans="1:19" x14ac:dyDescent="0.35">
      <c r="A109" s="1">
        <v>107</v>
      </c>
      <c r="B109" t="s">
        <v>75</v>
      </c>
      <c r="C109" t="s">
        <v>99</v>
      </c>
      <c r="D109" t="s">
        <v>134</v>
      </c>
      <c r="E109">
        <v>43.528395061728403</v>
      </c>
      <c r="F109">
        <v>6.4735922767604528</v>
      </c>
      <c r="G109">
        <v>27</v>
      </c>
      <c r="H109" t="s">
        <v>19</v>
      </c>
      <c r="M109">
        <v>56.475579615249309</v>
      </c>
      <c r="N109">
        <v>30.581210508207501</v>
      </c>
      <c r="O109">
        <v>25.894369107041811</v>
      </c>
      <c r="P109">
        <v>6.7239939126211237</v>
      </c>
      <c r="R109" t="str">
        <f t="shared" si="2"/>
        <v>no</v>
      </c>
      <c r="S109" t="str">
        <f t="shared" si="3"/>
        <v>no</v>
      </c>
    </row>
    <row r="110" spans="1:19" x14ac:dyDescent="0.35">
      <c r="A110" s="1">
        <v>108</v>
      </c>
      <c r="B110" t="s">
        <v>75</v>
      </c>
      <c r="C110" t="s">
        <v>99</v>
      </c>
      <c r="D110" t="s">
        <v>135</v>
      </c>
      <c r="G110">
        <v>27</v>
      </c>
      <c r="H110" t="s">
        <v>19</v>
      </c>
      <c r="R110" t="str">
        <f t="shared" si="2"/>
        <v>no</v>
      </c>
      <c r="S110" t="str">
        <f t="shared" si="3"/>
        <v>no</v>
      </c>
    </row>
    <row r="111" spans="1:19" x14ac:dyDescent="0.35">
      <c r="A111" s="1">
        <v>109</v>
      </c>
      <c r="B111" t="s">
        <v>75</v>
      </c>
      <c r="C111" t="s">
        <v>99</v>
      </c>
      <c r="D111" t="s">
        <v>136</v>
      </c>
      <c r="E111">
        <v>1</v>
      </c>
      <c r="F111">
        <v>0</v>
      </c>
      <c r="G111">
        <v>27</v>
      </c>
      <c r="H111" t="s">
        <v>19</v>
      </c>
      <c r="M111">
        <v>1</v>
      </c>
      <c r="N111">
        <v>1</v>
      </c>
      <c r="O111">
        <v>0</v>
      </c>
      <c r="P111" t="s">
        <v>21</v>
      </c>
      <c r="R111" t="str">
        <f t="shared" si="2"/>
        <v>no</v>
      </c>
      <c r="S111" t="str">
        <f t="shared" si="3"/>
        <v>no</v>
      </c>
    </row>
    <row r="112" spans="1:19" x14ac:dyDescent="0.35">
      <c r="A112" s="1">
        <v>110</v>
      </c>
      <c r="B112" t="s">
        <v>75</v>
      </c>
      <c r="C112" t="s">
        <v>99</v>
      </c>
      <c r="D112" t="s">
        <v>137</v>
      </c>
      <c r="E112">
        <v>1</v>
      </c>
      <c r="F112">
        <v>0</v>
      </c>
      <c r="G112">
        <v>27</v>
      </c>
      <c r="H112" t="s">
        <v>19</v>
      </c>
      <c r="M112">
        <v>1</v>
      </c>
      <c r="N112">
        <v>1</v>
      </c>
      <c r="O112">
        <v>0</v>
      </c>
      <c r="P112" t="s">
        <v>21</v>
      </c>
      <c r="R112" t="str">
        <f t="shared" si="2"/>
        <v>no</v>
      </c>
      <c r="S112" t="str">
        <f t="shared" si="3"/>
        <v>no</v>
      </c>
    </row>
    <row r="113" spans="1:19" x14ac:dyDescent="0.35">
      <c r="A113" s="1">
        <v>111</v>
      </c>
      <c r="B113" t="s">
        <v>75</v>
      </c>
      <c r="C113" t="s">
        <v>99</v>
      </c>
      <c r="D113" t="s">
        <v>138</v>
      </c>
      <c r="E113">
        <v>1</v>
      </c>
      <c r="F113">
        <v>0</v>
      </c>
      <c r="G113">
        <v>27</v>
      </c>
      <c r="H113" t="s">
        <v>19</v>
      </c>
      <c r="M113">
        <v>1</v>
      </c>
      <c r="N113">
        <v>1</v>
      </c>
      <c r="O113">
        <v>0</v>
      </c>
      <c r="P113" t="s">
        <v>21</v>
      </c>
      <c r="R113" t="str">
        <f t="shared" si="2"/>
        <v>no</v>
      </c>
      <c r="S113" t="str">
        <f t="shared" si="3"/>
        <v>no</v>
      </c>
    </row>
    <row r="114" spans="1:19" x14ac:dyDescent="0.35">
      <c r="A114" s="1">
        <v>112</v>
      </c>
      <c r="B114" t="s">
        <v>75</v>
      </c>
      <c r="C114" t="s">
        <v>99</v>
      </c>
      <c r="D114" t="s">
        <v>139</v>
      </c>
      <c r="E114">
        <v>1</v>
      </c>
      <c r="F114">
        <v>0</v>
      </c>
      <c r="G114">
        <v>27</v>
      </c>
      <c r="H114" t="s">
        <v>19</v>
      </c>
      <c r="M114">
        <v>1</v>
      </c>
      <c r="N114">
        <v>1</v>
      </c>
      <c r="O114">
        <v>0</v>
      </c>
      <c r="P114" t="s">
        <v>21</v>
      </c>
      <c r="R114" t="str">
        <f t="shared" si="2"/>
        <v>no</v>
      </c>
      <c r="S114" t="str">
        <f t="shared" si="3"/>
        <v>no</v>
      </c>
    </row>
    <row r="115" spans="1:19" x14ac:dyDescent="0.35">
      <c r="A115" s="1">
        <v>113</v>
      </c>
      <c r="B115" t="s">
        <v>75</v>
      </c>
      <c r="C115" t="s">
        <v>99</v>
      </c>
      <c r="D115" t="s">
        <v>140</v>
      </c>
      <c r="E115">
        <v>40.155555555555559</v>
      </c>
      <c r="F115">
        <v>3.382527124396717</v>
      </c>
      <c r="G115">
        <v>27</v>
      </c>
      <c r="H115" t="s">
        <v>19</v>
      </c>
      <c r="M115">
        <v>46.920609804348992</v>
      </c>
      <c r="N115">
        <v>33.390501306762133</v>
      </c>
      <c r="O115">
        <v>13.53010849758687</v>
      </c>
      <c r="P115">
        <v>11.871465942114931</v>
      </c>
      <c r="R115" t="str">
        <f t="shared" si="2"/>
        <v>no</v>
      </c>
      <c r="S115" t="str">
        <f t="shared" si="3"/>
        <v>no</v>
      </c>
    </row>
    <row r="116" spans="1:19" x14ac:dyDescent="0.35">
      <c r="A116" s="1">
        <v>114</v>
      </c>
      <c r="B116" t="s">
        <v>75</v>
      </c>
      <c r="C116" t="s">
        <v>99</v>
      </c>
      <c r="D116" t="s">
        <v>141</v>
      </c>
      <c r="E116">
        <v>43.011111111111113</v>
      </c>
      <c r="F116">
        <v>4.5201477437077484</v>
      </c>
      <c r="G116">
        <v>27</v>
      </c>
      <c r="H116" t="s">
        <v>19</v>
      </c>
      <c r="M116">
        <v>52.051406598526611</v>
      </c>
      <c r="N116">
        <v>33.970815623695607</v>
      </c>
      <c r="O116">
        <v>18.080590974831001</v>
      </c>
      <c r="P116">
        <v>9.5154215193484628</v>
      </c>
      <c r="R116" t="str">
        <f t="shared" si="2"/>
        <v>no</v>
      </c>
      <c r="S116" t="str">
        <f t="shared" si="3"/>
        <v>no</v>
      </c>
    </row>
    <row r="117" spans="1:19" x14ac:dyDescent="0.35">
      <c r="A117" s="1">
        <v>115</v>
      </c>
      <c r="B117" t="s">
        <v>75</v>
      </c>
      <c r="C117" t="s">
        <v>142</v>
      </c>
      <c r="D117" t="s">
        <v>143</v>
      </c>
      <c r="G117">
        <v>27</v>
      </c>
      <c r="H117" t="s">
        <v>19</v>
      </c>
      <c r="R117" t="str">
        <f t="shared" si="2"/>
        <v>no</v>
      </c>
      <c r="S117" t="str">
        <f t="shared" si="3"/>
        <v>no</v>
      </c>
    </row>
    <row r="118" spans="1:19" x14ac:dyDescent="0.35">
      <c r="A118" s="1">
        <v>116</v>
      </c>
      <c r="B118" t="s">
        <v>75</v>
      </c>
      <c r="C118" t="s">
        <v>142</v>
      </c>
      <c r="D118" t="s">
        <v>144</v>
      </c>
      <c r="E118">
        <v>0</v>
      </c>
      <c r="F118">
        <v>0</v>
      </c>
      <c r="G118">
        <v>27</v>
      </c>
      <c r="H118" t="s">
        <v>19</v>
      </c>
      <c r="M118">
        <v>0</v>
      </c>
      <c r="N118">
        <v>0</v>
      </c>
      <c r="O118">
        <v>0</v>
      </c>
      <c r="R118" t="str">
        <f t="shared" si="2"/>
        <v>no</v>
      </c>
      <c r="S118" t="str">
        <f t="shared" si="3"/>
        <v>no</v>
      </c>
    </row>
    <row r="119" spans="1:19" x14ac:dyDescent="0.35">
      <c r="A119" s="1">
        <v>117</v>
      </c>
      <c r="B119" t="s">
        <v>75</v>
      </c>
      <c r="C119" t="s">
        <v>142</v>
      </c>
      <c r="D119" t="s">
        <v>145</v>
      </c>
      <c r="G119">
        <v>27</v>
      </c>
      <c r="H119" t="s">
        <v>19</v>
      </c>
      <c r="R119" t="str">
        <f t="shared" si="2"/>
        <v>no</v>
      </c>
      <c r="S119" t="str">
        <f t="shared" si="3"/>
        <v>no</v>
      </c>
    </row>
    <row r="120" spans="1:19" x14ac:dyDescent="0.35">
      <c r="A120" s="1">
        <v>118</v>
      </c>
      <c r="B120" t="s">
        <v>75</v>
      </c>
      <c r="C120" t="s">
        <v>142</v>
      </c>
      <c r="D120" t="s">
        <v>146</v>
      </c>
      <c r="G120">
        <v>27</v>
      </c>
      <c r="H120" t="s">
        <v>19</v>
      </c>
      <c r="R120" t="str">
        <f t="shared" si="2"/>
        <v>no</v>
      </c>
      <c r="S120" t="str">
        <f t="shared" si="3"/>
        <v>no</v>
      </c>
    </row>
    <row r="121" spans="1:19" x14ac:dyDescent="0.35">
      <c r="A121" s="1">
        <v>119</v>
      </c>
      <c r="B121" t="s">
        <v>75</v>
      </c>
      <c r="C121" t="s">
        <v>142</v>
      </c>
      <c r="D121" t="s">
        <v>147</v>
      </c>
      <c r="E121">
        <v>0</v>
      </c>
      <c r="F121">
        <v>0</v>
      </c>
      <c r="G121">
        <v>27</v>
      </c>
      <c r="H121" t="s">
        <v>19</v>
      </c>
      <c r="M121">
        <v>0</v>
      </c>
      <c r="N121">
        <v>0</v>
      </c>
      <c r="O121">
        <v>0</v>
      </c>
      <c r="R121" t="str">
        <f t="shared" si="2"/>
        <v>no</v>
      </c>
      <c r="S121" t="str">
        <f t="shared" si="3"/>
        <v>no</v>
      </c>
    </row>
    <row r="122" spans="1:19" x14ac:dyDescent="0.35">
      <c r="A122" s="1">
        <v>120</v>
      </c>
      <c r="B122" t="s">
        <v>75</v>
      </c>
      <c r="C122" t="s">
        <v>142</v>
      </c>
      <c r="D122" t="s">
        <v>148</v>
      </c>
      <c r="G122">
        <v>27</v>
      </c>
      <c r="H122" t="s">
        <v>19</v>
      </c>
      <c r="R122" t="str">
        <f t="shared" si="2"/>
        <v>no</v>
      </c>
      <c r="S122" t="str">
        <f t="shared" si="3"/>
        <v>no</v>
      </c>
    </row>
    <row r="123" spans="1:19" x14ac:dyDescent="0.35">
      <c r="A123" s="1">
        <v>121</v>
      </c>
      <c r="B123" t="s">
        <v>75</v>
      </c>
      <c r="C123" t="s">
        <v>142</v>
      </c>
      <c r="D123" t="s">
        <v>149</v>
      </c>
      <c r="G123">
        <v>27</v>
      </c>
      <c r="H123" t="s">
        <v>19</v>
      </c>
      <c r="R123" t="str">
        <f t="shared" si="2"/>
        <v>no</v>
      </c>
      <c r="S123" t="str">
        <f t="shared" si="3"/>
        <v>no</v>
      </c>
    </row>
    <row r="124" spans="1:19" x14ac:dyDescent="0.35">
      <c r="A124" s="1">
        <v>122</v>
      </c>
      <c r="B124" t="s">
        <v>75</v>
      </c>
      <c r="C124" t="s">
        <v>142</v>
      </c>
      <c r="D124" t="s">
        <v>150</v>
      </c>
      <c r="E124">
        <v>0</v>
      </c>
      <c r="F124">
        <v>0</v>
      </c>
      <c r="G124">
        <v>27</v>
      </c>
      <c r="H124" t="s">
        <v>19</v>
      </c>
      <c r="M124">
        <v>0</v>
      </c>
      <c r="N124">
        <v>0</v>
      </c>
      <c r="O124">
        <v>0</v>
      </c>
      <c r="R124" t="str">
        <f t="shared" si="2"/>
        <v>no</v>
      </c>
      <c r="S124" t="str">
        <f t="shared" si="3"/>
        <v>no</v>
      </c>
    </row>
    <row r="125" spans="1:19" x14ac:dyDescent="0.35">
      <c r="A125" s="1">
        <v>123</v>
      </c>
      <c r="B125" t="s">
        <v>75</v>
      </c>
      <c r="C125" t="s">
        <v>142</v>
      </c>
      <c r="D125" t="s">
        <v>151</v>
      </c>
      <c r="G125">
        <v>27</v>
      </c>
      <c r="H125" t="s">
        <v>19</v>
      </c>
      <c r="R125" t="str">
        <f t="shared" si="2"/>
        <v>no</v>
      </c>
      <c r="S125" t="str">
        <f t="shared" si="3"/>
        <v>no</v>
      </c>
    </row>
    <row r="126" spans="1:19" x14ac:dyDescent="0.35">
      <c r="A126" s="1">
        <v>124</v>
      </c>
      <c r="B126" t="s">
        <v>75</v>
      </c>
      <c r="C126" t="s">
        <v>142</v>
      </c>
      <c r="D126" t="s">
        <v>152</v>
      </c>
      <c r="G126">
        <v>27</v>
      </c>
      <c r="H126" t="s">
        <v>19</v>
      </c>
      <c r="R126" t="str">
        <f t="shared" si="2"/>
        <v>no</v>
      </c>
      <c r="S126" t="str">
        <f t="shared" si="3"/>
        <v>no</v>
      </c>
    </row>
    <row r="127" spans="1:19" x14ac:dyDescent="0.35">
      <c r="A127" s="1">
        <v>125</v>
      </c>
      <c r="B127" t="s">
        <v>75</v>
      </c>
      <c r="C127" t="s">
        <v>142</v>
      </c>
      <c r="D127" t="s">
        <v>153</v>
      </c>
      <c r="E127">
        <v>0</v>
      </c>
      <c r="F127">
        <v>0</v>
      </c>
      <c r="G127">
        <v>27</v>
      </c>
      <c r="H127" t="s">
        <v>19</v>
      </c>
      <c r="M127">
        <v>0</v>
      </c>
      <c r="N127">
        <v>0</v>
      </c>
      <c r="O127">
        <v>0</v>
      </c>
      <c r="R127" t="str">
        <f t="shared" si="2"/>
        <v>no</v>
      </c>
      <c r="S127" t="str">
        <f t="shared" si="3"/>
        <v>no</v>
      </c>
    </row>
    <row r="128" spans="1:19" x14ac:dyDescent="0.35">
      <c r="A128" s="1">
        <v>126</v>
      </c>
      <c r="B128" t="s">
        <v>75</v>
      </c>
      <c r="C128" t="s">
        <v>142</v>
      </c>
      <c r="D128" t="s">
        <v>154</v>
      </c>
      <c r="G128">
        <v>27</v>
      </c>
      <c r="H128" t="s">
        <v>19</v>
      </c>
      <c r="R128" t="str">
        <f t="shared" si="2"/>
        <v>no</v>
      </c>
      <c r="S128" t="str">
        <f t="shared" si="3"/>
        <v>no</v>
      </c>
    </row>
    <row r="129" spans="1:19" x14ac:dyDescent="0.35">
      <c r="A129" s="1">
        <v>127</v>
      </c>
      <c r="B129" t="s">
        <v>75</v>
      </c>
      <c r="C129" t="s">
        <v>142</v>
      </c>
      <c r="D129" t="s">
        <v>155</v>
      </c>
      <c r="G129">
        <v>27</v>
      </c>
      <c r="H129" t="s">
        <v>19</v>
      </c>
      <c r="R129" t="str">
        <f t="shared" si="2"/>
        <v>no</v>
      </c>
      <c r="S129" t="str">
        <f t="shared" si="3"/>
        <v>no</v>
      </c>
    </row>
    <row r="130" spans="1:19" x14ac:dyDescent="0.35">
      <c r="A130" s="1">
        <v>128</v>
      </c>
      <c r="B130" t="s">
        <v>75</v>
      </c>
      <c r="C130" t="s">
        <v>142</v>
      </c>
      <c r="D130" t="s">
        <v>156</v>
      </c>
      <c r="E130">
        <v>0</v>
      </c>
      <c r="F130">
        <v>0</v>
      </c>
      <c r="G130">
        <v>27</v>
      </c>
      <c r="H130" t="s">
        <v>19</v>
      </c>
      <c r="M130">
        <v>0</v>
      </c>
      <c r="N130">
        <v>0</v>
      </c>
      <c r="O130">
        <v>0</v>
      </c>
      <c r="R130" t="str">
        <f t="shared" si="2"/>
        <v>no</v>
      </c>
      <c r="S130" t="str">
        <f t="shared" si="3"/>
        <v>no</v>
      </c>
    </row>
    <row r="131" spans="1:19" x14ac:dyDescent="0.35">
      <c r="A131" s="1">
        <v>129</v>
      </c>
      <c r="B131" t="s">
        <v>75</v>
      </c>
      <c r="C131" t="s">
        <v>142</v>
      </c>
      <c r="D131" t="s">
        <v>157</v>
      </c>
      <c r="G131">
        <v>27</v>
      </c>
      <c r="H131" t="s">
        <v>19</v>
      </c>
      <c r="R131" t="str">
        <f t="shared" ref="R131:R194" si="4">IF(H131="yes","yes","no")</f>
        <v>no</v>
      </c>
      <c r="S131" t="str">
        <f t="shared" ref="S131:S194" si="5">IF(I131,"yes","no")</f>
        <v>no</v>
      </c>
    </row>
    <row r="132" spans="1:19" x14ac:dyDescent="0.35">
      <c r="A132" s="1">
        <v>130</v>
      </c>
      <c r="B132" t="s">
        <v>75</v>
      </c>
      <c r="C132" t="s">
        <v>142</v>
      </c>
      <c r="D132" t="s">
        <v>158</v>
      </c>
      <c r="G132">
        <v>27</v>
      </c>
      <c r="H132" t="s">
        <v>19</v>
      </c>
      <c r="R132" t="str">
        <f t="shared" si="4"/>
        <v>no</v>
      </c>
      <c r="S132" t="str">
        <f t="shared" si="5"/>
        <v>no</v>
      </c>
    </row>
    <row r="133" spans="1:19" x14ac:dyDescent="0.35">
      <c r="A133" s="1">
        <v>131</v>
      </c>
      <c r="B133" t="s">
        <v>75</v>
      </c>
      <c r="C133" t="s">
        <v>142</v>
      </c>
      <c r="D133" t="s">
        <v>159</v>
      </c>
      <c r="E133">
        <v>0</v>
      </c>
      <c r="F133">
        <v>0</v>
      </c>
      <c r="G133">
        <v>27</v>
      </c>
      <c r="H133" t="s">
        <v>19</v>
      </c>
      <c r="M133">
        <v>0</v>
      </c>
      <c r="N133">
        <v>0</v>
      </c>
      <c r="O133">
        <v>0</v>
      </c>
      <c r="R133" t="str">
        <f t="shared" si="4"/>
        <v>no</v>
      </c>
      <c r="S133" t="str">
        <f t="shared" si="5"/>
        <v>no</v>
      </c>
    </row>
    <row r="134" spans="1:19" x14ac:dyDescent="0.35">
      <c r="A134" s="1">
        <v>132</v>
      </c>
      <c r="B134" t="s">
        <v>75</v>
      </c>
      <c r="C134" t="s">
        <v>142</v>
      </c>
      <c r="D134" t="s">
        <v>160</v>
      </c>
      <c r="G134">
        <v>27</v>
      </c>
      <c r="H134" t="s">
        <v>19</v>
      </c>
      <c r="R134" t="str">
        <f t="shared" si="4"/>
        <v>no</v>
      </c>
      <c r="S134" t="str">
        <f t="shared" si="5"/>
        <v>no</v>
      </c>
    </row>
    <row r="135" spans="1:19" x14ac:dyDescent="0.35">
      <c r="A135" s="1">
        <v>133</v>
      </c>
      <c r="B135" t="s">
        <v>75</v>
      </c>
      <c r="C135" t="s">
        <v>142</v>
      </c>
      <c r="D135" t="s">
        <v>161</v>
      </c>
      <c r="G135">
        <v>27</v>
      </c>
      <c r="H135" t="s">
        <v>19</v>
      </c>
      <c r="R135" t="str">
        <f t="shared" si="4"/>
        <v>no</v>
      </c>
      <c r="S135" t="str">
        <f t="shared" si="5"/>
        <v>no</v>
      </c>
    </row>
    <row r="136" spans="1:19" x14ac:dyDescent="0.35">
      <c r="A136" s="1">
        <v>134</v>
      </c>
      <c r="B136" t="s">
        <v>75</v>
      </c>
      <c r="C136" t="s">
        <v>142</v>
      </c>
      <c r="D136" t="s">
        <v>162</v>
      </c>
      <c r="E136">
        <v>0</v>
      </c>
      <c r="F136">
        <v>0</v>
      </c>
      <c r="G136">
        <v>27</v>
      </c>
      <c r="H136" t="s">
        <v>19</v>
      </c>
      <c r="M136">
        <v>0</v>
      </c>
      <c r="N136">
        <v>0</v>
      </c>
      <c r="O136">
        <v>0</v>
      </c>
      <c r="R136" t="str">
        <f t="shared" si="4"/>
        <v>no</v>
      </c>
      <c r="S136" t="str">
        <f t="shared" si="5"/>
        <v>no</v>
      </c>
    </row>
    <row r="137" spans="1:19" x14ac:dyDescent="0.35">
      <c r="A137" s="1">
        <v>135</v>
      </c>
      <c r="B137" t="s">
        <v>75</v>
      </c>
      <c r="C137" t="s">
        <v>142</v>
      </c>
      <c r="D137" t="s">
        <v>163</v>
      </c>
      <c r="G137">
        <v>27</v>
      </c>
      <c r="H137" t="s">
        <v>19</v>
      </c>
      <c r="R137" t="str">
        <f t="shared" si="4"/>
        <v>no</v>
      </c>
      <c r="S137" t="str">
        <f t="shared" si="5"/>
        <v>no</v>
      </c>
    </row>
    <row r="138" spans="1:19" x14ac:dyDescent="0.35">
      <c r="A138" s="1">
        <v>136</v>
      </c>
      <c r="B138" t="s">
        <v>75</v>
      </c>
      <c r="C138" t="s">
        <v>142</v>
      </c>
      <c r="D138" t="s">
        <v>164</v>
      </c>
      <c r="G138">
        <v>27</v>
      </c>
      <c r="H138" t="s">
        <v>19</v>
      </c>
      <c r="R138" t="str">
        <f t="shared" si="4"/>
        <v>no</v>
      </c>
      <c r="S138" t="str">
        <f t="shared" si="5"/>
        <v>no</v>
      </c>
    </row>
    <row r="139" spans="1:19" x14ac:dyDescent="0.35">
      <c r="A139" s="1">
        <v>137</v>
      </c>
      <c r="B139" t="s">
        <v>75</v>
      </c>
      <c r="C139" t="s">
        <v>142</v>
      </c>
      <c r="D139" t="s">
        <v>165</v>
      </c>
      <c r="E139">
        <v>0</v>
      </c>
      <c r="F139">
        <v>0</v>
      </c>
      <c r="G139">
        <v>27</v>
      </c>
      <c r="H139" t="s">
        <v>19</v>
      </c>
      <c r="M139">
        <v>0</v>
      </c>
      <c r="N139">
        <v>0</v>
      </c>
      <c r="O139">
        <v>0</v>
      </c>
      <c r="R139" t="str">
        <f t="shared" si="4"/>
        <v>no</v>
      </c>
      <c r="S139" t="str">
        <f t="shared" si="5"/>
        <v>no</v>
      </c>
    </row>
    <row r="140" spans="1:19" x14ac:dyDescent="0.35">
      <c r="A140" s="1">
        <v>138</v>
      </c>
      <c r="B140" t="s">
        <v>75</v>
      </c>
      <c r="C140" t="s">
        <v>142</v>
      </c>
      <c r="D140" t="s">
        <v>166</v>
      </c>
      <c r="G140">
        <v>27</v>
      </c>
      <c r="H140" t="s">
        <v>19</v>
      </c>
      <c r="R140" t="str">
        <f t="shared" si="4"/>
        <v>no</v>
      </c>
      <c r="S140" t="str">
        <f t="shared" si="5"/>
        <v>no</v>
      </c>
    </row>
    <row r="141" spans="1:19" x14ac:dyDescent="0.35">
      <c r="A141" s="1">
        <v>139</v>
      </c>
      <c r="B141" t="s">
        <v>75</v>
      </c>
      <c r="C141" t="s">
        <v>142</v>
      </c>
      <c r="D141" t="s">
        <v>167</v>
      </c>
      <c r="G141">
        <v>27</v>
      </c>
      <c r="H141" t="s">
        <v>19</v>
      </c>
      <c r="R141" t="str">
        <f t="shared" si="4"/>
        <v>no</v>
      </c>
      <c r="S141" t="str">
        <f t="shared" si="5"/>
        <v>no</v>
      </c>
    </row>
    <row r="142" spans="1:19" x14ac:dyDescent="0.35">
      <c r="A142" s="1">
        <v>140</v>
      </c>
      <c r="B142" t="s">
        <v>75</v>
      </c>
      <c r="C142" t="s">
        <v>142</v>
      </c>
      <c r="D142" t="s">
        <v>168</v>
      </c>
      <c r="E142">
        <v>0</v>
      </c>
      <c r="F142">
        <v>0</v>
      </c>
      <c r="G142">
        <v>27</v>
      </c>
      <c r="H142" t="s">
        <v>19</v>
      </c>
      <c r="M142">
        <v>0</v>
      </c>
      <c r="N142">
        <v>0</v>
      </c>
      <c r="O142">
        <v>0</v>
      </c>
      <c r="R142" t="str">
        <f t="shared" si="4"/>
        <v>no</v>
      </c>
      <c r="S142" t="str">
        <f t="shared" si="5"/>
        <v>no</v>
      </c>
    </row>
    <row r="143" spans="1:19" x14ac:dyDescent="0.35">
      <c r="A143" s="1">
        <v>141</v>
      </c>
      <c r="B143" t="s">
        <v>75</v>
      </c>
      <c r="C143" t="s">
        <v>142</v>
      </c>
      <c r="D143" t="s">
        <v>169</v>
      </c>
      <c r="G143">
        <v>27</v>
      </c>
      <c r="H143" t="s">
        <v>19</v>
      </c>
      <c r="R143" t="str">
        <f t="shared" si="4"/>
        <v>no</v>
      </c>
      <c r="S143" t="str">
        <f t="shared" si="5"/>
        <v>no</v>
      </c>
    </row>
    <row r="144" spans="1:19" x14ac:dyDescent="0.35">
      <c r="A144" s="1">
        <v>142</v>
      </c>
      <c r="B144" t="s">
        <v>75</v>
      </c>
      <c r="C144" t="s">
        <v>142</v>
      </c>
      <c r="D144" t="s">
        <v>170</v>
      </c>
      <c r="G144">
        <v>27</v>
      </c>
      <c r="H144" t="s">
        <v>19</v>
      </c>
      <c r="R144" t="str">
        <f t="shared" si="4"/>
        <v>no</v>
      </c>
      <c r="S144" t="str">
        <f t="shared" si="5"/>
        <v>no</v>
      </c>
    </row>
    <row r="145" spans="1:19" x14ac:dyDescent="0.35">
      <c r="A145" s="1">
        <v>143</v>
      </c>
      <c r="B145" t="s">
        <v>75</v>
      </c>
      <c r="C145" t="s">
        <v>142</v>
      </c>
      <c r="D145" t="s">
        <v>171</v>
      </c>
      <c r="E145">
        <v>0</v>
      </c>
      <c r="F145">
        <v>0</v>
      </c>
      <c r="G145">
        <v>27</v>
      </c>
      <c r="H145" t="s">
        <v>19</v>
      </c>
      <c r="M145">
        <v>0</v>
      </c>
      <c r="N145">
        <v>0</v>
      </c>
      <c r="O145">
        <v>0</v>
      </c>
      <c r="R145" t="str">
        <f t="shared" si="4"/>
        <v>no</v>
      </c>
      <c r="S145" t="str">
        <f t="shared" si="5"/>
        <v>no</v>
      </c>
    </row>
    <row r="146" spans="1:19" x14ac:dyDescent="0.35">
      <c r="A146" s="1">
        <v>144</v>
      </c>
      <c r="B146" t="s">
        <v>75</v>
      </c>
      <c r="C146" t="s">
        <v>142</v>
      </c>
      <c r="D146" t="s">
        <v>172</v>
      </c>
      <c r="G146">
        <v>27</v>
      </c>
      <c r="H146" t="s">
        <v>19</v>
      </c>
      <c r="R146" t="str">
        <f t="shared" si="4"/>
        <v>no</v>
      </c>
      <c r="S146" t="str">
        <f t="shared" si="5"/>
        <v>no</v>
      </c>
    </row>
    <row r="147" spans="1:19" x14ac:dyDescent="0.35">
      <c r="A147" s="1">
        <v>145</v>
      </c>
      <c r="B147" t="s">
        <v>75</v>
      </c>
      <c r="C147" t="s">
        <v>142</v>
      </c>
      <c r="D147" t="s">
        <v>173</v>
      </c>
      <c r="G147">
        <v>27</v>
      </c>
      <c r="H147" t="s">
        <v>19</v>
      </c>
      <c r="R147" t="str">
        <f t="shared" si="4"/>
        <v>no</v>
      </c>
      <c r="S147" t="str">
        <f t="shared" si="5"/>
        <v>no</v>
      </c>
    </row>
    <row r="148" spans="1:19" x14ac:dyDescent="0.35">
      <c r="A148" s="1">
        <v>146</v>
      </c>
      <c r="B148" t="s">
        <v>75</v>
      </c>
      <c r="C148" t="s">
        <v>142</v>
      </c>
      <c r="D148" t="s">
        <v>174</v>
      </c>
      <c r="E148">
        <v>0</v>
      </c>
      <c r="F148">
        <v>0</v>
      </c>
      <c r="G148">
        <v>27</v>
      </c>
      <c r="H148" t="s">
        <v>19</v>
      </c>
      <c r="M148">
        <v>0</v>
      </c>
      <c r="N148">
        <v>0</v>
      </c>
      <c r="O148">
        <v>0</v>
      </c>
      <c r="R148" t="str">
        <f t="shared" si="4"/>
        <v>no</v>
      </c>
      <c r="S148" t="str">
        <f t="shared" si="5"/>
        <v>no</v>
      </c>
    </row>
    <row r="149" spans="1:19" x14ac:dyDescent="0.35">
      <c r="A149" s="1">
        <v>147</v>
      </c>
      <c r="B149" t="s">
        <v>75</v>
      </c>
      <c r="C149" t="s">
        <v>142</v>
      </c>
      <c r="D149" t="s">
        <v>175</v>
      </c>
      <c r="G149">
        <v>27</v>
      </c>
      <c r="H149" t="s">
        <v>19</v>
      </c>
      <c r="R149" t="str">
        <f t="shared" si="4"/>
        <v>no</v>
      </c>
      <c r="S149" t="str">
        <f t="shared" si="5"/>
        <v>no</v>
      </c>
    </row>
    <row r="150" spans="1:19" x14ac:dyDescent="0.35">
      <c r="A150" s="1">
        <v>148</v>
      </c>
      <c r="B150" t="s">
        <v>75</v>
      </c>
      <c r="C150" t="s">
        <v>142</v>
      </c>
      <c r="D150" t="s">
        <v>176</v>
      </c>
      <c r="G150">
        <v>27</v>
      </c>
      <c r="H150" t="s">
        <v>19</v>
      </c>
      <c r="R150" t="str">
        <f t="shared" si="4"/>
        <v>no</v>
      </c>
      <c r="S150" t="str">
        <f t="shared" si="5"/>
        <v>no</v>
      </c>
    </row>
    <row r="151" spans="1:19" x14ac:dyDescent="0.35">
      <c r="A151" s="1">
        <v>149</v>
      </c>
      <c r="B151" t="s">
        <v>75</v>
      </c>
      <c r="C151" t="s">
        <v>142</v>
      </c>
      <c r="D151" t="s">
        <v>177</v>
      </c>
      <c r="E151">
        <v>0</v>
      </c>
      <c r="F151">
        <v>0</v>
      </c>
      <c r="G151">
        <v>27</v>
      </c>
      <c r="H151" t="s">
        <v>19</v>
      </c>
      <c r="M151">
        <v>0</v>
      </c>
      <c r="N151">
        <v>0</v>
      </c>
      <c r="O151">
        <v>0</v>
      </c>
      <c r="R151" t="str">
        <f t="shared" si="4"/>
        <v>no</v>
      </c>
      <c r="S151" t="str">
        <f t="shared" si="5"/>
        <v>no</v>
      </c>
    </row>
    <row r="152" spans="1:19" x14ac:dyDescent="0.35">
      <c r="A152" s="1">
        <v>150</v>
      </c>
      <c r="B152" t="s">
        <v>75</v>
      </c>
      <c r="C152" t="s">
        <v>142</v>
      </c>
      <c r="D152" t="s">
        <v>178</v>
      </c>
      <c r="G152">
        <v>27</v>
      </c>
      <c r="H152" t="s">
        <v>19</v>
      </c>
      <c r="R152" t="str">
        <f t="shared" si="4"/>
        <v>no</v>
      </c>
      <c r="S152" t="str">
        <f t="shared" si="5"/>
        <v>no</v>
      </c>
    </row>
    <row r="153" spans="1:19" x14ac:dyDescent="0.35">
      <c r="A153" s="1">
        <v>151</v>
      </c>
      <c r="B153" t="s">
        <v>75</v>
      </c>
      <c r="C153" t="s">
        <v>142</v>
      </c>
      <c r="D153" t="s">
        <v>179</v>
      </c>
      <c r="G153">
        <v>27</v>
      </c>
      <c r="H153" t="s">
        <v>19</v>
      </c>
      <c r="R153" t="str">
        <f t="shared" si="4"/>
        <v>no</v>
      </c>
      <c r="S153" t="str">
        <f t="shared" si="5"/>
        <v>no</v>
      </c>
    </row>
    <row r="154" spans="1:19" x14ac:dyDescent="0.35">
      <c r="A154" s="1">
        <v>152</v>
      </c>
      <c r="B154" t="s">
        <v>75</v>
      </c>
      <c r="C154" t="s">
        <v>142</v>
      </c>
      <c r="D154" t="s">
        <v>180</v>
      </c>
      <c r="E154">
        <v>0</v>
      </c>
      <c r="F154">
        <v>0</v>
      </c>
      <c r="G154">
        <v>27</v>
      </c>
      <c r="H154" t="s">
        <v>19</v>
      </c>
      <c r="M154">
        <v>0</v>
      </c>
      <c r="N154">
        <v>0</v>
      </c>
      <c r="O154">
        <v>0</v>
      </c>
      <c r="R154" t="str">
        <f t="shared" si="4"/>
        <v>no</v>
      </c>
      <c r="S154" t="str">
        <f t="shared" si="5"/>
        <v>no</v>
      </c>
    </row>
    <row r="155" spans="1:19" x14ac:dyDescent="0.35">
      <c r="A155" s="1">
        <v>153</v>
      </c>
      <c r="B155" t="s">
        <v>75</v>
      </c>
      <c r="C155" t="s">
        <v>142</v>
      </c>
      <c r="D155" t="s">
        <v>181</v>
      </c>
      <c r="G155">
        <v>27</v>
      </c>
      <c r="H155" t="s">
        <v>19</v>
      </c>
      <c r="R155" t="str">
        <f t="shared" si="4"/>
        <v>no</v>
      </c>
      <c r="S155" t="str">
        <f t="shared" si="5"/>
        <v>no</v>
      </c>
    </row>
    <row r="156" spans="1:19" x14ac:dyDescent="0.35">
      <c r="A156" s="1">
        <v>154</v>
      </c>
      <c r="B156" t="s">
        <v>75</v>
      </c>
      <c r="C156" t="s">
        <v>142</v>
      </c>
      <c r="D156" t="s">
        <v>182</v>
      </c>
      <c r="G156">
        <v>27</v>
      </c>
      <c r="H156" t="s">
        <v>19</v>
      </c>
      <c r="R156" t="str">
        <f t="shared" si="4"/>
        <v>no</v>
      </c>
      <c r="S156" t="str">
        <f t="shared" si="5"/>
        <v>no</v>
      </c>
    </row>
    <row r="157" spans="1:19" x14ac:dyDescent="0.35">
      <c r="A157" s="1">
        <v>155</v>
      </c>
      <c r="B157" t="s">
        <v>75</v>
      </c>
      <c r="C157" t="s">
        <v>142</v>
      </c>
      <c r="D157" t="s">
        <v>183</v>
      </c>
      <c r="E157">
        <v>0</v>
      </c>
      <c r="F157">
        <v>0</v>
      </c>
      <c r="G157">
        <v>27</v>
      </c>
      <c r="H157" t="s">
        <v>19</v>
      </c>
      <c r="M157">
        <v>0</v>
      </c>
      <c r="N157">
        <v>0</v>
      </c>
      <c r="O157">
        <v>0</v>
      </c>
      <c r="R157" t="str">
        <f t="shared" si="4"/>
        <v>no</v>
      </c>
      <c r="S157" t="str">
        <f t="shared" si="5"/>
        <v>no</v>
      </c>
    </row>
    <row r="158" spans="1:19" x14ac:dyDescent="0.35">
      <c r="A158" s="1">
        <v>156</v>
      </c>
      <c r="B158" t="s">
        <v>75</v>
      </c>
      <c r="C158" t="s">
        <v>142</v>
      </c>
      <c r="D158" t="s">
        <v>184</v>
      </c>
      <c r="G158">
        <v>27</v>
      </c>
      <c r="H158" t="s">
        <v>19</v>
      </c>
      <c r="R158" t="str">
        <f t="shared" si="4"/>
        <v>no</v>
      </c>
      <c r="S158" t="str">
        <f t="shared" si="5"/>
        <v>no</v>
      </c>
    </row>
    <row r="159" spans="1:19" x14ac:dyDescent="0.35">
      <c r="A159" s="1">
        <v>157</v>
      </c>
      <c r="B159" t="s">
        <v>75</v>
      </c>
      <c r="C159" t="s">
        <v>142</v>
      </c>
      <c r="D159" t="s">
        <v>185</v>
      </c>
      <c r="G159">
        <v>27</v>
      </c>
      <c r="H159" t="s">
        <v>19</v>
      </c>
      <c r="R159" t="str">
        <f t="shared" si="4"/>
        <v>no</v>
      </c>
      <c r="S159" t="str">
        <f t="shared" si="5"/>
        <v>no</v>
      </c>
    </row>
    <row r="160" spans="1:19" x14ac:dyDescent="0.35">
      <c r="A160" s="1">
        <v>158</v>
      </c>
      <c r="B160" t="s">
        <v>75</v>
      </c>
      <c r="C160" t="s">
        <v>142</v>
      </c>
      <c r="D160" t="s">
        <v>186</v>
      </c>
      <c r="E160">
        <v>0</v>
      </c>
      <c r="F160">
        <v>0</v>
      </c>
      <c r="G160">
        <v>27</v>
      </c>
      <c r="H160" t="s">
        <v>19</v>
      </c>
      <c r="M160">
        <v>0</v>
      </c>
      <c r="N160">
        <v>0</v>
      </c>
      <c r="O160">
        <v>0</v>
      </c>
      <c r="R160" t="str">
        <f t="shared" si="4"/>
        <v>no</v>
      </c>
      <c r="S160" t="str">
        <f t="shared" si="5"/>
        <v>no</v>
      </c>
    </row>
    <row r="161" spans="1:19" x14ac:dyDescent="0.35">
      <c r="A161" s="1">
        <v>159</v>
      </c>
      <c r="B161" t="s">
        <v>75</v>
      </c>
      <c r="C161" t="s">
        <v>142</v>
      </c>
      <c r="D161" t="s">
        <v>187</v>
      </c>
      <c r="G161">
        <v>27</v>
      </c>
      <c r="H161" t="s">
        <v>19</v>
      </c>
      <c r="R161" t="str">
        <f t="shared" si="4"/>
        <v>no</v>
      </c>
      <c r="S161" t="str">
        <f t="shared" si="5"/>
        <v>no</v>
      </c>
    </row>
    <row r="162" spans="1:19" x14ac:dyDescent="0.35">
      <c r="A162" s="1">
        <v>160</v>
      </c>
      <c r="B162" t="s">
        <v>75</v>
      </c>
      <c r="C162" t="s">
        <v>142</v>
      </c>
      <c r="D162" t="s">
        <v>188</v>
      </c>
      <c r="G162">
        <v>27</v>
      </c>
      <c r="H162" t="s">
        <v>19</v>
      </c>
      <c r="R162" t="str">
        <f t="shared" si="4"/>
        <v>no</v>
      </c>
      <c r="S162" t="str">
        <f t="shared" si="5"/>
        <v>no</v>
      </c>
    </row>
    <row r="163" spans="1:19" x14ac:dyDescent="0.35">
      <c r="A163" s="1">
        <v>161</v>
      </c>
      <c r="B163" t="s">
        <v>75</v>
      </c>
      <c r="C163" t="s">
        <v>142</v>
      </c>
      <c r="D163" t="s">
        <v>189</v>
      </c>
      <c r="E163">
        <v>0</v>
      </c>
      <c r="F163">
        <v>0</v>
      </c>
      <c r="G163">
        <v>27</v>
      </c>
      <c r="H163" t="s">
        <v>19</v>
      </c>
      <c r="M163">
        <v>0</v>
      </c>
      <c r="N163">
        <v>0</v>
      </c>
      <c r="O163">
        <v>0</v>
      </c>
      <c r="R163" t="str">
        <f t="shared" si="4"/>
        <v>no</v>
      </c>
      <c r="S163" t="str">
        <f t="shared" si="5"/>
        <v>no</v>
      </c>
    </row>
    <row r="164" spans="1:19" x14ac:dyDescent="0.35">
      <c r="A164" s="1">
        <v>162</v>
      </c>
      <c r="B164" t="s">
        <v>75</v>
      </c>
      <c r="C164" t="s">
        <v>142</v>
      </c>
      <c r="D164" t="s">
        <v>190</v>
      </c>
      <c r="G164">
        <v>27</v>
      </c>
      <c r="H164" t="s">
        <v>19</v>
      </c>
      <c r="R164" t="str">
        <f t="shared" si="4"/>
        <v>no</v>
      </c>
      <c r="S164" t="str">
        <f t="shared" si="5"/>
        <v>no</v>
      </c>
    </row>
    <row r="165" spans="1:19" x14ac:dyDescent="0.35">
      <c r="A165" s="1">
        <v>163</v>
      </c>
      <c r="B165" t="s">
        <v>75</v>
      </c>
      <c r="C165" t="s">
        <v>142</v>
      </c>
      <c r="D165" t="s">
        <v>191</v>
      </c>
      <c r="G165">
        <v>27</v>
      </c>
      <c r="H165" t="s">
        <v>19</v>
      </c>
      <c r="R165" t="str">
        <f t="shared" si="4"/>
        <v>no</v>
      </c>
      <c r="S165" t="str">
        <f t="shared" si="5"/>
        <v>no</v>
      </c>
    </row>
    <row r="166" spans="1:19" x14ac:dyDescent="0.35">
      <c r="A166" s="1">
        <v>164</v>
      </c>
      <c r="B166" t="s">
        <v>75</v>
      </c>
      <c r="C166" t="s">
        <v>142</v>
      </c>
      <c r="D166" t="s">
        <v>192</v>
      </c>
      <c r="E166">
        <v>0</v>
      </c>
      <c r="F166">
        <v>0</v>
      </c>
      <c r="G166">
        <v>27</v>
      </c>
      <c r="H166" t="s">
        <v>19</v>
      </c>
      <c r="M166">
        <v>0</v>
      </c>
      <c r="N166">
        <v>0</v>
      </c>
      <c r="O166">
        <v>0</v>
      </c>
      <c r="R166" t="str">
        <f t="shared" si="4"/>
        <v>no</v>
      </c>
      <c r="S166" t="str">
        <f t="shared" si="5"/>
        <v>no</v>
      </c>
    </row>
    <row r="167" spans="1:19" x14ac:dyDescent="0.35">
      <c r="A167" s="1">
        <v>165</v>
      </c>
      <c r="B167" t="s">
        <v>75</v>
      </c>
      <c r="C167" t="s">
        <v>142</v>
      </c>
      <c r="D167" t="s">
        <v>193</v>
      </c>
      <c r="G167">
        <v>27</v>
      </c>
      <c r="H167" t="s">
        <v>19</v>
      </c>
      <c r="R167" t="str">
        <f t="shared" si="4"/>
        <v>no</v>
      </c>
      <c r="S167" t="str">
        <f t="shared" si="5"/>
        <v>no</v>
      </c>
    </row>
    <row r="168" spans="1:19" x14ac:dyDescent="0.35">
      <c r="A168" s="1">
        <v>166</v>
      </c>
      <c r="B168" t="s">
        <v>75</v>
      </c>
      <c r="C168" t="s">
        <v>142</v>
      </c>
      <c r="D168" t="s">
        <v>194</v>
      </c>
      <c r="G168">
        <v>27</v>
      </c>
      <c r="H168" t="s">
        <v>19</v>
      </c>
      <c r="R168" t="str">
        <f t="shared" si="4"/>
        <v>no</v>
      </c>
      <c r="S168" t="str">
        <f t="shared" si="5"/>
        <v>no</v>
      </c>
    </row>
    <row r="169" spans="1:19" x14ac:dyDescent="0.35">
      <c r="A169" s="1">
        <v>167</v>
      </c>
      <c r="B169" t="s">
        <v>75</v>
      </c>
      <c r="C169" t="s">
        <v>142</v>
      </c>
      <c r="D169" t="s">
        <v>195</v>
      </c>
      <c r="E169">
        <v>0</v>
      </c>
      <c r="F169">
        <v>0</v>
      </c>
      <c r="G169">
        <v>27</v>
      </c>
      <c r="H169" t="s">
        <v>19</v>
      </c>
      <c r="M169">
        <v>0</v>
      </c>
      <c r="N169">
        <v>0</v>
      </c>
      <c r="O169">
        <v>0</v>
      </c>
      <c r="R169" t="str">
        <f t="shared" si="4"/>
        <v>no</v>
      </c>
      <c r="S169" t="str">
        <f t="shared" si="5"/>
        <v>no</v>
      </c>
    </row>
    <row r="170" spans="1:19" x14ac:dyDescent="0.35">
      <c r="A170" s="1">
        <v>168</v>
      </c>
      <c r="B170" t="s">
        <v>75</v>
      </c>
      <c r="C170" t="s">
        <v>142</v>
      </c>
      <c r="D170" t="s">
        <v>196</v>
      </c>
      <c r="G170">
        <v>27</v>
      </c>
      <c r="H170" t="s">
        <v>19</v>
      </c>
      <c r="R170" t="str">
        <f t="shared" si="4"/>
        <v>no</v>
      </c>
      <c r="S170" t="str">
        <f t="shared" si="5"/>
        <v>no</v>
      </c>
    </row>
    <row r="171" spans="1:19" x14ac:dyDescent="0.35">
      <c r="A171" s="1">
        <v>169</v>
      </c>
      <c r="B171" t="s">
        <v>75</v>
      </c>
      <c r="C171" t="s">
        <v>142</v>
      </c>
      <c r="D171" t="s">
        <v>197</v>
      </c>
      <c r="G171">
        <v>27</v>
      </c>
      <c r="H171" t="s">
        <v>19</v>
      </c>
      <c r="R171" t="str">
        <f t="shared" si="4"/>
        <v>no</v>
      </c>
      <c r="S171" t="str">
        <f t="shared" si="5"/>
        <v>no</v>
      </c>
    </row>
    <row r="172" spans="1:19" x14ac:dyDescent="0.35">
      <c r="A172" s="1">
        <v>170</v>
      </c>
      <c r="B172" t="s">
        <v>75</v>
      </c>
      <c r="C172" t="s">
        <v>142</v>
      </c>
      <c r="D172" t="s">
        <v>198</v>
      </c>
      <c r="E172">
        <v>0</v>
      </c>
      <c r="F172">
        <v>0</v>
      </c>
      <c r="G172">
        <v>27</v>
      </c>
      <c r="H172" t="s">
        <v>19</v>
      </c>
      <c r="M172">
        <v>0</v>
      </c>
      <c r="N172">
        <v>0</v>
      </c>
      <c r="O172">
        <v>0</v>
      </c>
      <c r="R172" t="str">
        <f t="shared" si="4"/>
        <v>no</v>
      </c>
      <c r="S172" t="str">
        <f t="shared" si="5"/>
        <v>no</v>
      </c>
    </row>
    <row r="173" spans="1:19" x14ac:dyDescent="0.35">
      <c r="A173" s="1">
        <v>171</v>
      </c>
      <c r="B173" t="s">
        <v>75</v>
      </c>
      <c r="C173" t="s">
        <v>142</v>
      </c>
      <c r="D173" t="s">
        <v>199</v>
      </c>
      <c r="G173">
        <v>27</v>
      </c>
      <c r="H173" t="s">
        <v>19</v>
      </c>
      <c r="R173" t="str">
        <f t="shared" si="4"/>
        <v>no</v>
      </c>
      <c r="S173" t="str">
        <f t="shared" si="5"/>
        <v>no</v>
      </c>
    </row>
    <row r="174" spans="1:19" x14ac:dyDescent="0.35">
      <c r="A174" s="1">
        <v>172</v>
      </c>
      <c r="B174" t="s">
        <v>75</v>
      </c>
      <c r="C174" t="s">
        <v>142</v>
      </c>
      <c r="D174" t="s">
        <v>200</v>
      </c>
      <c r="G174">
        <v>27</v>
      </c>
      <c r="H174" t="s">
        <v>19</v>
      </c>
      <c r="R174" t="str">
        <f t="shared" si="4"/>
        <v>no</v>
      </c>
      <c r="S174" t="str">
        <f t="shared" si="5"/>
        <v>no</v>
      </c>
    </row>
    <row r="175" spans="1:19" x14ac:dyDescent="0.35">
      <c r="A175" s="1">
        <v>173</v>
      </c>
      <c r="B175" t="s">
        <v>75</v>
      </c>
      <c r="C175" t="s">
        <v>142</v>
      </c>
      <c r="D175" t="s">
        <v>201</v>
      </c>
      <c r="E175">
        <v>0</v>
      </c>
      <c r="F175">
        <v>0</v>
      </c>
      <c r="G175">
        <v>27</v>
      </c>
      <c r="H175" t="s">
        <v>19</v>
      </c>
      <c r="M175">
        <v>0</v>
      </c>
      <c r="N175">
        <v>0</v>
      </c>
      <c r="O175">
        <v>0</v>
      </c>
      <c r="R175" t="str">
        <f t="shared" si="4"/>
        <v>no</v>
      </c>
      <c r="S175" t="str">
        <f t="shared" si="5"/>
        <v>no</v>
      </c>
    </row>
    <row r="176" spans="1:19" x14ac:dyDescent="0.35">
      <c r="A176" s="1">
        <v>174</v>
      </c>
      <c r="B176" t="s">
        <v>75</v>
      </c>
      <c r="C176" t="s">
        <v>142</v>
      </c>
      <c r="D176" t="s">
        <v>202</v>
      </c>
      <c r="G176">
        <v>27</v>
      </c>
      <c r="H176" t="s">
        <v>19</v>
      </c>
      <c r="R176" t="str">
        <f t="shared" si="4"/>
        <v>no</v>
      </c>
      <c r="S176" t="str">
        <f t="shared" si="5"/>
        <v>no</v>
      </c>
    </row>
    <row r="177" spans="1:19" x14ac:dyDescent="0.35">
      <c r="A177" s="1">
        <v>175</v>
      </c>
      <c r="B177" t="s">
        <v>75</v>
      </c>
      <c r="C177" t="s">
        <v>142</v>
      </c>
      <c r="D177" t="s">
        <v>203</v>
      </c>
      <c r="G177">
        <v>27</v>
      </c>
      <c r="H177" t="s">
        <v>19</v>
      </c>
      <c r="R177" t="str">
        <f t="shared" si="4"/>
        <v>no</v>
      </c>
      <c r="S177" t="str">
        <f t="shared" si="5"/>
        <v>no</v>
      </c>
    </row>
    <row r="178" spans="1:19" x14ac:dyDescent="0.35">
      <c r="A178" s="1">
        <v>176</v>
      </c>
      <c r="B178" t="s">
        <v>75</v>
      </c>
      <c r="C178" t="s">
        <v>142</v>
      </c>
      <c r="D178" t="s">
        <v>204</v>
      </c>
      <c r="E178">
        <v>0</v>
      </c>
      <c r="F178">
        <v>0</v>
      </c>
      <c r="G178">
        <v>27</v>
      </c>
      <c r="H178" t="s">
        <v>19</v>
      </c>
      <c r="M178">
        <v>0</v>
      </c>
      <c r="N178">
        <v>0</v>
      </c>
      <c r="O178">
        <v>0</v>
      </c>
      <c r="R178" t="str">
        <f t="shared" si="4"/>
        <v>no</v>
      </c>
      <c r="S178" t="str">
        <f t="shared" si="5"/>
        <v>no</v>
      </c>
    </row>
    <row r="179" spans="1:19" x14ac:dyDescent="0.35">
      <c r="A179" s="1">
        <v>177</v>
      </c>
      <c r="B179" t="s">
        <v>75</v>
      </c>
      <c r="C179" t="s">
        <v>142</v>
      </c>
      <c r="D179" t="s">
        <v>205</v>
      </c>
      <c r="G179">
        <v>27</v>
      </c>
      <c r="H179" t="s">
        <v>19</v>
      </c>
      <c r="R179" t="str">
        <f t="shared" si="4"/>
        <v>no</v>
      </c>
      <c r="S179" t="str">
        <f t="shared" si="5"/>
        <v>no</v>
      </c>
    </row>
    <row r="180" spans="1:19" x14ac:dyDescent="0.35">
      <c r="A180" s="1">
        <v>178</v>
      </c>
      <c r="B180" t="s">
        <v>75</v>
      </c>
      <c r="C180" t="s">
        <v>142</v>
      </c>
      <c r="D180" t="s">
        <v>206</v>
      </c>
      <c r="G180">
        <v>27</v>
      </c>
      <c r="H180" t="s">
        <v>19</v>
      </c>
      <c r="R180" t="str">
        <f t="shared" si="4"/>
        <v>no</v>
      </c>
      <c r="S180" t="str">
        <f t="shared" si="5"/>
        <v>no</v>
      </c>
    </row>
    <row r="181" spans="1:19" x14ac:dyDescent="0.35">
      <c r="A181" s="1">
        <v>179</v>
      </c>
      <c r="B181" t="s">
        <v>75</v>
      </c>
      <c r="C181" t="s">
        <v>142</v>
      </c>
      <c r="D181" t="s">
        <v>207</v>
      </c>
      <c r="E181">
        <v>0</v>
      </c>
      <c r="F181">
        <v>0</v>
      </c>
      <c r="G181">
        <v>27</v>
      </c>
      <c r="H181" t="s">
        <v>19</v>
      </c>
      <c r="M181">
        <v>0</v>
      </c>
      <c r="N181">
        <v>0</v>
      </c>
      <c r="O181">
        <v>0</v>
      </c>
      <c r="R181" t="str">
        <f t="shared" si="4"/>
        <v>no</v>
      </c>
      <c r="S181" t="str">
        <f t="shared" si="5"/>
        <v>no</v>
      </c>
    </row>
    <row r="182" spans="1:19" x14ac:dyDescent="0.35">
      <c r="A182" s="1">
        <v>180</v>
      </c>
      <c r="B182" t="s">
        <v>75</v>
      </c>
      <c r="C182" t="s">
        <v>142</v>
      </c>
      <c r="D182" t="s">
        <v>208</v>
      </c>
      <c r="G182">
        <v>27</v>
      </c>
      <c r="H182" t="s">
        <v>19</v>
      </c>
      <c r="R182" t="str">
        <f t="shared" si="4"/>
        <v>no</v>
      </c>
      <c r="S182" t="str">
        <f t="shared" si="5"/>
        <v>no</v>
      </c>
    </row>
    <row r="183" spans="1:19" x14ac:dyDescent="0.35">
      <c r="A183" s="1">
        <v>181</v>
      </c>
      <c r="B183" t="s">
        <v>75</v>
      </c>
      <c r="C183" t="s">
        <v>142</v>
      </c>
      <c r="D183" t="s">
        <v>209</v>
      </c>
      <c r="G183">
        <v>27</v>
      </c>
      <c r="H183" t="s">
        <v>19</v>
      </c>
      <c r="R183" t="str">
        <f t="shared" si="4"/>
        <v>no</v>
      </c>
      <c r="S183" t="str">
        <f t="shared" si="5"/>
        <v>no</v>
      </c>
    </row>
    <row r="184" spans="1:19" x14ac:dyDescent="0.35">
      <c r="A184" s="1">
        <v>182</v>
      </c>
      <c r="B184" t="s">
        <v>75</v>
      </c>
      <c r="C184" t="s">
        <v>142</v>
      </c>
      <c r="D184" t="s">
        <v>210</v>
      </c>
      <c r="E184">
        <v>0</v>
      </c>
      <c r="F184">
        <v>0</v>
      </c>
      <c r="G184">
        <v>27</v>
      </c>
      <c r="H184" t="s">
        <v>19</v>
      </c>
      <c r="M184">
        <v>0</v>
      </c>
      <c r="N184">
        <v>0</v>
      </c>
      <c r="O184">
        <v>0</v>
      </c>
      <c r="R184" t="str">
        <f t="shared" si="4"/>
        <v>no</v>
      </c>
      <c r="S184" t="str">
        <f t="shared" si="5"/>
        <v>no</v>
      </c>
    </row>
    <row r="185" spans="1:19" x14ac:dyDescent="0.35">
      <c r="A185" s="1">
        <v>183</v>
      </c>
      <c r="B185" t="s">
        <v>75</v>
      </c>
      <c r="C185" t="s">
        <v>142</v>
      </c>
      <c r="D185" t="s">
        <v>211</v>
      </c>
      <c r="G185">
        <v>27</v>
      </c>
      <c r="H185" t="s">
        <v>19</v>
      </c>
      <c r="R185" t="str">
        <f t="shared" si="4"/>
        <v>no</v>
      </c>
      <c r="S185" t="str">
        <f t="shared" si="5"/>
        <v>no</v>
      </c>
    </row>
    <row r="186" spans="1:19" x14ac:dyDescent="0.35">
      <c r="A186" s="1">
        <v>184</v>
      </c>
      <c r="B186" t="s">
        <v>75</v>
      </c>
      <c r="C186" t="s">
        <v>142</v>
      </c>
      <c r="D186" t="s">
        <v>212</v>
      </c>
      <c r="G186">
        <v>27</v>
      </c>
      <c r="H186" t="s">
        <v>19</v>
      </c>
      <c r="R186" t="str">
        <f t="shared" si="4"/>
        <v>no</v>
      </c>
      <c r="S186" t="str">
        <f t="shared" si="5"/>
        <v>no</v>
      </c>
    </row>
    <row r="187" spans="1:19" x14ac:dyDescent="0.35">
      <c r="A187" s="1">
        <v>185</v>
      </c>
      <c r="B187" t="s">
        <v>75</v>
      </c>
      <c r="C187" t="s">
        <v>142</v>
      </c>
      <c r="D187" t="s">
        <v>213</v>
      </c>
      <c r="E187">
        <v>0</v>
      </c>
      <c r="F187">
        <v>0</v>
      </c>
      <c r="G187">
        <v>27</v>
      </c>
      <c r="H187" t="s">
        <v>19</v>
      </c>
      <c r="M187">
        <v>0</v>
      </c>
      <c r="N187">
        <v>0</v>
      </c>
      <c r="O187">
        <v>0</v>
      </c>
      <c r="R187" t="str">
        <f t="shared" si="4"/>
        <v>no</v>
      </c>
      <c r="S187" t="str">
        <f t="shared" si="5"/>
        <v>no</v>
      </c>
    </row>
    <row r="188" spans="1:19" x14ac:dyDescent="0.35">
      <c r="A188" s="1">
        <v>186</v>
      </c>
      <c r="B188" t="s">
        <v>75</v>
      </c>
      <c r="C188" t="s">
        <v>142</v>
      </c>
      <c r="D188" t="s">
        <v>214</v>
      </c>
      <c r="G188">
        <v>27</v>
      </c>
      <c r="H188" t="s">
        <v>19</v>
      </c>
      <c r="R188" t="str">
        <f t="shared" si="4"/>
        <v>no</v>
      </c>
      <c r="S188" t="str">
        <f t="shared" si="5"/>
        <v>no</v>
      </c>
    </row>
    <row r="189" spans="1:19" x14ac:dyDescent="0.35">
      <c r="A189" s="1">
        <v>187</v>
      </c>
      <c r="B189" t="s">
        <v>75</v>
      </c>
      <c r="C189" t="s">
        <v>142</v>
      </c>
      <c r="D189" t="s">
        <v>215</v>
      </c>
      <c r="G189">
        <v>27</v>
      </c>
      <c r="H189" t="s">
        <v>19</v>
      </c>
      <c r="R189" t="str">
        <f t="shared" si="4"/>
        <v>no</v>
      </c>
      <c r="S189" t="str">
        <f t="shared" si="5"/>
        <v>no</v>
      </c>
    </row>
    <row r="190" spans="1:19" x14ac:dyDescent="0.35">
      <c r="A190" s="1">
        <v>188</v>
      </c>
      <c r="B190" t="s">
        <v>75</v>
      </c>
      <c r="C190" t="s">
        <v>142</v>
      </c>
      <c r="D190" t="s">
        <v>216</v>
      </c>
      <c r="E190">
        <v>0</v>
      </c>
      <c r="F190">
        <v>0</v>
      </c>
      <c r="G190">
        <v>27</v>
      </c>
      <c r="H190" t="s">
        <v>19</v>
      </c>
      <c r="M190">
        <v>0</v>
      </c>
      <c r="N190">
        <v>0</v>
      </c>
      <c r="O190">
        <v>0</v>
      </c>
      <c r="R190" t="str">
        <f t="shared" si="4"/>
        <v>no</v>
      </c>
      <c r="S190" t="str">
        <f t="shared" si="5"/>
        <v>no</v>
      </c>
    </row>
    <row r="191" spans="1:19" x14ac:dyDescent="0.35">
      <c r="A191" s="1">
        <v>189</v>
      </c>
      <c r="B191" t="s">
        <v>75</v>
      </c>
      <c r="C191" t="s">
        <v>142</v>
      </c>
      <c r="D191" t="s">
        <v>217</v>
      </c>
      <c r="G191">
        <v>27</v>
      </c>
      <c r="H191" t="s">
        <v>19</v>
      </c>
      <c r="R191" t="str">
        <f t="shared" si="4"/>
        <v>no</v>
      </c>
      <c r="S191" t="str">
        <f t="shared" si="5"/>
        <v>no</v>
      </c>
    </row>
    <row r="192" spans="1:19" x14ac:dyDescent="0.35">
      <c r="A192" s="1">
        <v>190</v>
      </c>
      <c r="B192" t="s">
        <v>75</v>
      </c>
      <c r="C192" t="s">
        <v>142</v>
      </c>
      <c r="D192" t="s">
        <v>218</v>
      </c>
      <c r="G192">
        <v>27</v>
      </c>
      <c r="H192" t="s">
        <v>19</v>
      </c>
      <c r="R192" t="str">
        <f t="shared" si="4"/>
        <v>no</v>
      </c>
      <c r="S192" t="str">
        <f t="shared" si="5"/>
        <v>no</v>
      </c>
    </row>
    <row r="193" spans="1:19" x14ac:dyDescent="0.35">
      <c r="A193" s="1">
        <v>191</v>
      </c>
      <c r="B193" t="s">
        <v>75</v>
      </c>
      <c r="C193" t="s">
        <v>142</v>
      </c>
      <c r="D193" t="s">
        <v>219</v>
      </c>
      <c r="E193">
        <v>0</v>
      </c>
      <c r="F193">
        <v>0</v>
      </c>
      <c r="G193">
        <v>27</v>
      </c>
      <c r="H193" t="s">
        <v>19</v>
      </c>
      <c r="M193">
        <v>0</v>
      </c>
      <c r="N193">
        <v>0</v>
      </c>
      <c r="O193">
        <v>0</v>
      </c>
      <c r="R193" t="str">
        <f t="shared" si="4"/>
        <v>no</v>
      </c>
      <c r="S193" t="str">
        <f t="shared" si="5"/>
        <v>no</v>
      </c>
    </row>
    <row r="194" spans="1:19" x14ac:dyDescent="0.35">
      <c r="A194" s="1">
        <v>192</v>
      </c>
      <c r="B194" t="s">
        <v>75</v>
      </c>
      <c r="C194" t="s">
        <v>142</v>
      </c>
      <c r="D194" t="s">
        <v>220</v>
      </c>
      <c r="G194">
        <v>27</v>
      </c>
      <c r="H194" t="s">
        <v>19</v>
      </c>
      <c r="R194" t="str">
        <f t="shared" si="4"/>
        <v>no</v>
      </c>
      <c r="S194" t="str">
        <f t="shared" si="5"/>
        <v>no</v>
      </c>
    </row>
    <row r="195" spans="1:19" x14ac:dyDescent="0.35">
      <c r="A195" s="1">
        <v>193</v>
      </c>
      <c r="B195" t="s">
        <v>75</v>
      </c>
      <c r="C195" t="s">
        <v>142</v>
      </c>
      <c r="D195" t="s">
        <v>221</v>
      </c>
      <c r="G195">
        <v>27</v>
      </c>
      <c r="H195" t="s">
        <v>19</v>
      </c>
      <c r="R195" t="str">
        <f t="shared" ref="R195:R258" si="6">IF(H195="yes","yes","no")</f>
        <v>no</v>
      </c>
      <c r="S195" t="str">
        <f t="shared" ref="S195:S258" si="7">IF(I195,"yes","no")</f>
        <v>no</v>
      </c>
    </row>
    <row r="196" spans="1:19" x14ac:dyDescent="0.35">
      <c r="A196" s="1">
        <v>194</v>
      </c>
      <c r="B196" t="s">
        <v>75</v>
      </c>
      <c r="C196" t="s">
        <v>142</v>
      </c>
      <c r="D196" t="s">
        <v>222</v>
      </c>
      <c r="E196">
        <v>0</v>
      </c>
      <c r="F196">
        <v>0</v>
      </c>
      <c r="G196">
        <v>27</v>
      </c>
      <c r="H196" t="s">
        <v>19</v>
      </c>
      <c r="M196">
        <v>0</v>
      </c>
      <c r="N196">
        <v>0</v>
      </c>
      <c r="O196">
        <v>0</v>
      </c>
      <c r="R196" t="str">
        <f t="shared" si="6"/>
        <v>no</v>
      </c>
      <c r="S196" t="str">
        <f t="shared" si="7"/>
        <v>no</v>
      </c>
    </row>
    <row r="197" spans="1:19" x14ac:dyDescent="0.35">
      <c r="A197" s="1">
        <v>195</v>
      </c>
      <c r="B197" t="s">
        <v>75</v>
      </c>
      <c r="C197" t="s">
        <v>142</v>
      </c>
      <c r="D197" t="s">
        <v>223</v>
      </c>
      <c r="G197">
        <v>27</v>
      </c>
      <c r="H197" t="s">
        <v>19</v>
      </c>
      <c r="R197" t="str">
        <f t="shared" si="6"/>
        <v>no</v>
      </c>
      <c r="S197" t="str">
        <f t="shared" si="7"/>
        <v>no</v>
      </c>
    </row>
    <row r="198" spans="1:19" x14ac:dyDescent="0.35">
      <c r="A198" s="1">
        <v>196</v>
      </c>
      <c r="B198" t="s">
        <v>75</v>
      </c>
      <c r="C198" t="s">
        <v>142</v>
      </c>
      <c r="D198" t="s">
        <v>224</v>
      </c>
      <c r="G198">
        <v>27</v>
      </c>
      <c r="H198" t="s">
        <v>19</v>
      </c>
      <c r="R198" t="str">
        <f t="shared" si="6"/>
        <v>no</v>
      </c>
      <c r="S198" t="str">
        <f t="shared" si="7"/>
        <v>no</v>
      </c>
    </row>
    <row r="199" spans="1:19" x14ac:dyDescent="0.35">
      <c r="A199" s="1">
        <v>197</v>
      </c>
      <c r="B199" t="s">
        <v>75</v>
      </c>
      <c r="C199" t="s">
        <v>142</v>
      </c>
      <c r="D199" t="s">
        <v>225</v>
      </c>
      <c r="E199">
        <v>0</v>
      </c>
      <c r="F199">
        <v>0</v>
      </c>
      <c r="G199">
        <v>27</v>
      </c>
      <c r="H199" t="s">
        <v>19</v>
      </c>
      <c r="M199">
        <v>0</v>
      </c>
      <c r="N199">
        <v>0</v>
      </c>
      <c r="O199">
        <v>0</v>
      </c>
      <c r="R199" t="str">
        <f t="shared" si="6"/>
        <v>no</v>
      </c>
      <c r="S199" t="str">
        <f t="shared" si="7"/>
        <v>no</v>
      </c>
    </row>
    <row r="200" spans="1:19" x14ac:dyDescent="0.35">
      <c r="A200" s="1">
        <v>198</v>
      </c>
      <c r="B200" t="s">
        <v>75</v>
      </c>
      <c r="C200" t="s">
        <v>142</v>
      </c>
      <c r="D200" t="s">
        <v>226</v>
      </c>
      <c r="G200">
        <v>27</v>
      </c>
      <c r="H200" t="s">
        <v>19</v>
      </c>
      <c r="R200" t="str">
        <f t="shared" si="6"/>
        <v>no</v>
      </c>
      <c r="S200" t="str">
        <f t="shared" si="7"/>
        <v>no</v>
      </c>
    </row>
    <row r="201" spans="1:19" x14ac:dyDescent="0.35">
      <c r="A201" s="1">
        <v>199</v>
      </c>
      <c r="B201" t="s">
        <v>75</v>
      </c>
      <c r="C201" t="s">
        <v>142</v>
      </c>
      <c r="D201" t="s">
        <v>227</v>
      </c>
      <c r="G201">
        <v>27</v>
      </c>
      <c r="H201" t="s">
        <v>19</v>
      </c>
      <c r="R201" t="str">
        <f t="shared" si="6"/>
        <v>no</v>
      </c>
      <c r="S201" t="str">
        <f t="shared" si="7"/>
        <v>no</v>
      </c>
    </row>
    <row r="202" spans="1:19" x14ac:dyDescent="0.35">
      <c r="A202" s="1">
        <v>200</v>
      </c>
      <c r="B202" t="s">
        <v>75</v>
      </c>
      <c r="C202" t="s">
        <v>142</v>
      </c>
      <c r="D202" t="s">
        <v>228</v>
      </c>
      <c r="E202">
        <v>0</v>
      </c>
      <c r="F202">
        <v>0</v>
      </c>
      <c r="G202">
        <v>27</v>
      </c>
      <c r="H202" t="s">
        <v>19</v>
      </c>
      <c r="M202">
        <v>0</v>
      </c>
      <c r="N202">
        <v>0</v>
      </c>
      <c r="O202">
        <v>0</v>
      </c>
      <c r="R202" t="str">
        <f t="shared" si="6"/>
        <v>no</v>
      </c>
      <c r="S202" t="str">
        <f t="shared" si="7"/>
        <v>no</v>
      </c>
    </row>
    <row r="203" spans="1:19" x14ac:dyDescent="0.35">
      <c r="A203" s="1">
        <v>201</v>
      </c>
      <c r="B203" t="s">
        <v>75</v>
      </c>
      <c r="C203" t="s">
        <v>142</v>
      </c>
      <c r="D203" t="s">
        <v>229</v>
      </c>
      <c r="G203">
        <v>27</v>
      </c>
      <c r="H203" t="s">
        <v>19</v>
      </c>
      <c r="R203" t="str">
        <f t="shared" si="6"/>
        <v>no</v>
      </c>
      <c r="S203" t="str">
        <f t="shared" si="7"/>
        <v>no</v>
      </c>
    </row>
    <row r="204" spans="1:19" x14ac:dyDescent="0.35">
      <c r="A204" s="1">
        <v>202</v>
      </c>
      <c r="B204" t="s">
        <v>75</v>
      </c>
      <c r="C204" t="s">
        <v>142</v>
      </c>
      <c r="D204" t="s">
        <v>230</v>
      </c>
      <c r="G204">
        <v>27</v>
      </c>
      <c r="H204" t="s">
        <v>19</v>
      </c>
      <c r="R204" t="str">
        <f t="shared" si="6"/>
        <v>no</v>
      </c>
      <c r="S204" t="str">
        <f t="shared" si="7"/>
        <v>no</v>
      </c>
    </row>
    <row r="205" spans="1:19" x14ac:dyDescent="0.35">
      <c r="A205" s="1">
        <v>203</v>
      </c>
      <c r="B205" t="s">
        <v>75</v>
      </c>
      <c r="C205" t="s">
        <v>142</v>
      </c>
      <c r="D205" t="s">
        <v>231</v>
      </c>
      <c r="E205">
        <v>0</v>
      </c>
      <c r="F205">
        <v>0</v>
      </c>
      <c r="G205">
        <v>27</v>
      </c>
      <c r="H205" t="s">
        <v>19</v>
      </c>
      <c r="M205">
        <v>0</v>
      </c>
      <c r="N205">
        <v>0</v>
      </c>
      <c r="O205">
        <v>0</v>
      </c>
      <c r="R205" t="str">
        <f t="shared" si="6"/>
        <v>no</v>
      </c>
      <c r="S205" t="str">
        <f t="shared" si="7"/>
        <v>no</v>
      </c>
    </row>
    <row r="206" spans="1:19" x14ac:dyDescent="0.35">
      <c r="A206" s="1">
        <v>204</v>
      </c>
      <c r="B206" t="s">
        <v>75</v>
      </c>
      <c r="C206" t="s">
        <v>142</v>
      </c>
      <c r="D206" t="s">
        <v>232</v>
      </c>
      <c r="G206">
        <v>27</v>
      </c>
      <c r="H206" t="s">
        <v>19</v>
      </c>
      <c r="R206" t="str">
        <f t="shared" si="6"/>
        <v>no</v>
      </c>
      <c r="S206" t="str">
        <f t="shared" si="7"/>
        <v>no</v>
      </c>
    </row>
    <row r="207" spans="1:19" x14ac:dyDescent="0.35">
      <c r="A207" s="1">
        <v>205</v>
      </c>
      <c r="B207" t="s">
        <v>75</v>
      </c>
      <c r="C207" t="s">
        <v>142</v>
      </c>
      <c r="D207" t="s">
        <v>233</v>
      </c>
      <c r="G207">
        <v>27</v>
      </c>
      <c r="H207" t="s">
        <v>19</v>
      </c>
      <c r="R207" t="str">
        <f t="shared" si="6"/>
        <v>no</v>
      </c>
      <c r="S207" t="str">
        <f t="shared" si="7"/>
        <v>no</v>
      </c>
    </row>
    <row r="208" spans="1:19" x14ac:dyDescent="0.35">
      <c r="A208" s="1">
        <v>206</v>
      </c>
      <c r="B208" t="s">
        <v>75</v>
      </c>
      <c r="C208" t="s">
        <v>142</v>
      </c>
      <c r="D208" t="s">
        <v>234</v>
      </c>
      <c r="E208">
        <v>0</v>
      </c>
      <c r="F208">
        <v>0</v>
      </c>
      <c r="G208">
        <v>27</v>
      </c>
      <c r="H208" t="s">
        <v>19</v>
      </c>
      <c r="M208">
        <v>0</v>
      </c>
      <c r="N208">
        <v>0</v>
      </c>
      <c r="O208">
        <v>0</v>
      </c>
      <c r="R208" t="str">
        <f t="shared" si="6"/>
        <v>no</v>
      </c>
      <c r="S208" t="str">
        <f t="shared" si="7"/>
        <v>no</v>
      </c>
    </row>
    <row r="209" spans="1:19" x14ac:dyDescent="0.35">
      <c r="A209" s="1">
        <v>207</v>
      </c>
      <c r="B209" t="s">
        <v>75</v>
      </c>
      <c r="C209" t="s">
        <v>142</v>
      </c>
      <c r="D209" t="s">
        <v>235</v>
      </c>
      <c r="G209">
        <v>27</v>
      </c>
      <c r="H209" t="s">
        <v>19</v>
      </c>
      <c r="R209" t="str">
        <f t="shared" si="6"/>
        <v>no</v>
      </c>
      <c r="S209" t="str">
        <f t="shared" si="7"/>
        <v>no</v>
      </c>
    </row>
    <row r="210" spans="1:19" x14ac:dyDescent="0.35">
      <c r="A210" s="1">
        <v>208</v>
      </c>
      <c r="B210" t="s">
        <v>75</v>
      </c>
      <c r="C210" t="s">
        <v>142</v>
      </c>
      <c r="D210" t="s">
        <v>236</v>
      </c>
      <c r="G210">
        <v>27</v>
      </c>
      <c r="H210" t="s">
        <v>19</v>
      </c>
      <c r="R210" t="str">
        <f t="shared" si="6"/>
        <v>no</v>
      </c>
      <c r="S210" t="str">
        <f t="shared" si="7"/>
        <v>no</v>
      </c>
    </row>
    <row r="211" spans="1:19" x14ac:dyDescent="0.35">
      <c r="A211" s="1">
        <v>209</v>
      </c>
      <c r="B211" t="s">
        <v>75</v>
      </c>
      <c r="C211" t="s">
        <v>142</v>
      </c>
      <c r="D211" t="s">
        <v>237</v>
      </c>
      <c r="E211">
        <v>0</v>
      </c>
      <c r="F211">
        <v>0</v>
      </c>
      <c r="G211">
        <v>27</v>
      </c>
      <c r="H211" t="s">
        <v>19</v>
      </c>
      <c r="M211">
        <v>0</v>
      </c>
      <c r="N211">
        <v>0</v>
      </c>
      <c r="O211">
        <v>0</v>
      </c>
      <c r="R211" t="str">
        <f t="shared" si="6"/>
        <v>no</v>
      </c>
      <c r="S211" t="str">
        <f t="shared" si="7"/>
        <v>no</v>
      </c>
    </row>
    <row r="212" spans="1:19" x14ac:dyDescent="0.35">
      <c r="A212" s="1">
        <v>210</v>
      </c>
      <c r="B212" t="s">
        <v>75</v>
      </c>
      <c r="C212" t="s">
        <v>142</v>
      </c>
      <c r="D212" t="s">
        <v>238</v>
      </c>
      <c r="G212">
        <v>27</v>
      </c>
      <c r="H212" t="s">
        <v>19</v>
      </c>
      <c r="R212" t="str">
        <f t="shared" si="6"/>
        <v>no</v>
      </c>
      <c r="S212" t="str">
        <f t="shared" si="7"/>
        <v>no</v>
      </c>
    </row>
    <row r="213" spans="1:19" x14ac:dyDescent="0.35">
      <c r="A213" s="1">
        <v>211</v>
      </c>
      <c r="B213" t="s">
        <v>75</v>
      </c>
      <c r="C213" t="s">
        <v>142</v>
      </c>
      <c r="D213" t="s">
        <v>239</v>
      </c>
      <c r="G213">
        <v>27</v>
      </c>
      <c r="H213" t="s">
        <v>19</v>
      </c>
      <c r="R213" t="str">
        <f t="shared" si="6"/>
        <v>no</v>
      </c>
      <c r="S213" t="str">
        <f t="shared" si="7"/>
        <v>no</v>
      </c>
    </row>
    <row r="214" spans="1:19" x14ac:dyDescent="0.35">
      <c r="A214" s="1">
        <v>212</v>
      </c>
      <c r="B214" t="s">
        <v>75</v>
      </c>
      <c r="C214" t="s">
        <v>142</v>
      </c>
      <c r="D214" t="s">
        <v>240</v>
      </c>
      <c r="E214">
        <v>0</v>
      </c>
      <c r="F214">
        <v>0</v>
      </c>
      <c r="G214">
        <v>27</v>
      </c>
      <c r="H214" t="s">
        <v>19</v>
      </c>
      <c r="M214">
        <v>0</v>
      </c>
      <c r="N214">
        <v>0</v>
      </c>
      <c r="O214">
        <v>0</v>
      </c>
      <c r="R214" t="str">
        <f t="shared" si="6"/>
        <v>no</v>
      </c>
      <c r="S214" t="str">
        <f t="shared" si="7"/>
        <v>no</v>
      </c>
    </row>
    <row r="215" spans="1:19" x14ac:dyDescent="0.35">
      <c r="A215" s="1">
        <v>213</v>
      </c>
      <c r="B215" t="s">
        <v>75</v>
      </c>
      <c r="C215" t="s">
        <v>142</v>
      </c>
      <c r="D215" t="s">
        <v>241</v>
      </c>
      <c r="G215">
        <v>27</v>
      </c>
      <c r="H215" t="s">
        <v>19</v>
      </c>
      <c r="R215" t="str">
        <f t="shared" si="6"/>
        <v>no</v>
      </c>
      <c r="S215" t="str">
        <f t="shared" si="7"/>
        <v>no</v>
      </c>
    </row>
    <row r="216" spans="1:19" x14ac:dyDescent="0.35">
      <c r="A216" s="1">
        <v>214</v>
      </c>
      <c r="B216" t="s">
        <v>75</v>
      </c>
      <c r="C216" t="s">
        <v>142</v>
      </c>
      <c r="D216" t="s">
        <v>242</v>
      </c>
      <c r="G216">
        <v>27</v>
      </c>
      <c r="H216" t="s">
        <v>19</v>
      </c>
      <c r="R216" t="str">
        <f t="shared" si="6"/>
        <v>no</v>
      </c>
      <c r="S216" t="str">
        <f t="shared" si="7"/>
        <v>no</v>
      </c>
    </row>
    <row r="217" spans="1:19" x14ac:dyDescent="0.35">
      <c r="A217" s="1">
        <v>215</v>
      </c>
      <c r="B217" t="s">
        <v>75</v>
      </c>
      <c r="C217" t="s">
        <v>142</v>
      </c>
      <c r="D217" t="s">
        <v>243</v>
      </c>
      <c r="E217">
        <v>0</v>
      </c>
      <c r="F217">
        <v>0</v>
      </c>
      <c r="G217">
        <v>27</v>
      </c>
      <c r="H217" t="s">
        <v>19</v>
      </c>
      <c r="M217">
        <v>0</v>
      </c>
      <c r="N217">
        <v>0</v>
      </c>
      <c r="O217">
        <v>0</v>
      </c>
      <c r="R217" t="str">
        <f t="shared" si="6"/>
        <v>no</v>
      </c>
      <c r="S217" t="str">
        <f t="shared" si="7"/>
        <v>no</v>
      </c>
    </row>
    <row r="218" spans="1:19" x14ac:dyDescent="0.35">
      <c r="A218" s="1">
        <v>216</v>
      </c>
      <c r="B218" t="s">
        <v>75</v>
      </c>
      <c r="C218" t="s">
        <v>142</v>
      </c>
      <c r="D218" t="s">
        <v>244</v>
      </c>
      <c r="G218">
        <v>27</v>
      </c>
      <c r="H218" t="s">
        <v>19</v>
      </c>
      <c r="R218" t="str">
        <f t="shared" si="6"/>
        <v>no</v>
      </c>
      <c r="S218" t="str">
        <f t="shared" si="7"/>
        <v>no</v>
      </c>
    </row>
    <row r="219" spans="1:19" x14ac:dyDescent="0.35">
      <c r="A219" s="1">
        <v>217</v>
      </c>
      <c r="B219" t="s">
        <v>75</v>
      </c>
      <c r="C219" t="s">
        <v>142</v>
      </c>
      <c r="D219" t="s">
        <v>245</v>
      </c>
      <c r="G219">
        <v>27</v>
      </c>
      <c r="H219" t="s">
        <v>19</v>
      </c>
      <c r="R219" t="str">
        <f t="shared" si="6"/>
        <v>no</v>
      </c>
      <c r="S219" t="str">
        <f t="shared" si="7"/>
        <v>no</v>
      </c>
    </row>
    <row r="220" spans="1:19" x14ac:dyDescent="0.35">
      <c r="A220" s="1">
        <v>218</v>
      </c>
      <c r="B220" t="s">
        <v>75</v>
      </c>
      <c r="C220" t="s">
        <v>142</v>
      </c>
      <c r="D220" t="s">
        <v>246</v>
      </c>
      <c r="E220">
        <v>0</v>
      </c>
      <c r="F220">
        <v>0</v>
      </c>
      <c r="G220">
        <v>27</v>
      </c>
      <c r="H220" t="s">
        <v>19</v>
      </c>
      <c r="M220">
        <v>0</v>
      </c>
      <c r="N220">
        <v>0</v>
      </c>
      <c r="O220">
        <v>0</v>
      </c>
      <c r="R220" t="str">
        <f t="shared" si="6"/>
        <v>no</v>
      </c>
      <c r="S220" t="str">
        <f t="shared" si="7"/>
        <v>no</v>
      </c>
    </row>
    <row r="221" spans="1:19" x14ac:dyDescent="0.35">
      <c r="A221" s="1">
        <v>219</v>
      </c>
      <c r="B221" t="s">
        <v>75</v>
      </c>
      <c r="C221" t="s">
        <v>142</v>
      </c>
      <c r="D221" t="s">
        <v>247</v>
      </c>
      <c r="G221">
        <v>27</v>
      </c>
      <c r="H221" t="s">
        <v>19</v>
      </c>
      <c r="R221" t="str">
        <f t="shared" si="6"/>
        <v>no</v>
      </c>
      <c r="S221" t="str">
        <f t="shared" si="7"/>
        <v>no</v>
      </c>
    </row>
    <row r="222" spans="1:19" x14ac:dyDescent="0.35">
      <c r="A222" s="1">
        <v>220</v>
      </c>
      <c r="B222" t="s">
        <v>75</v>
      </c>
      <c r="C222" t="s">
        <v>142</v>
      </c>
      <c r="D222" t="s">
        <v>248</v>
      </c>
      <c r="G222">
        <v>27</v>
      </c>
      <c r="H222" t="s">
        <v>19</v>
      </c>
      <c r="R222" t="str">
        <f t="shared" si="6"/>
        <v>no</v>
      </c>
      <c r="S222" t="str">
        <f t="shared" si="7"/>
        <v>no</v>
      </c>
    </row>
    <row r="223" spans="1:19" x14ac:dyDescent="0.35">
      <c r="A223" s="1">
        <v>221</v>
      </c>
      <c r="B223" t="s">
        <v>75</v>
      </c>
      <c r="C223" t="s">
        <v>142</v>
      </c>
      <c r="D223" t="s">
        <v>249</v>
      </c>
      <c r="E223">
        <v>0</v>
      </c>
      <c r="F223">
        <v>0</v>
      </c>
      <c r="G223">
        <v>27</v>
      </c>
      <c r="H223" t="s">
        <v>19</v>
      </c>
      <c r="M223">
        <v>0</v>
      </c>
      <c r="N223">
        <v>0</v>
      </c>
      <c r="O223">
        <v>0</v>
      </c>
      <c r="R223" t="str">
        <f t="shared" si="6"/>
        <v>no</v>
      </c>
      <c r="S223" t="str">
        <f t="shared" si="7"/>
        <v>no</v>
      </c>
    </row>
    <row r="224" spans="1:19" x14ac:dyDescent="0.35">
      <c r="A224" s="1">
        <v>222</v>
      </c>
      <c r="B224" t="s">
        <v>75</v>
      </c>
      <c r="C224" t="s">
        <v>142</v>
      </c>
      <c r="D224" t="s">
        <v>250</v>
      </c>
      <c r="G224">
        <v>27</v>
      </c>
      <c r="H224" t="s">
        <v>19</v>
      </c>
      <c r="R224" t="str">
        <f t="shared" si="6"/>
        <v>no</v>
      </c>
      <c r="S224" t="str">
        <f t="shared" si="7"/>
        <v>no</v>
      </c>
    </row>
    <row r="225" spans="1:19" x14ac:dyDescent="0.35">
      <c r="A225" s="1">
        <v>223</v>
      </c>
      <c r="B225" t="s">
        <v>75</v>
      </c>
      <c r="C225" t="s">
        <v>251</v>
      </c>
      <c r="D225" t="s">
        <v>252</v>
      </c>
      <c r="G225">
        <v>27</v>
      </c>
      <c r="H225" t="s">
        <v>19</v>
      </c>
      <c r="R225" t="str">
        <f t="shared" si="6"/>
        <v>no</v>
      </c>
      <c r="S225" t="str">
        <f t="shared" si="7"/>
        <v>no</v>
      </c>
    </row>
    <row r="226" spans="1:19" x14ac:dyDescent="0.35">
      <c r="A226" s="1">
        <v>224</v>
      </c>
      <c r="B226" t="s">
        <v>75</v>
      </c>
      <c r="C226" t="s">
        <v>17</v>
      </c>
      <c r="D226" t="s">
        <v>18</v>
      </c>
      <c r="E226">
        <v>7505.680246913581</v>
      </c>
      <c r="F226">
        <v>106.5525615452807</v>
      </c>
      <c r="G226">
        <v>27</v>
      </c>
      <c r="H226" t="s">
        <v>19</v>
      </c>
      <c r="M226">
        <v>7718.7853700041424</v>
      </c>
      <c r="N226">
        <v>7292.5751238230196</v>
      </c>
      <c r="O226">
        <v>426.21024618112278</v>
      </c>
      <c r="P226">
        <v>70.441105667121462</v>
      </c>
      <c r="R226" t="str">
        <f t="shared" si="6"/>
        <v>no</v>
      </c>
      <c r="S226" t="str">
        <f t="shared" si="7"/>
        <v>no</v>
      </c>
    </row>
    <row r="227" spans="1:19" x14ac:dyDescent="0.35">
      <c r="A227" s="1">
        <v>225</v>
      </c>
      <c r="B227" t="s">
        <v>75</v>
      </c>
      <c r="C227" t="s">
        <v>17</v>
      </c>
      <c r="D227" t="s">
        <v>20</v>
      </c>
      <c r="E227">
        <v>1</v>
      </c>
      <c r="F227">
        <v>0</v>
      </c>
      <c r="G227">
        <v>27</v>
      </c>
      <c r="H227" t="s">
        <v>19</v>
      </c>
      <c r="M227">
        <v>1</v>
      </c>
      <c r="N227">
        <v>1</v>
      </c>
      <c r="O227">
        <v>0</v>
      </c>
      <c r="P227" t="s">
        <v>21</v>
      </c>
      <c r="R227" t="str">
        <f t="shared" si="6"/>
        <v>no</v>
      </c>
      <c r="S227" t="str">
        <f t="shared" si="7"/>
        <v>no</v>
      </c>
    </row>
    <row r="228" spans="1:19" x14ac:dyDescent="0.35">
      <c r="A228" s="1">
        <v>226</v>
      </c>
      <c r="B228" t="s">
        <v>75</v>
      </c>
      <c r="C228" t="s">
        <v>17</v>
      </c>
      <c r="D228" t="s">
        <v>22</v>
      </c>
      <c r="E228">
        <v>7510.0259259259255</v>
      </c>
      <c r="F228">
        <v>120.0687958220564</v>
      </c>
      <c r="G228">
        <v>27</v>
      </c>
      <c r="H228" t="s">
        <v>19</v>
      </c>
      <c r="M228">
        <v>7750.1635175700376</v>
      </c>
      <c r="N228">
        <v>7269.8883342818126</v>
      </c>
      <c r="O228">
        <v>480.27518328822589</v>
      </c>
      <c r="P228">
        <v>62.547690884281756</v>
      </c>
      <c r="R228" t="str">
        <f t="shared" si="6"/>
        <v>no</v>
      </c>
      <c r="S228" t="str">
        <f t="shared" si="7"/>
        <v>no</v>
      </c>
    </row>
    <row r="229" spans="1:19" x14ac:dyDescent="0.35">
      <c r="A229" s="1">
        <v>227</v>
      </c>
      <c r="B229" t="s">
        <v>75</v>
      </c>
      <c r="C229" t="s">
        <v>17</v>
      </c>
      <c r="D229" t="s">
        <v>23</v>
      </c>
      <c r="E229">
        <v>1</v>
      </c>
      <c r="F229">
        <v>0</v>
      </c>
      <c r="G229">
        <v>27</v>
      </c>
      <c r="H229" t="s">
        <v>19</v>
      </c>
      <c r="M229">
        <v>1</v>
      </c>
      <c r="N229">
        <v>1</v>
      </c>
      <c r="O229">
        <v>0</v>
      </c>
      <c r="P229" t="s">
        <v>21</v>
      </c>
      <c r="R229" t="str">
        <f t="shared" si="6"/>
        <v>no</v>
      </c>
      <c r="S229" t="str">
        <f t="shared" si="7"/>
        <v>no</v>
      </c>
    </row>
    <row r="230" spans="1:19" x14ac:dyDescent="0.35">
      <c r="A230" s="1">
        <v>228</v>
      </c>
      <c r="B230" t="s">
        <v>75</v>
      </c>
      <c r="C230" t="s">
        <v>17</v>
      </c>
      <c r="D230" t="s">
        <v>24</v>
      </c>
      <c r="E230">
        <v>7646.103703703704</v>
      </c>
      <c r="F230">
        <v>122.94959945318971</v>
      </c>
      <c r="G230">
        <v>27</v>
      </c>
      <c r="H230" t="s">
        <v>19</v>
      </c>
      <c r="M230">
        <v>7892.0029026100838</v>
      </c>
      <c r="N230">
        <v>7400.2045047973243</v>
      </c>
      <c r="O230">
        <v>491.7983978127595</v>
      </c>
      <c r="P230">
        <v>62.188927314194189</v>
      </c>
      <c r="R230" t="str">
        <f t="shared" si="6"/>
        <v>no</v>
      </c>
      <c r="S230" t="str">
        <f t="shared" si="7"/>
        <v>no</v>
      </c>
    </row>
    <row r="231" spans="1:19" x14ac:dyDescent="0.35">
      <c r="A231" s="1">
        <v>229</v>
      </c>
      <c r="B231" t="s">
        <v>75</v>
      </c>
      <c r="C231" t="s">
        <v>17</v>
      </c>
      <c r="D231" t="s">
        <v>25</v>
      </c>
      <c r="E231">
        <v>1</v>
      </c>
      <c r="F231">
        <v>0</v>
      </c>
      <c r="G231">
        <v>27</v>
      </c>
      <c r="H231" t="s">
        <v>19</v>
      </c>
      <c r="M231">
        <v>1</v>
      </c>
      <c r="N231">
        <v>1</v>
      </c>
      <c r="O231">
        <v>0</v>
      </c>
      <c r="P231" t="s">
        <v>21</v>
      </c>
      <c r="R231" t="str">
        <f t="shared" si="6"/>
        <v>no</v>
      </c>
      <c r="S231" t="str">
        <f t="shared" si="7"/>
        <v>no</v>
      </c>
    </row>
    <row r="232" spans="1:19" x14ac:dyDescent="0.35">
      <c r="A232" s="1">
        <v>230</v>
      </c>
      <c r="B232" t="s">
        <v>75</v>
      </c>
      <c r="C232" t="s">
        <v>17</v>
      </c>
      <c r="D232" t="s">
        <v>26</v>
      </c>
      <c r="E232">
        <v>7589.2777777777783</v>
      </c>
      <c r="F232">
        <v>102.3574193861098</v>
      </c>
      <c r="G232">
        <v>27</v>
      </c>
      <c r="H232" t="s">
        <v>19</v>
      </c>
      <c r="M232">
        <v>7793.9926165499983</v>
      </c>
      <c r="N232">
        <v>7384.5629390055583</v>
      </c>
      <c r="O232">
        <v>409.42967754443998</v>
      </c>
      <c r="P232">
        <v>74.144872187034309</v>
      </c>
      <c r="R232" t="str">
        <f t="shared" si="6"/>
        <v>no</v>
      </c>
      <c r="S232" t="str">
        <f t="shared" si="7"/>
        <v>no</v>
      </c>
    </row>
    <row r="233" spans="1:19" x14ac:dyDescent="0.35">
      <c r="A233" s="1">
        <v>231</v>
      </c>
      <c r="B233" t="s">
        <v>75</v>
      </c>
      <c r="C233" t="s">
        <v>17</v>
      </c>
      <c r="D233" t="s">
        <v>27</v>
      </c>
      <c r="E233">
        <v>1</v>
      </c>
      <c r="F233">
        <v>0</v>
      </c>
      <c r="G233">
        <v>27</v>
      </c>
      <c r="H233" t="s">
        <v>19</v>
      </c>
      <c r="M233">
        <v>1</v>
      </c>
      <c r="N233">
        <v>1</v>
      </c>
      <c r="O233">
        <v>0</v>
      </c>
      <c r="P233" t="s">
        <v>21</v>
      </c>
      <c r="R233" t="str">
        <f t="shared" si="6"/>
        <v>no</v>
      </c>
      <c r="S233" t="str">
        <f t="shared" si="7"/>
        <v>no</v>
      </c>
    </row>
    <row r="234" spans="1:19" x14ac:dyDescent="0.35">
      <c r="A234" s="1">
        <v>232</v>
      </c>
      <c r="B234" t="s">
        <v>75</v>
      </c>
      <c r="C234" t="s">
        <v>17</v>
      </c>
      <c r="D234" t="s">
        <v>28</v>
      </c>
      <c r="E234">
        <v>7537.7888888888883</v>
      </c>
      <c r="F234">
        <v>104.3043445895474</v>
      </c>
      <c r="G234">
        <v>27</v>
      </c>
      <c r="H234" t="s">
        <v>19</v>
      </c>
      <c r="M234">
        <v>7746.397578067983</v>
      </c>
      <c r="N234">
        <v>7329.1801997097937</v>
      </c>
      <c r="O234">
        <v>417.21737835818931</v>
      </c>
      <c r="P234">
        <v>72.267257117152425</v>
      </c>
      <c r="R234" t="str">
        <f t="shared" si="6"/>
        <v>no</v>
      </c>
      <c r="S234" t="str">
        <f t="shared" si="7"/>
        <v>no</v>
      </c>
    </row>
    <row r="235" spans="1:19" x14ac:dyDescent="0.35">
      <c r="A235" s="1">
        <v>233</v>
      </c>
      <c r="B235" t="s">
        <v>75</v>
      </c>
      <c r="C235" t="s">
        <v>17</v>
      </c>
      <c r="D235" t="s">
        <v>29</v>
      </c>
      <c r="E235">
        <v>1</v>
      </c>
      <c r="F235">
        <v>0</v>
      </c>
      <c r="G235">
        <v>27</v>
      </c>
      <c r="H235" t="s">
        <v>19</v>
      </c>
      <c r="M235">
        <v>1</v>
      </c>
      <c r="N235">
        <v>1</v>
      </c>
      <c r="O235">
        <v>0</v>
      </c>
      <c r="P235" t="s">
        <v>21</v>
      </c>
      <c r="R235" t="str">
        <f t="shared" si="6"/>
        <v>no</v>
      </c>
      <c r="S235" t="str">
        <f t="shared" si="7"/>
        <v>no</v>
      </c>
    </row>
    <row r="236" spans="1:19" x14ac:dyDescent="0.35">
      <c r="A236" s="1">
        <v>234</v>
      </c>
      <c r="B236" t="s">
        <v>75</v>
      </c>
      <c r="C236" t="s">
        <v>17</v>
      </c>
      <c r="D236" t="s">
        <v>30</v>
      </c>
      <c r="E236">
        <v>7578.4901234567906</v>
      </c>
      <c r="F236">
        <v>124.3090071644245</v>
      </c>
      <c r="G236">
        <v>27</v>
      </c>
      <c r="H236" t="s">
        <v>19</v>
      </c>
      <c r="M236">
        <v>7827.1081377856399</v>
      </c>
      <c r="N236">
        <v>7329.8721091279413</v>
      </c>
      <c r="O236">
        <v>497.23602865769863</v>
      </c>
      <c r="P236">
        <v>60.964931635506197</v>
      </c>
      <c r="R236" t="str">
        <f t="shared" si="6"/>
        <v>no</v>
      </c>
      <c r="S236" t="str">
        <f t="shared" si="7"/>
        <v>no</v>
      </c>
    </row>
    <row r="237" spans="1:19" x14ac:dyDescent="0.35">
      <c r="A237" s="1">
        <v>235</v>
      </c>
      <c r="B237" t="s">
        <v>75</v>
      </c>
      <c r="C237" t="s">
        <v>17</v>
      </c>
      <c r="D237" t="s">
        <v>31</v>
      </c>
      <c r="E237">
        <v>1</v>
      </c>
      <c r="F237">
        <v>0</v>
      </c>
      <c r="G237">
        <v>27</v>
      </c>
      <c r="H237" t="s">
        <v>19</v>
      </c>
      <c r="M237">
        <v>1</v>
      </c>
      <c r="N237">
        <v>1</v>
      </c>
      <c r="O237">
        <v>0</v>
      </c>
      <c r="P237" t="s">
        <v>21</v>
      </c>
      <c r="R237" t="str">
        <f t="shared" si="6"/>
        <v>no</v>
      </c>
      <c r="S237" t="str">
        <f t="shared" si="7"/>
        <v>no</v>
      </c>
    </row>
    <row r="238" spans="1:19" x14ac:dyDescent="0.35">
      <c r="A238" s="1">
        <v>236</v>
      </c>
      <c r="B238" t="s">
        <v>75</v>
      </c>
      <c r="C238" t="s">
        <v>17</v>
      </c>
      <c r="D238" t="s">
        <v>32</v>
      </c>
      <c r="E238">
        <v>7584.2345679012342</v>
      </c>
      <c r="F238">
        <v>98.195748181833679</v>
      </c>
      <c r="G238">
        <v>27</v>
      </c>
      <c r="H238" t="s">
        <v>19</v>
      </c>
      <c r="M238">
        <v>7780.6260642649013</v>
      </c>
      <c r="N238">
        <v>7387.8430715375671</v>
      </c>
      <c r="O238">
        <v>392.7829927273342</v>
      </c>
      <c r="P238">
        <v>77.235875364553976</v>
      </c>
      <c r="R238" t="str">
        <f t="shared" si="6"/>
        <v>no</v>
      </c>
      <c r="S238" t="str">
        <f t="shared" si="7"/>
        <v>no</v>
      </c>
    </row>
    <row r="239" spans="1:19" x14ac:dyDescent="0.35">
      <c r="A239" s="1">
        <v>237</v>
      </c>
      <c r="B239" t="s">
        <v>75</v>
      </c>
      <c r="C239" t="s">
        <v>17</v>
      </c>
      <c r="D239" t="s">
        <v>33</v>
      </c>
      <c r="E239">
        <v>1</v>
      </c>
      <c r="F239">
        <v>0</v>
      </c>
      <c r="G239">
        <v>27</v>
      </c>
      <c r="H239" t="s">
        <v>19</v>
      </c>
      <c r="M239">
        <v>1</v>
      </c>
      <c r="N239">
        <v>1</v>
      </c>
      <c r="O239">
        <v>0</v>
      </c>
      <c r="P239" t="s">
        <v>21</v>
      </c>
      <c r="R239" t="str">
        <f t="shared" si="6"/>
        <v>no</v>
      </c>
      <c r="S239" t="str">
        <f t="shared" si="7"/>
        <v>no</v>
      </c>
    </row>
    <row r="240" spans="1:19" x14ac:dyDescent="0.35">
      <c r="A240" s="1">
        <v>238</v>
      </c>
      <c r="B240" t="s">
        <v>75</v>
      </c>
      <c r="C240" t="s">
        <v>17</v>
      </c>
      <c r="D240" t="s">
        <v>34</v>
      </c>
      <c r="E240">
        <v>7529.2123456790123</v>
      </c>
      <c r="F240">
        <v>94.080522445586965</v>
      </c>
      <c r="G240">
        <v>27</v>
      </c>
      <c r="H240" t="s">
        <v>19</v>
      </c>
      <c r="M240">
        <v>7717.3733905701874</v>
      </c>
      <c r="N240">
        <v>7341.051300787838</v>
      </c>
      <c r="O240">
        <v>376.32208978234848</v>
      </c>
      <c r="P240">
        <v>80.029448710105299</v>
      </c>
      <c r="R240" t="str">
        <f t="shared" si="6"/>
        <v>no</v>
      </c>
      <c r="S240" t="str">
        <f t="shared" si="7"/>
        <v>no</v>
      </c>
    </row>
    <row r="241" spans="1:19" x14ac:dyDescent="0.35">
      <c r="A241" s="1">
        <v>239</v>
      </c>
      <c r="B241" t="s">
        <v>75</v>
      </c>
      <c r="C241" t="s">
        <v>17</v>
      </c>
      <c r="D241" t="s">
        <v>35</v>
      </c>
      <c r="E241">
        <v>1</v>
      </c>
      <c r="F241">
        <v>0</v>
      </c>
      <c r="G241">
        <v>27</v>
      </c>
      <c r="H241" t="s">
        <v>19</v>
      </c>
      <c r="M241">
        <v>1</v>
      </c>
      <c r="N241">
        <v>1</v>
      </c>
      <c r="O241">
        <v>0</v>
      </c>
      <c r="P241" t="s">
        <v>21</v>
      </c>
      <c r="R241" t="str">
        <f t="shared" si="6"/>
        <v>no</v>
      </c>
      <c r="S241" t="str">
        <f t="shared" si="7"/>
        <v>no</v>
      </c>
    </row>
    <row r="242" spans="1:19" x14ac:dyDescent="0.35">
      <c r="A242" s="1">
        <v>240</v>
      </c>
      <c r="B242" t="s">
        <v>75</v>
      </c>
      <c r="C242" t="s">
        <v>17</v>
      </c>
      <c r="D242" t="s">
        <v>36</v>
      </c>
      <c r="E242">
        <v>2.924081133557801</v>
      </c>
      <c r="F242">
        <v>3.3567208840053382E-2</v>
      </c>
      <c r="G242">
        <v>27</v>
      </c>
      <c r="H242" t="s">
        <v>19</v>
      </c>
      <c r="M242">
        <v>2.9912155512379082</v>
      </c>
      <c r="N242">
        <v>2.8569467158776942</v>
      </c>
      <c r="O242">
        <v>0.1342688353602135</v>
      </c>
      <c r="P242">
        <v>87.111238455688977</v>
      </c>
      <c r="R242" t="str">
        <f t="shared" si="6"/>
        <v>no</v>
      </c>
      <c r="S242" t="str">
        <f t="shared" si="7"/>
        <v>no</v>
      </c>
    </row>
    <row r="243" spans="1:19" x14ac:dyDescent="0.35">
      <c r="A243" s="1">
        <v>241</v>
      </c>
      <c r="B243" t="s">
        <v>75</v>
      </c>
      <c r="C243" t="s">
        <v>17</v>
      </c>
      <c r="D243" t="s">
        <v>37</v>
      </c>
      <c r="E243">
        <v>23.90660653198653</v>
      </c>
      <c r="F243">
        <v>0.1404465177916509</v>
      </c>
      <c r="G243">
        <v>27</v>
      </c>
      <c r="H243" t="s">
        <v>19</v>
      </c>
      <c r="M243">
        <v>24.18749956756983</v>
      </c>
      <c r="N243">
        <v>23.625713496403229</v>
      </c>
      <c r="O243">
        <v>0.56178607116660118</v>
      </c>
      <c r="P243">
        <v>170.21857791769119</v>
      </c>
      <c r="R243" t="str">
        <f t="shared" si="6"/>
        <v>no</v>
      </c>
      <c r="S243" t="str">
        <f t="shared" si="7"/>
        <v>no</v>
      </c>
    </row>
    <row r="244" spans="1:19" x14ac:dyDescent="0.35">
      <c r="A244" s="1">
        <v>242</v>
      </c>
      <c r="B244" t="s">
        <v>75</v>
      </c>
      <c r="C244" t="s">
        <v>17</v>
      </c>
      <c r="D244" t="s">
        <v>38</v>
      </c>
      <c r="E244">
        <v>9.7833759820426497E-2</v>
      </c>
      <c r="F244">
        <v>1.089698849065603E-2</v>
      </c>
      <c r="G244">
        <v>27</v>
      </c>
      <c r="H244" t="s">
        <v>19</v>
      </c>
      <c r="M244">
        <v>0.11962773680173849</v>
      </c>
      <c r="N244">
        <v>7.6039782839114445E-2</v>
      </c>
      <c r="O244">
        <v>4.3587953962624097E-2</v>
      </c>
      <c r="P244">
        <v>8.9780547996648039</v>
      </c>
      <c r="R244" t="str">
        <f t="shared" si="6"/>
        <v>no</v>
      </c>
      <c r="S244" t="str">
        <f t="shared" si="7"/>
        <v>no</v>
      </c>
    </row>
    <row r="245" spans="1:19" x14ac:dyDescent="0.35">
      <c r="A245" s="1">
        <v>243</v>
      </c>
      <c r="B245" t="s">
        <v>75</v>
      </c>
      <c r="C245" t="s">
        <v>17</v>
      </c>
      <c r="D245" t="s">
        <v>39</v>
      </c>
      <c r="E245">
        <v>23.949108989898988</v>
      </c>
      <c r="F245">
        <v>0.14435781612762411</v>
      </c>
      <c r="G245">
        <v>27</v>
      </c>
      <c r="H245" t="s">
        <v>19</v>
      </c>
      <c r="M245">
        <v>24.237824622154239</v>
      </c>
      <c r="N245">
        <v>23.660393357643741</v>
      </c>
      <c r="O245">
        <v>0.5774312645104942</v>
      </c>
      <c r="P245">
        <v>165.9010203418845</v>
      </c>
      <c r="R245" t="str">
        <f t="shared" si="6"/>
        <v>no</v>
      </c>
      <c r="S245" t="str">
        <f t="shared" si="7"/>
        <v>no</v>
      </c>
    </row>
    <row r="246" spans="1:19" x14ac:dyDescent="0.35">
      <c r="A246" s="1">
        <v>244</v>
      </c>
      <c r="B246" t="s">
        <v>75</v>
      </c>
      <c r="C246" t="s">
        <v>17</v>
      </c>
      <c r="D246" t="s">
        <v>40</v>
      </c>
      <c r="E246">
        <v>0.10178703703703711</v>
      </c>
      <c r="F246">
        <v>1.6806907155125759E-2</v>
      </c>
      <c r="G246">
        <v>27</v>
      </c>
      <c r="H246" t="s">
        <v>19</v>
      </c>
      <c r="M246">
        <v>0.1354008513472886</v>
      </c>
      <c r="N246">
        <v>6.8173222726785582E-2</v>
      </c>
      <c r="O246">
        <v>6.7227628620503049E-2</v>
      </c>
      <c r="P246">
        <v>6.0562622318047472</v>
      </c>
      <c r="R246" t="str">
        <f t="shared" si="6"/>
        <v>no</v>
      </c>
      <c r="S246" t="str">
        <f t="shared" si="7"/>
        <v>no</v>
      </c>
    </row>
    <row r="247" spans="1:19" x14ac:dyDescent="0.35">
      <c r="A247" s="1">
        <v>245</v>
      </c>
      <c r="B247" t="s">
        <v>75</v>
      </c>
      <c r="C247" t="s">
        <v>17</v>
      </c>
      <c r="D247" t="s">
        <v>41</v>
      </c>
      <c r="E247">
        <v>23.982404904601569</v>
      </c>
      <c r="F247">
        <v>0.1479431359558411</v>
      </c>
      <c r="G247">
        <v>27</v>
      </c>
      <c r="H247" t="s">
        <v>19</v>
      </c>
      <c r="M247">
        <v>24.27829117651325</v>
      </c>
      <c r="N247">
        <v>23.686518632689889</v>
      </c>
      <c r="O247">
        <v>0.59177254382336741</v>
      </c>
      <c r="P247">
        <v>162.10556001570751</v>
      </c>
      <c r="R247" t="str">
        <f t="shared" si="6"/>
        <v>no</v>
      </c>
      <c r="S247" t="str">
        <f t="shared" si="7"/>
        <v>no</v>
      </c>
    </row>
    <row r="248" spans="1:19" x14ac:dyDescent="0.35">
      <c r="A248" s="1">
        <v>246</v>
      </c>
      <c r="B248" t="s">
        <v>75</v>
      </c>
      <c r="C248" t="s">
        <v>17</v>
      </c>
      <c r="D248" t="s">
        <v>42</v>
      </c>
      <c r="E248">
        <v>1.945626262626262E-2</v>
      </c>
      <c r="F248">
        <v>6.0508001744517207E-3</v>
      </c>
      <c r="G248">
        <v>27</v>
      </c>
      <c r="H248" t="s">
        <v>19</v>
      </c>
      <c r="M248">
        <v>3.1557862975166058E-2</v>
      </c>
      <c r="N248">
        <v>7.3546622773591787E-3</v>
      </c>
      <c r="O248">
        <v>2.420320069780689E-2</v>
      </c>
      <c r="P248">
        <v>3.2154858969583482</v>
      </c>
      <c r="R248" t="str">
        <f t="shared" si="6"/>
        <v>no</v>
      </c>
      <c r="S248" t="str">
        <f t="shared" si="7"/>
        <v>no</v>
      </c>
    </row>
    <row r="249" spans="1:19" x14ac:dyDescent="0.35">
      <c r="A249" s="1">
        <v>247</v>
      </c>
      <c r="B249" t="s">
        <v>75</v>
      </c>
      <c r="C249" t="s">
        <v>17</v>
      </c>
      <c r="D249" t="s">
        <v>43</v>
      </c>
      <c r="E249">
        <v>23.961875162738501</v>
      </c>
      <c r="F249">
        <v>0.12332768752360521</v>
      </c>
      <c r="G249">
        <v>27</v>
      </c>
      <c r="H249" t="s">
        <v>19</v>
      </c>
      <c r="M249">
        <v>24.208530537785709</v>
      </c>
      <c r="N249">
        <v>23.715219787691289</v>
      </c>
      <c r="O249">
        <v>0.49331075009442321</v>
      </c>
      <c r="P249">
        <v>194.29436847384449</v>
      </c>
      <c r="R249" t="str">
        <f t="shared" si="6"/>
        <v>no</v>
      </c>
      <c r="S249" t="str">
        <f t="shared" si="7"/>
        <v>no</v>
      </c>
    </row>
    <row r="250" spans="1:19" x14ac:dyDescent="0.35">
      <c r="A250" s="1">
        <v>248</v>
      </c>
      <c r="B250" t="s">
        <v>75</v>
      </c>
      <c r="C250" t="s">
        <v>17</v>
      </c>
      <c r="D250" t="s">
        <v>44</v>
      </c>
      <c r="E250">
        <v>0.942071874298541</v>
      </c>
      <c r="F250">
        <v>2.7674720601175359E-2</v>
      </c>
      <c r="G250">
        <v>27</v>
      </c>
      <c r="H250" t="s">
        <v>19</v>
      </c>
      <c r="M250">
        <v>0.99742131550089175</v>
      </c>
      <c r="N250">
        <v>0.88672243309619025</v>
      </c>
      <c r="O250">
        <v>0.11069888240470151</v>
      </c>
      <c r="P250">
        <v>34.040881130287943</v>
      </c>
      <c r="R250" t="str">
        <f t="shared" si="6"/>
        <v>no</v>
      </c>
      <c r="S250" t="str">
        <f t="shared" si="7"/>
        <v>no</v>
      </c>
    </row>
    <row r="251" spans="1:19" x14ac:dyDescent="0.35">
      <c r="A251" s="1">
        <v>249</v>
      </c>
      <c r="B251" t="s">
        <v>75</v>
      </c>
      <c r="C251" t="s">
        <v>17</v>
      </c>
      <c r="D251" t="s">
        <v>45</v>
      </c>
      <c r="E251">
        <v>35.796753097643098</v>
      </c>
      <c r="F251">
        <v>0.1206734623175959</v>
      </c>
      <c r="G251">
        <v>27</v>
      </c>
      <c r="H251" t="s">
        <v>19</v>
      </c>
      <c r="M251">
        <v>36.038100022278293</v>
      </c>
      <c r="N251">
        <v>35.555406173007903</v>
      </c>
      <c r="O251">
        <v>0.48269384927039027</v>
      </c>
      <c r="P251">
        <v>296.64146872185518</v>
      </c>
      <c r="R251" t="str">
        <f t="shared" si="6"/>
        <v>no</v>
      </c>
      <c r="S251" t="str">
        <f t="shared" si="7"/>
        <v>no</v>
      </c>
    </row>
    <row r="252" spans="1:19" x14ac:dyDescent="0.35">
      <c r="A252" s="1">
        <v>250</v>
      </c>
      <c r="B252" t="s">
        <v>75</v>
      </c>
      <c r="C252" t="s">
        <v>17</v>
      </c>
      <c r="D252" t="s">
        <v>46</v>
      </c>
      <c r="E252">
        <v>0.95390251402918069</v>
      </c>
      <c r="F252">
        <v>1.8591999924831789E-2</v>
      </c>
      <c r="G252">
        <v>27</v>
      </c>
      <c r="H252" t="s">
        <v>19</v>
      </c>
      <c r="M252">
        <v>0.99108651387884428</v>
      </c>
      <c r="N252">
        <v>0.91671851417951711</v>
      </c>
      <c r="O252">
        <v>7.436799969932717E-2</v>
      </c>
      <c r="P252">
        <v>51.307149197818809</v>
      </c>
      <c r="R252" t="str">
        <f t="shared" si="6"/>
        <v>no</v>
      </c>
      <c r="S252" t="str">
        <f t="shared" si="7"/>
        <v>no</v>
      </c>
    </row>
    <row r="253" spans="1:19" x14ac:dyDescent="0.35">
      <c r="A253" s="1">
        <v>251</v>
      </c>
      <c r="B253" t="s">
        <v>75</v>
      </c>
      <c r="C253" t="s">
        <v>17</v>
      </c>
      <c r="D253" t="s">
        <v>47</v>
      </c>
      <c r="E253">
        <v>35.821033827160491</v>
      </c>
      <c r="F253">
        <v>0.14339080446106239</v>
      </c>
      <c r="G253">
        <v>27</v>
      </c>
      <c r="H253" t="s">
        <v>19</v>
      </c>
      <c r="M253">
        <v>36.107815436082618</v>
      </c>
      <c r="N253">
        <v>35.534252218238358</v>
      </c>
      <c r="O253">
        <v>0.5735632178442529</v>
      </c>
      <c r="P253">
        <v>249.81402372205571</v>
      </c>
      <c r="R253" t="str">
        <f t="shared" si="6"/>
        <v>no</v>
      </c>
      <c r="S253" t="str">
        <f t="shared" si="7"/>
        <v>no</v>
      </c>
    </row>
    <row r="254" spans="1:19" x14ac:dyDescent="0.35">
      <c r="A254" s="1">
        <v>252</v>
      </c>
      <c r="B254" t="s">
        <v>75</v>
      </c>
      <c r="C254" t="s">
        <v>17</v>
      </c>
      <c r="D254" t="s">
        <v>48</v>
      </c>
      <c r="E254">
        <v>0.94431607182940513</v>
      </c>
      <c r="F254">
        <v>1.67474637980248E-2</v>
      </c>
      <c r="G254">
        <v>27</v>
      </c>
      <c r="H254" t="s">
        <v>19</v>
      </c>
      <c r="M254">
        <v>0.97781099942545469</v>
      </c>
      <c r="N254">
        <v>0.91082114423335558</v>
      </c>
      <c r="O254">
        <v>6.6989855192099101E-2</v>
      </c>
      <c r="P254">
        <v>56.385616545758893</v>
      </c>
      <c r="R254" t="str">
        <f t="shared" si="6"/>
        <v>no</v>
      </c>
      <c r="S254" t="str">
        <f t="shared" si="7"/>
        <v>no</v>
      </c>
    </row>
    <row r="255" spans="1:19" x14ac:dyDescent="0.35">
      <c r="A255" s="1">
        <v>253</v>
      </c>
      <c r="B255" t="s">
        <v>75</v>
      </c>
      <c r="C255" t="s">
        <v>17</v>
      </c>
      <c r="D255" t="s">
        <v>49</v>
      </c>
      <c r="E255">
        <v>35.743606498316502</v>
      </c>
      <c r="F255">
        <v>0.1184965008944584</v>
      </c>
      <c r="G255">
        <v>27</v>
      </c>
      <c r="H255" t="s">
        <v>19</v>
      </c>
      <c r="M255">
        <v>35.98059950010542</v>
      </c>
      <c r="N255">
        <v>35.506613496527592</v>
      </c>
      <c r="O255">
        <v>0.47398600357783488</v>
      </c>
      <c r="P255">
        <v>301.64271711408901</v>
      </c>
      <c r="R255" t="str">
        <f t="shared" si="6"/>
        <v>no</v>
      </c>
      <c r="S255" t="str">
        <f t="shared" si="7"/>
        <v>no</v>
      </c>
    </row>
    <row r="256" spans="1:19" x14ac:dyDescent="0.35">
      <c r="A256" s="1">
        <v>254</v>
      </c>
      <c r="B256" t="s">
        <v>75</v>
      </c>
      <c r="C256" t="s">
        <v>17</v>
      </c>
      <c r="D256" t="s">
        <v>50</v>
      </c>
      <c r="E256">
        <v>0.94338127946127948</v>
      </c>
      <c r="F256">
        <v>1.9677879643579539E-2</v>
      </c>
      <c r="G256">
        <v>27</v>
      </c>
      <c r="H256" t="s">
        <v>19</v>
      </c>
      <c r="M256">
        <v>0.98273703874843854</v>
      </c>
      <c r="N256">
        <v>0.90402552017412041</v>
      </c>
      <c r="O256">
        <v>7.8711518574318129E-2</v>
      </c>
      <c r="P256">
        <v>47.941205889481303</v>
      </c>
      <c r="R256" t="str">
        <f t="shared" si="6"/>
        <v>no</v>
      </c>
      <c r="S256" t="str">
        <f t="shared" si="7"/>
        <v>no</v>
      </c>
    </row>
    <row r="257" spans="1:19" x14ac:dyDescent="0.35">
      <c r="A257" s="1">
        <v>255</v>
      </c>
      <c r="B257" t="s">
        <v>75</v>
      </c>
      <c r="C257" t="s">
        <v>17</v>
      </c>
      <c r="D257" t="s">
        <v>51</v>
      </c>
      <c r="E257">
        <v>35.706810157126817</v>
      </c>
      <c r="F257">
        <v>0.1226415242591307</v>
      </c>
      <c r="G257">
        <v>27</v>
      </c>
      <c r="H257" t="s">
        <v>19</v>
      </c>
      <c r="M257">
        <v>35.952093205645077</v>
      </c>
      <c r="N257">
        <v>35.461527108608557</v>
      </c>
      <c r="O257">
        <v>0.49056609703652038</v>
      </c>
      <c r="P257">
        <v>291.14780147123321</v>
      </c>
      <c r="R257" t="str">
        <f t="shared" si="6"/>
        <v>no</v>
      </c>
      <c r="S257" t="str">
        <f t="shared" si="7"/>
        <v>no</v>
      </c>
    </row>
    <row r="258" spans="1:19" x14ac:dyDescent="0.35">
      <c r="A258" s="1">
        <v>256</v>
      </c>
      <c r="B258" t="s">
        <v>75</v>
      </c>
      <c r="C258" t="s">
        <v>17</v>
      </c>
      <c r="D258" t="s">
        <v>52</v>
      </c>
      <c r="E258">
        <v>0.93831372615039277</v>
      </c>
      <c r="F258">
        <v>2.1750072890455031E-2</v>
      </c>
      <c r="G258">
        <v>27</v>
      </c>
      <c r="H258" t="s">
        <v>19</v>
      </c>
      <c r="M258">
        <v>0.98181387193130287</v>
      </c>
      <c r="N258">
        <v>0.89481358036948266</v>
      </c>
      <c r="O258">
        <v>8.7000291561820209E-2</v>
      </c>
      <c r="P258">
        <v>43.140716395583652</v>
      </c>
      <c r="R258" t="str">
        <f t="shared" si="6"/>
        <v>no</v>
      </c>
      <c r="S258" t="str">
        <f t="shared" si="7"/>
        <v>no</v>
      </c>
    </row>
    <row r="259" spans="1:19" x14ac:dyDescent="0.35">
      <c r="A259" s="1">
        <v>257</v>
      </c>
      <c r="B259" t="s">
        <v>75</v>
      </c>
      <c r="C259" t="s">
        <v>17</v>
      </c>
      <c r="D259" t="s">
        <v>53</v>
      </c>
      <c r="E259">
        <v>35.719321649831649</v>
      </c>
      <c r="F259">
        <v>0.13700654598746559</v>
      </c>
      <c r="G259">
        <v>27</v>
      </c>
      <c r="H259" t="s">
        <v>19</v>
      </c>
      <c r="M259">
        <v>35.993334741806578</v>
      </c>
      <c r="N259">
        <v>35.44530855785672</v>
      </c>
      <c r="O259">
        <v>0.54802618394985814</v>
      </c>
      <c r="P259">
        <v>260.71251845951599</v>
      </c>
      <c r="R259" t="str">
        <f t="shared" ref="R259:R322" si="8">IF(H259="yes","yes","no")</f>
        <v>no</v>
      </c>
      <c r="S259" t="str">
        <f t="shared" ref="S259:S322" si="9">IF(I259,"yes","no")</f>
        <v>no</v>
      </c>
    </row>
    <row r="260" spans="1:19" x14ac:dyDescent="0.35">
      <c r="A260" s="1">
        <v>258</v>
      </c>
      <c r="B260" t="s">
        <v>75</v>
      </c>
      <c r="C260" t="s">
        <v>17</v>
      </c>
      <c r="D260" t="s">
        <v>54</v>
      </c>
      <c r="E260">
        <v>0.97050530864197526</v>
      </c>
      <c r="F260">
        <v>1.7596681877356749E-2</v>
      </c>
      <c r="G260">
        <v>27</v>
      </c>
      <c r="H260" t="s">
        <v>19</v>
      </c>
      <c r="M260">
        <v>1.005698672396689</v>
      </c>
      <c r="N260">
        <v>0.93531194488726177</v>
      </c>
      <c r="O260">
        <v>7.0386727509426983E-2</v>
      </c>
      <c r="P260">
        <v>55.152745012161233</v>
      </c>
      <c r="R260" t="str">
        <f t="shared" si="8"/>
        <v>no</v>
      </c>
      <c r="S260" t="str">
        <f t="shared" si="9"/>
        <v>no</v>
      </c>
    </row>
    <row r="261" spans="1:19" x14ac:dyDescent="0.35">
      <c r="A261" s="1">
        <v>259</v>
      </c>
      <c r="B261" t="s">
        <v>75</v>
      </c>
      <c r="C261" t="s">
        <v>17</v>
      </c>
      <c r="D261" t="s">
        <v>55</v>
      </c>
      <c r="E261">
        <v>35.81669117845118</v>
      </c>
      <c r="F261">
        <v>9.8469689836970381E-2</v>
      </c>
      <c r="G261">
        <v>27</v>
      </c>
      <c r="H261" t="s">
        <v>19</v>
      </c>
      <c r="M261">
        <v>36.013630558125122</v>
      </c>
      <c r="N261">
        <v>35.619751798777237</v>
      </c>
      <c r="O261">
        <v>0.39387875934788502</v>
      </c>
      <c r="P261">
        <v>363.73315725631369</v>
      </c>
      <c r="R261" t="str">
        <f t="shared" si="8"/>
        <v>no</v>
      </c>
      <c r="S261" t="str">
        <f t="shared" si="9"/>
        <v>no</v>
      </c>
    </row>
    <row r="262" spans="1:19" x14ac:dyDescent="0.35">
      <c r="A262" s="1">
        <v>260</v>
      </c>
      <c r="B262" t="s">
        <v>75</v>
      </c>
      <c r="C262" t="s">
        <v>56</v>
      </c>
      <c r="D262" t="s">
        <v>57</v>
      </c>
      <c r="E262">
        <v>0</v>
      </c>
      <c r="F262">
        <v>0</v>
      </c>
      <c r="G262">
        <v>27</v>
      </c>
      <c r="H262" t="s">
        <v>58</v>
      </c>
      <c r="M262">
        <v>0</v>
      </c>
      <c r="N262">
        <v>0</v>
      </c>
      <c r="O262">
        <v>0</v>
      </c>
      <c r="R262" t="str">
        <f t="shared" si="8"/>
        <v>yes</v>
      </c>
      <c r="S262" t="str">
        <f t="shared" si="9"/>
        <v>no</v>
      </c>
    </row>
    <row r="263" spans="1:19" x14ac:dyDescent="0.35">
      <c r="A263" s="1">
        <v>261</v>
      </c>
      <c r="B263" t="s">
        <v>75</v>
      </c>
      <c r="C263" t="s">
        <v>56</v>
      </c>
      <c r="D263" t="s">
        <v>59</v>
      </c>
      <c r="E263">
        <v>0</v>
      </c>
      <c r="F263">
        <v>0</v>
      </c>
      <c r="G263">
        <v>27</v>
      </c>
      <c r="H263" t="s">
        <v>58</v>
      </c>
      <c r="M263">
        <v>0</v>
      </c>
      <c r="N263">
        <v>0</v>
      </c>
      <c r="O263">
        <v>0</v>
      </c>
      <c r="R263" t="str">
        <f t="shared" si="8"/>
        <v>yes</v>
      </c>
      <c r="S263" t="str">
        <f t="shared" si="9"/>
        <v>no</v>
      </c>
    </row>
    <row r="264" spans="1:19" x14ac:dyDescent="0.35">
      <c r="A264" s="1">
        <v>262</v>
      </c>
      <c r="B264" t="s">
        <v>75</v>
      </c>
      <c r="C264" t="s">
        <v>56</v>
      </c>
      <c r="D264" t="s">
        <v>60</v>
      </c>
      <c r="E264">
        <v>0</v>
      </c>
      <c r="F264">
        <v>0</v>
      </c>
      <c r="G264">
        <v>27</v>
      </c>
      <c r="H264" t="s">
        <v>58</v>
      </c>
      <c r="M264">
        <v>0</v>
      </c>
      <c r="N264">
        <v>0</v>
      </c>
      <c r="O264">
        <v>0</v>
      </c>
      <c r="R264" t="str">
        <f t="shared" si="8"/>
        <v>yes</v>
      </c>
      <c r="S264" t="str">
        <f t="shared" si="9"/>
        <v>no</v>
      </c>
    </row>
    <row r="265" spans="1:19" x14ac:dyDescent="0.35">
      <c r="A265" s="1">
        <v>263</v>
      </c>
      <c r="B265" t="s">
        <v>75</v>
      </c>
      <c r="C265" t="s">
        <v>56</v>
      </c>
      <c r="D265" t="s">
        <v>61</v>
      </c>
      <c r="E265">
        <v>0</v>
      </c>
      <c r="F265">
        <v>0</v>
      </c>
      <c r="G265">
        <v>27</v>
      </c>
      <c r="H265" t="s">
        <v>58</v>
      </c>
      <c r="M265">
        <v>0</v>
      </c>
      <c r="N265">
        <v>0</v>
      </c>
      <c r="O265">
        <v>0</v>
      </c>
      <c r="R265" t="str">
        <f t="shared" si="8"/>
        <v>yes</v>
      </c>
      <c r="S265" t="str">
        <f t="shared" si="9"/>
        <v>no</v>
      </c>
    </row>
    <row r="266" spans="1:19" x14ac:dyDescent="0.35">
      <c r="A266" s="1">
        <v>264</v>
      </c>
      <c r="B266" t="s">
        <v>75</v>
      </c>
      <c r="C266" t="s">
        <v>56</v>
      </c>
      <c r="D266" t="s">
        <v>62</v>
      </c>
      <c r="E266">
        <v>0</v>
      </c>
      <c r="F266">
        <v>0</v>
      </c>
      <c r="G266">
        <v>27</v>
      </c>
      <c r="H266" t="s">
        <v>58</v>
      </c>
      <c r="M266">
        <v>0</v>
      </c>
      <c r="N266">
        <v>0</v>
      </c>
      <c r="O266">
        <v>0</v>
      </c>
      <c r="R266" t="str">
        <f t="shared" si="8"/>
        <v>yes</v>
      </c>
      <c r="S266" t="str">
        <f t="shared" si="9"/>
        <v>no</v>
      </c>
    </row>
    <row r="267" spans="1:19" x14ac:dyDescent="0.35">
      <c r="A267" s="1">
        <v>265</v>
      </c>
      <c r="B267" t="s">
        <v>75</v>
      </c>
      <c r="C267" t="s">
        <v>56</v>
      </c>
      <c r="D267" t="s">
        <v>63</v>
      </c>
      <c r="E267">
        <v>0</v>
      </c>
      <c r="F267">
        <v>0</v>
      </c>
      <c r="G267">
        <v>27</v>
      </c>
      <c r="H267" t="s">
        <v>58</v>
      </c>
      <c r="M267">
        <v>0</v>
      </c>
      <c r="N267">
        <v>0</v>
      </c>
      <c r="O267">
        <v>0</v>
      </c>
      <c r="R267" t="str">
        <f t="shared" si="8"/>
        <v>yes</v>
      </c>
      <c r="S267" t="str">
        <f t="shared" si="9"/>
        <v>no</v>
      </c>
    </row>
    <row r="268" spans="1:19" x14ac:dyDescent="0.35">
      <c r="A268" s="1">
        <v>266</v>
      </c>
      <c r="B268" t="s">
        <v>75</v>
      </c>
      <c r="C268" t="s">
        <v>56</v>
      </c>
      <c r="D268" t="s">
        <v>64</v>
      </c>
      <c r="E268">
        <v>0</v>
      </c>
      <c r="F268">
        <v>0</v>
      </c>
      <c r="G268">
        <v>27</v>
      </c>
      <c r="H268" t="s">
        <v>58</v>
      </c>
      <c r="M268">
        <v>0</v>
      </c>
      <c r="N268">
        <v>0</v>
      </c>
      <c r="O268">
        <v>0</v>
      </c>
      <c r="R268" t="str">
        <f t="shared" si="8"/>
        <v>yes</v>
      </c>
      <c r="S268" t="str">
        <f t="shared" si="9"/>
        <v>no</v>
      </c>
    </row>
    <row r="269" spans="1:19" x14ac:dyDescent="0.35">
      <c r="A269" s="1">
        <v>267</v>
      </c>
      <c r="B269" t="s">
        <v>75</v>
      </c>
      <c r="C269" t="s">
        <v>56</v>
      </c>
      <c r="D269" t="s">
        <v>65</v>
      </c>
      <c r="E269">
        <v>0</v>
      </c>
      <c r="F269">
        <v>0</v>
      </c>
      <c r="G269">
        <v>27</v>
      </c>
      <c r="H269" t="s">
        <v>58</v>
      </c>
      <c r="M269">
        <v>0</v>
      </c>
      <c r="N269">
        <v>0</v>
      </c>
      <c r="O269">
        <v>0</v>
      </c>
      <c r="R269" t="str">
        <f t="shared" si="8"/>
        <v>yes</v>
      </c>
      <c r="S269" t="str">
        <f t="shared" si="9"/>
        <v>no</v>
      </c>
    </row>
    <row r="270" spans="1:19" x14ac:dyDescent="0.35">
      <c r="A270" s="1">
        <v>268</v>
      </c>
      <c r="B270" t="s">
        <v>75</v>
      </c>
      <c r="C270" t="s">
        <v>56</v>
      </c>
      <c r="D270" t="s">
        <v>66</v>
      </c>
      <c r="E270">
        <v>0</v>
      </c>
      <c r="F270">
        <v>0</v>
      </c>
      <c r="G270">
        <v>27</v>
      </c>
      <c r="H270" t="s">
        <v>58</v>
      </c>
      <c r="M270">
        <v>0</v>
      </c>
      <c r="N270">
        <v>0</v>
      </c>
      <c r="O270">
        <v>0</v>
      </c>
      <c r="R270" t="str">
        <f t="shared" si="8"/>
        <v>yes</v>
      </c>
      <c r="S270" t="str">
        <f t="shared" si="9"/>
        <v>no</v>
      </c>
    </row>
    <row r="271" spans="1:19" x14ac:dyDescent="0.35">
      <c r="A271" s="1">
        <v>269</v>
      </c>
      <c r="B271" t="s">
        <v>75</v>
      </c>
      <c r="C271" t="s">
        <v>56</v>
      </c>
      <c r="D271" t="s">
        <v>67</v>
      </c>
      <c r="E271">
        <v>0</v>
      </c>
      <c r="F271">
        <v>0</v>
      </c>
      <c r="G271">
        <v>27</v>
      </c>
      <c r="H271" t="s">
        <v>58</v>
      </c>
      <c r="I271">
        <v>-50</v>
      </c>
      <c r="J271">
        <v>90</v>
      </c>
      <c r="K271">
        <v>20</v>
      </c>
      <c r="L271">
        <v>140</v>
      </c>
      <c r="M271">
        <v>0</v>
      </c>
      <c r="N271">
        <v>0</v>
      </c>
      <c r="O271">
        <v>0</v>
      </c>
      <c r="Q271" t="s">
        <v>21</v>
      </c>
      <c r="R271" t="str">
        <f t="shared" si="8"/>
        <v>yes</v>
      </c>
      <c r="S271" t="str">
        <f t="shared" si="9"/>
        <v>yes</v>
      </c>
    </row>
    <row r="272" spans="1:19" x14ac:dyDescent="0.35">
      <c r="A272" s="1">
        <v>270</v>
      </c>
      <c r="B272" t="s">
        <v>75</v>
      </c>
      <c r="C272" t="s">
        <v>56</v>
      </c>
      <c r="D272" t="s">
        <v>68</v>
      </c>
      <c r="E272">
        <v>0</v>
      </c>
      <c r="F272">
        <v>0</v>
      </c>
      <c r="G272">
        <v>27</v>
      </c>
      <c r="H272" t="s">
        <v>58</v>
      </c>
      <c r="I272">
        <v>-50</v>
      </c>
      <c r="J272">
        <v>90</v>
      </c>
      <c r="K272">
        <v>20</v>
      </c>
      <c r="L272">
        <v>140</v>
      </c>
      <c r="M272">
        <v>0</v>
      </c>
      <c r="N272">
        <v>0</v>
      </c>
      <c r="O272">
        <v>0</v>
      </c>
      <c r="Q272" t="s">
        <v>21</v>
      </c>
      <c r="R272" t="str">
        <f t="shared" si="8"/>
        <v>yes</v>
      </c>
      <c r="S272" t="str">
        <f t="shared" si="9"/>
        <v>yes</v>
      </c>
    </row>
    <row r="273" spans="1:19" x14ac:dyDescent="0.35">
      <c r="A273" s="1">
        <v>271</v>
      </c>
      <c r="B273" t="s">
        <v>75</v>
      </c>
      <c r="C273" t="s">
        <v>56</v>
      </c>
      <c r="D273" t="s">
        <v>69</v>
      </c>
      <c r="E273">
        <v>0.26070625185185192</v>
      </c>
      <c r="F273">
        <v>0.69043655182632002</v>
      </c>
      <c r="G273">
        <v>27</v>
      </c>
      <c r="H273" t="s">
        <v>58</v>
      </c>
      <c r="M273">
        <v>1.641579355504492</v>
      </c>
      <c r="N273">
        <v>-1.1201668518007879</v>
      </c>
      <c r="O273">
        <v>2.7617462073052801</v>
      </c>
      <c r="P273">
        <v>0.37759624857959839</v>
      </c>
      <c r="R273" t="str">
        <f t="shared" si="8"/>
        <v>yes</v>
      </c>
      <c r="S273" t="str">
        <f t="shared" si="9"/>
        <v>no</v>
      </c>
    </row>
    <row r="274" spans="1:19" x14ac:dyDescent="0.35">
      <c r="A274" s="1">
        <v>272</v>
      </c>
      <c r="B274" t="s">
        <v>75</v>
      </c>
      <c r="C274" t="s">
        <v>56</v>
      </c>
      <c r="D274" t="s">
        <v>70</v>
      </c>
      <c r="E274">
        <v>-0.22689443333333331</v>
      </c>
      <c r="F274">
        <v>8.178133221636126E-2</v>
      </c>
      <c r="G274">
        <v>27</v>
      </c>
      <c r="H274" t="s">
        <v>58</v>
      </c>
      <c r="M274">
        <v>-6.3331768900610791E-2</v>
      </c>
      <c r="N274">
        <v>-0.39045709776605592</v>
      </c>
      <c r="O274">
        <v>0.3271253288654451</v>
      </c>
      <c r="P274">
        <v>-2.7744037322974862</v>
      </c>
      <c r="R274" t="str">
        <f t="shared" si="8"/>
        <v>yes</v>
      </c>
      <c r="S274" t="str">
        <f t="shared" si="9"/>
        <v>no</v>
      </c>
    </row>
    <row r="275" spans="1:19" x14ac:dyDescent="0.35">
      <c r="A275" s="1">
        <v>273</v>
      </c>
      <c r="B275" t="s">
        <v>75</v>
      </c>
      <c r="C275" t="s">
        <v>56</v>
      </c>
      <c r="D275" t="s">
        <v>71</v>
      </c>
      <c r="E275">
        <v>39.715870849382711</v>
      </c>
      <c r="F275">
        <v>68.650930473931268</v>
      </c>
      <c r="G275">
        <v>27</v>
      </c>
      <c r="H275" t="s">
        <v>58</v>
      </c>
      <c r="M275">
        <v>177.0177317972452</v>
      </c>
      <c r="N275">
        <v>-97.585990098479826</v>
      </c>
      <c r="O275">
        <v>274.60372189572507</v>
      </c>
      <c r="P275">
        <v>0.57851904664954201</v>
      </c>
      <c r="R275" t="str">
        <f t="shared" si="8"/>
        <v>yes</v>
      </c>
      <c r="S275" t="str">
        <f t="shared" si="9"/>
        <v>no</v>
      </c>
    </row>
    <row r="276" spans="1:19" x14ac:dyDescent="0.35">
      <c r="A276" s="1">
        <v>274</v>
      </c>
      <c r="B276" t="s">
        <v>75</v>
      </c>
      <c r="C276" t="s">
        <v>56</v>
      </c>
      <c r="D276" t="s">
        <v>72</v>
      </c>
      <c r="E276">
        <v>18.560154759259259</v>
      </c>
      <c r="F276">
        <v>52.574354936482443</v>
      </c>
      <c r="G276">
        <v>27</v>
      </c>
      <c r="H276" t="s">
        <v>58</v>
      </c>
      <c r="M276">
        <v>123.70886463222411</v>
      </c>
      <c r="N276">
        <v>-86.588555113705624</v>
      </c>
      <c r="O276">
        <v>210.2974197459298</v>
      </c>
      <c r="P276">
        <v>0.35302677097384572</v>
      </c>
      <c r="R276" t="str">
        <f t="shared" si="8"/>
        <v>yes</v>
      </c>
      <c r="S276" t="str">
        <f t="shared" si="9"/>
        <v>no</v>
      </c>
    </row>
    <row r="277" spans="1:19" x14ac:dyDescent="0.35">
      <c r="A277" s="1">
        <v>275</v>
      </c>
      <c r="B277" t="s">
        <v>75</v>
      </c>
      <c r="C277" t="s">
        <v>56</v>
      </c>
      <c r="D277" t="s">
        <v>73</v>
      </c>
      <c r="E277">
        <v>3.843637818518518</v>
      </c>
      <c r="F277">
        <v>10.871449463607201</v>
      </c>
      <c r="G277">
        <v>27</v>
      </c>
      <c r="H277" t="s">
        <v>58</v>
      </c>
      <c r="M277">
        <v>25.586536745732921</v>
      </c>
      <c r="N277">
        <v>-17.899261108695882</v>
      </c>
      <c r="O277">
        <v>43.485797854428803</v>
      </c>
      <c r="P277">
        <v>0.35355339059297619</v>
      </c>
      <c r="R277" t="str">
        <f t="shared" si="8"/>
        <v>yes</v>
      </c>
      <c r="S277" t="str">
        <f t="shared" si="9"/>
        <v>no</v>
      </c>
    </row>
    <row r="278" spans="1:19" x14ac:dyDescent="0.35">
      <c r="A278" s="1">
        <v>276</v>
      </c>
      <c r="B278" t="s">
        <v>75</v>
      </c>
      <c r="C278" t="s">
        <v>56</v>
      </c>
      <c r="D278" t="s">
        <v>74</v>
      </c>
      <c r="E278">
        <v>-9.6183718419753088</v>
      </c>
      <c r="F278">
        <v>27.204863813738431</v>
      </c>
      <c r="G278">
        <v>27</v>
      </c>
      <c r="H278" t="s">
        <v>58</v>
      </c>
      <c r="M278">
        <v>44.791355785501551</v>
      </c>
      <c r="N278">
        <v>-64.028099469452172</v>
      </c>
      <c r="O278">
        <v>108.8194552549537</v>
      </c>
      <c r="P278">
        <v>-0.35355339059326729</v>
      </c>
      <c r="R278" t="str">
        <f t="shared" si="8"/>
        <v>yes</v>
      </c>
      <c r="S278" t="str">
        <f t="shared" si="9"/>
        <v>no</v>
      </c>
    </row>
    <row r="279" spans="1:19" x14ac:dyDescent="0.35">
      <c r="A279" s="1">
        <v>277</v>
      </c>
      <c r="B279" t="s">
        <v>75</v>
      </c>
      <c r="C279" t="s">
        <v>253</v>
      </c>
      <c r="D279" t="s">
        <v>254</v>
      </c>
      <c r="E279">
        <v>0</v>
      </c>
      <c r="F279">
        <v>0</v>
      </c>
      <c r="G279">
        <v>27</v>
      </c>
      <c r="H279" t="s">
        <v>58</v>
      </c>
      <c r="M279">
        <v>0</v>
      </c>
      <c r="N279">
        <v>0</v>
      </c>
      <c r="O279">
        <v>0</v>
      </c>
      <c r="R279" t="str">
        <f t="shared" si="8"/>
        <v>yes</v>
      </c>
      <c r="S279" t="str">
        <f t="shared" si="9"/>
        <v>no</v>
      </c>
    </row>
    <row r="280" spans="1:19" x14ac:dyDescent="0.35">
      <c r="A280" s="1">
        <v>278</v>
      </c>
      <c r="B280" t="s">
        <v>75</v>
      </c>
      <c r="C280" t="s">
        <v>253</v>
      </c>
      <c r="D280" t="s">
        <v>255</v>
      </c>
      <c r="E280">
        <v>2.9957555555555562</v>
      </c>
      <c r="F280">
        <v>5.6045454517067581</v>
      </c>
      <c r="G280">
        <v>27</v>
      </c>
      <c r="H280" t="s">
        <v>58</v>
      </c>
      <c r="M280">
        <v>14.204846458969071</v>
      </c>
      <c r="N280">
        <v>-8.21333534785796</v>
      </c>
      <c r="O280">
        <v>22.418181806827029</v>
      </c>
      <c r="P280">
        <v>0.5345224838248489</v>
      </c>
      <c r="R280" t="str">
        <f t="shared" si="8"/>
        <v>yes</v>
      </c>
      <c r="S280" t="str">
        <f t="shared" si="9"/>
        <v>no</v>
      </c>
    </row>
    <row r="281" spans="1:19" x14ac:dyDescent="0.35">
      <c r="A281" s="1">
        <v>279</v>
      </c>
      <c r="B281" t="s">
        <v>75</v>
      </c>
      <c r="C281" t="s">
        <v>253</v>
      </c>
      <c r="D281" t="s">
        <v>256</v>
      </c>
      <c r="E281">
        <v>0</v>
      </c>
      <c r="F281">
        <v>0</v>
      </c>
      <c r="G281">
        <v>27</v>
      </c>
      <c r="H281" t="s">
        <v>58</v>
      </c>
      <c r="M281">
        <v>0</v>
      </c>
      <c r="N281">
        <v>0</v>
      </c>
      <c r="O281">
        <v>0</v>
      </c>
      <c r="R281" t="str">
        <f t="shared" si="8"/>
        <v>yes</v>
      </c>
      <c r="S281" t="str">
        <f t="shared" si="9"/>
        <v>no</v>
      </c>
    </row>
    <row r="282" spans="1:19" x14ac:dyDescent="0.35">
      <c r="A282" s="1">
        <v>280</v>
      </c>
      <c r="B282" t="s">
        <v>75</v>
      </c>
      <c r="C282" t="s">
        <v>253</v>
      </c>
      <c r="D282" t="s">
        <v>257</v>
      </c>
      <c r="E282">
        <v>9.0992481481481473</v>
      </c>
      <c r="F282">
        <v>17.105734895282399</v>
      </c>
      <c r="G282">
        <v>27</v>
      </c>
      <c r="H282" t="s">
        <v>58</v>
      </c>
      <c r="M282">
        <v>43.310717938712948</v>
      </c>
      <c r="N282">
        <v>-25.11222164241665</v>
      </c>
      <c r="O282">
        <v>68.422939581129597</v>
      </c>
      <c r="P282">
        <v>0.53194137544231634</v>
      </c>
      <c r="R282" t="str">
        <f t="shared" si="8"/>
        <v>yes</v>
      </c>
      <c r="S282" t="str">
        <f t="shared" si="9"/>
        <v>no</v>
      </c>
    </row>
    <row r="283" spans="1:19" x14ac:dyDescent="0.35">
      <c r="A283" s="1">
        <v>281</v>
      </c>
      <c r="B283" t="s">
        <v>75</v>
      </c>
      <c r="C283" t="s">
        <v>253</v>
      </c>
      <c r="D283" t="s">
        <v>258</v>
      </c>
      <c r="E283">
        <v>0</v>
      </c>
      <c r="F283">
        <v>0</v>
      </c>
      <c r="G283">
        <v>27</v>
      </c>
      <c r="H283" t="s">
        <v>58</v>
      </c>
      <c r="M283">
        <v>0</v>
      </c>
      <c r="N283">
        <v>0</v>
      </c>
      <c r="O283">
        <v>0</v>
      </c>
      <c r="R283" t="str">
        <f t="shared" si="8"/>
        <v>yes</v>
      </c>
      <c r="S283" t="str">
        <f t="shared" si="9"/>
        <v>no</v>
      </c>
    </row>
    <row r="284" spans="1:19" x14ac:dyDescent="0.35">
      <c r="A284" s="1">
        <v>282</v>
      </c>
      <c r="B284" t="s">
        <v>75</v>
      </c>
      <c r="C284" t="s">
        <v>253</v>
      </c>
      <c r="D284" t="s">
        <v>259</v>
      </c>
      <c r="E284">
        <v>3.994340740740741</v>
      </c>
      <c r="F284">
        <v>6.1556924987129253</v>
      </c>
      <c r="G284">
        <v>27</v>
      </c>
      <c r="H284" t="s">
        <v>58</v>
      </c>
      <c r="M284">
        <v>16.30572573816659</v>
      </c>
      <c r="N284">
        <v>-8.3170442566851097</v>
      </c>
      <c r="O284">
        <v>24.622769994851701</v>
      </c>
      <c r="P284">
        <v>0.64888568452305007</v>
      </c>
      <c r="R284" t="str">
        <f t="shared" si="8"/>
        <v>yes</v>
      </c>
      <c r="S284" t="str">
        <f t="shared" si="9"/>
        <v>no</v>
      </c>
    </row>
    <row r="285" spans="1:19" x14ac:dyDescent="0.35">
      <c r="A285" s="1">
        <v>283</v>
      </c>
      <c r="B285" t="s">
        <v>75</v>
      </c>
      <c r="C285" t="s">
        <v>253</v>
      </c>
      <c r="D285" t="s">
        <v>260</v>
      </c>
      <c r="E285">
        <v>0</v>
      </c>
      <c r="F285">
        <v>0</v>
      </c>
      <c r="G285">
        <v>27</v>
      </c>
      <c r="H285" t="s">
        <v>58</v>
      </c>
      <c r="M285">
        <v>0</v>
      </c>
      <c r="N285">
        <v>0</v>
      </c>
      <c r="O285">
        <v>0</v>
      </c>
      <c r="R285" t="str">
        <f t="shared" si="8"/>
        <v>yes</v>
      </c>
      <c r="S285" t="str">
        <f t="shared" si="9"/>
        <v>no</v>
      </c>
    </row>
    <row r="286" spans="1:19" x14ac:dyDescent="0.35">
      <c r="A286" s="1">
        <v>284</v>
      </c>
      <c r="B286" t="s">
        <v>75</v>
      </c>
      <c r="C286" t="s">
        <v>253</v>
      </c>
      <c r="D286" t="s">
        <v>261</v>
      </c>
      <c r="E286">
        <v>11.954866666666669</v>
      </c>
      <c r="F286">
        <v>18.546862039329621</v>
      </c>
      <c r="G286">
        <v>27</v>
      </c>
      <c r="H286" t="s">
        <v>58</v>
      </c>
      <c r="M286">
        <v>49.04859074532591</v>
      </c>
      <c r="N286">
        <v>-25.138857411992571</v>
      </c>
      <c r="O286">
        <v>74.187448157318485</v>
      </c>
      <c r="P286">
        <v>0.64457624375032985</v>
      </c>
      <c r="R286" t="str">
        <f t="shared" si="8"/>
        <v>yes</v>
      </c>
      <c r="S286" t="str">
        <f t="shared" si="9"/>
        <v>no</v>
      </c>
    </row>
    <row r="287" spans="1:19" x14ac:dyDescent="0.35">
      <c r="A287" s="1">
        <v>285</v>
      </c>
      <c r="B287" t="s">
        <v>75</v>
      </c>
      <c r="C287" t="s">
        <v>253</v>
      </c>
      <c r="D287" t="s">
        <v>262</v>
      </c>
      <c r="E287">
        <v>0</v>
      </c>
      <c r="F287">
        <v>0</v>
      </c>
      <c r="G287">
        <v>27</v>
      </c>
      <c r="H287" t="s">
        <v>58</v>
      </c>
      <c r="M287">
        <v>0</v>
      </c>
      <c r="N287">
        <v>0</v>
      </c>
      <c r="O287">
        <v>0</v>
      </c>
      <c r="R287" t="str">
        <f t="shared" si="8"/>
        <v>yes</v>
      </c>
      <c r="S287" t="str">
        <f t="shared" si="9"/>
        <v>no</v>
      </c>
    </row>
    <row r="288" spans="1:19" x14ac:dyDescent="0.35">
      <c r="A288" s="1">
        <v>286</v>
      </c>
      <c r="B288" t="s">
        <v>75</v>
      </c>
      <c r="C288" t="s">
        <v>253</v>
      </c>
      <c r="D288" t="s">
        <v>263</v>
      </c>
      <c r="E288">
        <v>2.9957555555555562</v>
      </c>
      <c r="F288">
        <v>5.6045454517067581</v>
      </c>
      <c r="G288">
        <v>27</v>
      </c>
      <c r="H288" t="s">
        <v>58</v>
      </c>
      <c r="M288">
        <v>14.204846458969071</v>
      </c>
      <c r="N288">
        <v>-8.21333534785796</v>
      </c>
      <c r="O288">
        <v>22.418181806827029</v>
      </c>
      <c r="P288">
        <v>0.5345224838248489</v>
      </c>
      <c r="R288" t="str">
        <f t="shared" si="8"/>
        <v>yes</v>
      </c>
      <c r="S288" t="str">
        <f t="shared" si="9"/>
        <v>no</v>
      </c>
    </row>
    <row r="289" spans="1:19" x14ac:dyDescent="0.35">
      <c r="A289" s="1">
        <v>287</v>
      </c>
      <c r="B289" t="s">
        <v>75</v>
      </c>
      <c r="C289" t="s">
        <v>253</v>
      </c>
      <c r="D289" t="s">
        <v>264</v>
      </c>
      <c r="E289">
        <v>0</v>
      </c>
      <c r="F289">
        <v>0</v>
      </c>
      <c r="G289">
        <v>27</v>
      </c>
      <c r="H289" t="s">
        <v>58</v>
      </c>
      <c r="M289">
        <v>0</v>
      </c>
      <c r="N289">
        <v>0</v>
      </c>
      <c r="O289">
        <v>0</v>
      </c>
      <c r="R289" t="str">
        <f t="shared" si="8"/>
        <v>yes</v>
      </c>
      <c r="S289" t="str">
        <f t="shared" si="9"/>
        <v>no</v>
      </c>
    </row>
    <row r="290" spans="1:19" x14ac:dyDescent="0.35">
      <c r="A290" s="1">
        <v>288</v>
      </c>
      <c r="B290" t="s">
        <v>75</v>
      </c>
      <c r="C290" t="s">
        <v>253</v>
      </c>
      <c r="D290" t="s">
        <v>265</v>
      </c>
      <c r="E290">
        <v>8.5135925925925928</v>
      </c>
      <c r="F290">
        <v>15.969063457334929</v>
      </c>
      <c r="G290">
        <v>27</v>
      </c>
      <c r="H290" t="s">
        <v>58</v>
      </c>
      <c r="M290">
        <v>40.451719507262453</v>
      </c>
      <c r="N290">
        <v>-23.42453432207726</v>
      </c>
      <c r="O290">
        <v>63.876253829339717</v>
      </c>
      <c r="P290">
        <v>0.53313036267522118</v>
      </c>
      <c r="R290" t="str">
        <f t="shared" si="8"/>
        <v>yes</v>
      </c>
      <c r="S290" t="str">
        <f t="shared" si="9"/>
        <v>no</v>
      </c>
    </row>
    <row r="291" spans="1:19" x14ac:dyDescent="0.35">
      <c r="A291" s="1">
        <v>289</v>
      </c>
      <c r="B291" t="s">
        <v>75</v>
      </c>
      <c r="C291" t="s">
        <v>253</v>
      </c>
      <c r="D291" t="s">
        <v>266</v>
      </c>
      <c r="E291">
        <v>0</v>
      </c>
      <c r="F291">
        <v>0</v>
      </c>
      <c r="G291">
        <v>27</v>
      </c>
      <c r="H291" t="s">
        <v>58</v>
      </c>
      <c r="M291">
        <v>0</v>
      </c>
      <c r="N291">
        <v>0</v>
      </c>
      <c r="O291">
        <v>0</v>
      </c>
      <c r="R291" t="str">
        <f t="shared" si="8"/>
        <v>yes</v>
      </c>
      <c r="S291" t="str">
        <f t="shared" si="9"/>
        <v>no</v>
      </c>
    </row>
    <row r="292" spans="1:19" x14ac:dyDescent="0.35">
      <c r="A292" s="1">
        <v>290</v>
      </c>
      <c r="B292" t="s">
        <v>75</v>
      </c>
      <c r="C292" t="s">
        <v>253</v>
      </c>
      <c r="D292" t="s">
        <v>267</v>
      </c>
      <c r="E292">
        <v>3.994340740740741</v>
      </c>
      <c r="F292">
        <v>6.1556924987129253</v>
      </c>
      <c r="G292">
        <v>27</v>
      </c>
      <c r="H292" t="s">
        <v>58</v>
      </c>
      <c r="M292">
        <v>16.30572573816659</v>
      </c>
      <c r="N292">
        <v>-8.3170442566851097</v>
      </c>
      <c r="O292">
        <v>24.622769994851701</v>
      </c>
      <c r="P292">
        <v>0.64888568452305007</v>
      </c>
      <c r="R292" t="str">
        <f t="shared" si="8"/>
        <v>yes</v>
      </c>
      <c r="S292" t="str">
        <f t="shared" si="9"/>
        <v>no</v>
      </c>
    </row>
    <row r="293" spans="1:19" x14ac:dyDescent="0.35">
      <c r="A293" s="1">
        <v>291</v>
      </c>
      <c r="B293" t="s">
        <v>75</v>
      </c>
      <c r="C293" t="s">
        <v>253</v>
      </c>
      <c r="D293" t="s">
        <v>268</v>
      </c>
      <c r="E293">
        <v>0</v>
      </c>
      <c r="F293">
        <v>0</v>
      </c>
      <c r="G293">
        <v>27</v>
      </c>
      <c r="H293" t="s">
        <v>58</v>
      </c>
      <c r="M293">
        <v>0</v>
      </c>
      <c r="N293">
        <v>0</v>
      </c>
      <c r="O293">
        <v>0</v>
      </c>
      <c r="R293" t="str">
        <f t="shared" si="8"/>
        <v>yes</v>
      </c>
      <c r="S293" t="str">
        <f t="shared" si="9"/>
        <v>no</v>
      </c>
    </row>
    <row r="294" spans="1:19" x14ac:dyDescent="0.35">
      <c r="A294" s="1">
        <v>292</v>
      </c>
      <c r="B294" t="s">
        <v>75</v>
      </c>
      <c r="C294" t="s">
        <v>253</v>
      </c>
      <c r="D294" t="s">
        <v>269</v>
      </c>
      <c r="E294">
        <v>11.20948518518518</v>
      </c>
      <c r="F294">
        <v>17.429353594815669</v>
      </c>
      <c r="G294">
        <v>27</v>
      </c>
      <c r="H294" t="s">
        <v>58</v>
      </c>
      <c r="M294">
        <v>46.068192374816519</v>
      </c>
      <c r="N294">
        <v>-23.649222004446159</v>
      </c>
      <c r="O294">
        <v>69.717414379262678</v>
      </c>
      <c r="P294">
        <v>0.64313831974350566</v>
      </c>
      <c r="R294" t="str">
        <f t="shared" si="8"/>
        <v>yes</v>
      </c>
      <c r="S294" t="str">
        <f t="shared" si="9"/>
        <v>no</v>
      </c>
    </row>
    <row r="295" spans="1:19" x14ac:dyDescent="0.35">
      <c r="A295" s="1">
        <v>293</v>
      </c>
      <c r="B295" t="s">
        <v>75</v>
      </c>
      <c r="C295" t="s">
        <v>253</v>
      </c>
      <c r="D295" t="s">
        <v>270</v>
      </c>
      <c r="E295">
        <v>0</v>
      </c>
      <c r="F295">
        <v>0</v>
      </c>
      <c r="G295">
        <v>27</v>
      </c>
      <c r="H295" t="s">
        <v>58</v>
      </c>
      <c r="M295">
        <v>0</v>
      </c>
      <c r="N295">
        <v>0</v>
      </c>
      <c r="O295">
        <v>0</v>
      </c>
      <c r="R295" t="str">
        <f t="shared" si="8"/>
        <v>yes</v>
      </c>
      <c r="S295" t="str">
        <f t="shared" si="9"/>
        <v>no</v>
      </c>
    </row>
    <row r="296" spans="1:19" x14ac:dyDescent="0.35">
      <c r="A296" s="1">
        <v>294</v>
      </c>
      <c r="B296" t="s">
        <v>75</v>
      </c>
      <c r="C296" t="s">
        <v>253</v>
      </c>
      <c r="D296" t="s">
        <v>271</v>
      </c>
      <c r="E296">
        <v>2.9957555555555562</v>
      </c>
      <c r="F296">
        <v>5.6045454517067581</v>
      </c>
      <c r="G296">
        <v>27</v>
      </c>
      <c r="H296" t="s">
        <v>58</v>
      </c>
      <c r="M296">
        <v>14.204846458969071</v>
      </c>
      <c r="N296">
        <v>-8.21333534785796</v>
      </c>
      <c r="O296">
        <v>22.418181806827029</v>
      </c>
      <c r="P296">
        <v>0.5345224838248489</v>
      </c>
      <c r="R296" t="str">
        <f t="shared" si="8"/>
        <v>yes</v>
      </c>
      <c r="S296" t="str">
        <f t="shared" si="9"/>
        <v>no</v>
      </c>
    </row>
    <row r="297" spans="1:19" x14ac:dyDescent="0.35">
      <c r="A297" s="1">
        <v>295</v>
      </c>
      <c r="B297" t="s">
        <v>75</v>
      </c>
      <c r="C297" t="s">
        <v>253</v>
      </c>
      <c r="D297" t="s">
        <v>272</v>
      </c>
      <c r="E297">
        <v>0</v>
      </c>
      <c r="F297">
        <v>0</v>
      </c>
      <c r="G297">
        <v>27</v>
      </c>
      <c r="H297" t="s">
        <v>58</v>
      </c>
      <c r="M297">
        <v>0</v>
      </c>
      <c r="N297">
        <v>0</v>
      </c>
      <c r="O297">
        <v>0</v>
      </c>
      <c r="R297" t="str">
        <f t="shared" si="8"/>
        <v>yes</v>
      </c>
      <c r="S297" t="str">
        <f t="shared" si="9"/>
        <v>no</v>
      </c>
    </row>
    <row r="298" spans="1:19" x14ac:dyDescent="0.35">
      <c r="A298" s="1">
        <v>296</v>
      </c>
      <c r="B298" t="s">
        <v>75</v>
      </c>
      <c r="C298" t="s">
        <v>253</v>
      </c>
      <c r="D298" t="s">
        <v>273</v>
      </c>
      <c r="E298">
        <v>7.9456888888888866</v>
      </c>
      <c r="F298">
        <v>14.914519917090329</v>
      </c>
      <c r="G298">
        <v>27</v>
      </c>
      <c r="H298" t="s">
        <v>58</v>
      </c>
      <c r="M298">
        <v>37.774728723069543</v>
      </c>
      <c r="N298">
        <v>-21.88335094529177</v>
      </c>
      <c r="O298">
        <v>59.658079668361317</v>
      </c>
      <c r="P298">
        <v>0.53274855195198323</v>
      </c>
      <c r="R298" t="str">
        <f t="shared" si="8"/>
        <v>yes</v>
      </c>
      <c r="S298" t="str">
        <f t="shared" si="9"/>
        <v>no</v>
      </c>
    </row>
    <row r="299" spans="1:19" x14ac:dyDescent="0.35">
      <c r="A299" s="1">
        <v>297</v>
      </c>
      <c r="B299" t="s">
        <v>75</v>
      </c>
      <c r="C299" t="s">
        <v>253</v>
      </c>
      <c r="D299" t="s">
        <v>274</v>
      </c>
      <c r="E299">
        <v>0</v>
      </c>
      <c r="F299">
        <v>0</v>
      </c>
      <c r="G299">
        <v>27</v>
      </c>
      <c r="H299" t="s">
        <v>58</v>
      </c>
      <c r="M299">
        <v>0</v>
      </c>
      <c r="N299">
        <v>0</v>
      </c>
      <c r="O299">
        <v>0</v>
      </c>
      <c r="R299" t="str">
        <f t="shared" si="8"/>
        <v>yes</v>
      </c>
      <c r="S299" t="str">
        <f t="shared" si="9"/>
        <v>no</v>
      </c>
    </row>
    <row r="300" spans="1:19" x14ac:dyDescent="0.35">
      <c r="A300" s="1">
        <v>298</v>
      </c>
      <c r="B300" t="s">
        <v>75</v>
      </c>
      <c r="C300" t="s">
        <v>253</v>
      </c>
      <c r="D300" t="s">
        <v>275</v>
      </c>
      <c r="E300">
        <v>3.994340740740741</v>
      </c>
      <c r="F300">
        <v>6.1556924987129253</v>
      </c>
      <c r="G300">
        <v>27</v>
      </c>
      <c r="H300" t="s">
        <v>58</v>
      </c>
      <c r="M300">
        <v>16.30572573816659</v>
      </c>
      <c r="N300">
        <v>-8.3170442566851097</v>
      </c>
      <c r="O300">
        <v>24.622769994851701</v>
      </c>
      <c r="P300">
        <v>0.64888568452305007</v>
      </c>
      <c r="R300" t="str">
        <f t="shared" si="8"/>
        <v>yes</v>
      </c>
      <c r="S300" t="str">
        <f t="shared" si="9"/>
        <v>no</v>
      </c>
    </row>
    <row r="301" spans="1:19" x14ac:dyDescent="0.35">
      <c r="A301" s="1">
        <v>299</v>
      </c>
      <c r="B301" t="s">
        <v>75</v>
      </c>
      <c r="C301" t="s">
        <v>253</v>
      </c>
      <c r="D301" t="s">
        <v>276</v>
      </c>
      <c r="E301">
        <v>0</v>
      </c>
      <c r="F301">
        <v>0</v>
      </c>
      <c r="G301">
        <v>27</v>
      </c>
      <c r="H301" t="s">
        <v>58</v>
      </c>
      <c r="M301">
        <v>0</v>
      </c>
      <c r="N301">
        <v>0</v>
      </c>
      <c r="O301">
        <v>0</v>
      </c>
      <c r="R301" t="str">
        <f t="shared" si="8"/>
        <v>yes</v>
      </c>
      <c r="S301" t="str">
        <f t="shared" si="9"/>
        <v>no</v>
      </c>
    </row>
    <row r="302" spans="1:19" x14ac:dyDescent="0.35">
      <c r="A302" s="1">
        <v>300</v>
      </c>
      <c r="B302" t="s">
        <v>75</v>
      </c>
      <c r="C302" t="s">
        <v>253</v>
      </c>
      <c r="D302" t="s">
        <v>277</v>
      </c>
      <c r="E302">
        <v>11.84838148148148</v>
      </c>
      <c r="F302">
        <v>18.33904841275065</v>
      </c>
      <c r="G302">
        <v>27</v>
      </c>
      <c r="H302" t="s">
        <v>58</v>
      </c>
      <c r="M302">
        <v>48.526478306982781</v>
      </c>
      <c r="N302">
        <v>-24.829715344019821</v>
      </c>
      <c r="O302">
        <v>73.356193651002599</v>
      </c>
      <c r="P302">
        <v>0.64607395186566052</v>
      </c>
      <c r="R302" t="str">
        <f t="shared" si="8"/>
        <v>yes</v>
      </c>
      <c r="S302" t="str">
        <f t="shared" si="9"/>
        <v>no</v>
      </c>
    </row>
    <row r="303" spans="1:19" x14ac:dyDescent="0.35">
      <c r="A303" s="1">
        <v>301</v>
      </c>
      <c r="B303" t="s">
        <v>75</v>
      </c>
      <c r="C303" t="s">
        <v>253</v>
      </c>
      <c r="D303" t="s">
        <v>278</v>
      </c>
      <c r="E303">
        <v>31.176096296296301</v>
      </c>
      <c r="F303">
        <v>65.652500124245506</v>
      </c>
      <c r="G303">
        <v>27</v>
      </c>
      <c r="H303" t="s">
        <v>58</v>
      </c>
      <c r="M303">
        <v>162.48109654478731</v>
      </c>
      <c r="N303">
        <v>-100.1289039521947</v>
      </c>
      <c r="O303">
        <v>262.61000049698202</v>
      </c>
      <c r="P303">
        <v>0.47486533242902279</v>
      </c>
      <c r="R303" t="str">
        <f t="shared" si="8"/>
        <v>yes</v>
      </c>
      <c r="S303" t="str">
        <f t="shared" si="9"/>
        <v>no</v>
      </c>
    </row>
    <row r="304" spans="1:19" x14ac:dyDescent="0.35">
      <c r="A304" s="1">
        <v>302</v>
      </c>
      <c r="B304" t="s">
        <v>75</v>
      </c>
      <c r="C304" t="s">
        <v>253</v>
      </c>
      <c r="D304" t="s">
        <v>279</v>
      </c>
      <c r="E304">
        <v>0</v>
      </c>
      <c r="F304">
        <v>0</v>
      </c>
      <c r="G304">
        <v>27</v>
      </c>
      <c r="H304" t="s">
        <v>58</v>
      </c>
      <c r="M304">
        <v>0</v>
      </c>
      <c r="N304">
        <v>0</v>
      </c>
      <c r="O304">
        <v>0</v>
      </c>
      <c r="R304" t="str">
        <f t="shared" si="8"/>
        <v>yes</v>
      </c>
      <c r="S304" t="str">
        <f t="shared" si="9"/>
        <v>no</v>
      </c>
    </row>
    <row r="305" spans="1:19" x14ac:dyDescent="0.35">
      <c r="A305" s="1">
        <v>303</v>
      </c>
      <c r="B305" t="s">
        <v>75</v>
      </c>
      <c r="C305" t="s">
        <v>253</v>
      </c>
      <c r="D305" t="s">
        <v>280</v>
      </c>
      <c r="E305">
        <v>0</v>
      </c>
      <c r="F305">
        <v>0</v>
      </c>
      <c r="G305">
        <v>27</v>
      </c>
      <c r="H305" t="s">
        <v>58</v>
      </c>
      <c r="M305">
        <v>0</v>
      </c>
      <c r="N305">
        <v>0</v>
      </c>
      <c r="O305">
        <v>0</v>
      </c>
      <c r="R305" t="str">
        <f t="shared" si="8"/>
        <v>yes</v>
      </c>
      <c r="S305" t="str">
        <f t="shared" si="9"/>
        <v>no</v>
      </c>
    </row>
    <row r="306" spans="1:19" x14ac:dyDescent="0.35">
      <c r="A306" s="1">
        <v>304</v>
      </c>
      <c r="B306" t="s">
        <v>75</v>
      </c>
      <c r="C306" t="s">
        <v>253</v>
      </c>
      <c r="D306" t="s">
        <v>281</v>
      </c>
      <c r="E306">
        <v>7.4851037037037029</v>
      </c>
      <c r="F306">
        <v>15.73205291010307</v>
      </c>
      <c r="G306">
        <v>27</v>
      </c>
      <c r="H306" t="s">
        <v>58</v>
      </c>
      <c r="M306">
        <v>38.949209523909843</v>
      </c>
      <c r="N306">
        <v>-23.979002116502439</v>
      </c>
      <c r="O306">
        <v>62.928211640412279</v>
      </c>
      <c r="P306">
        <v>0.47578683764130969</v>
      </c>
      <c r="R306" t="str">
        <f t="shared" si="8"/>
        <v>yes</v>
      </c>
      <c r="S306" t="str">
        <f t="shared" si="9"/>
        <v>no</v>
      </c>
    </row>
    <row r="307" spans="1:19" x14ac:dyDescent="0.35">
      <c r="A307" s="1">
        <v>305</v>
      </c>
      <c r="B307" t="s">
        <v>75</v>
      </c>
      <c r="C307" t="s">
        <v>253</v>
      </c>
      <c r="D307" t="s">
        <v>282</v>
      </c>
      <c r="E307">
        <v>27.516974074074071</v>
      </c>
      <c r="F307">
        <v>60.059210017205601</v>
      </c>
      <c r="G307">
        <v>27</v>
      </c>
      <c r="H307" t="s">
        <v>58</v>
      </c>
      <c r="M307">
        <v>147.63539410848529</v>
      </c>
      <c r="N307">
        <v>-92.601445960337131</v>
      </c>
      <c r="O307">
        <v>240.2368400688224</v>
      </c>
      <c r="P307">
        <v>0.45816410282771092</v>
      </c>
      <c r="R307" t="str">
        <f t="shared" si="8"/>
        <v>yes</v>
      </c>
      <c r="S307" t="str">
        <f t="shared" si="9"/>
        <v>no</v>
      </c>
    </row>
    <row r="308" spans="1:19" x14ac:dyDescent="0.35">
      <c r="A308" s="1">
        <v>306</v>
      </c>
      <c r="B308" t="s">
        <v>75</v>
      </c>
      <c r="C308" t="s">
        <v>253</v>
      </c>
      <c r="D308" t="s">
        <v>283</v>
      </c>
      <c r="E308">
        <v>0</v>
      </c>
      <c r="F308">
        <v>0</v>
      </c>
      <c r="G308">
        <v>27</v>
      </c>
      <c r="H308" t="s">
        <v>58</v>
      </c>
      <c r="M308">
        <v>0</v>
      </c>
      <c r="N308">
        <v>0</v>
      </c>
      <c r="O308">
        <v>0</v>
      </c>
      <c r="R308" t="str">
        <f t="shared" si="8"/>
        <v>yes</v>
      </c>
      <c r="S308" t="str">
        <f t="shared" si="9"/>
        <v>no</v>
      </c>
    </row>
    <row r="309" spans="1:19" x14ac:dyDescent="0.35">
      <c r="A309" s="1">
        <v>307</v>
      </c>
      <c r="B309" t="s">
        <v>75</v>
      </c>
      <c r="C309" t="s">
        <v>253</v>
      </c>
      <c r="D309" t="s">
        <v>284</v>
      </c>
      <c r="E309">
        <v>0</v>
      </c>
      <c r="F309">
        <v>0</v>
      </c>
      <c r="G309">
        <v>27</v>
      </c>
      <c r="H309" t="s">
        <v>58</v>
      </c>
      <c r="M309">
        <v>0</v>
      </c>
      <c r="N309">
        <v>0</v>
      </c>
      <c r="O309">
        <v>0</v>
      </c>
      <c r="R309" t="str">
        <f t="shared" si="8"/>
        <v>yes</v>
      </c>
      <c r="S309" t="str">
        <f t="shared" si="9"/>
        <v>no</v>
      </c>
    </row>
    <row r="310" spans="1:19" x14ac:dyDescent="0.35">
      <c r="A310" s="1">
        <v>308</v>
      </c>
      <c r="B310" t="s">
        <v>75</v>
      </c>
      <c r="C310" t="s">
        <v>253</v>
      </c>
      <c r="D310" t="s">
        <v>285</v>
      </c>
      <c r="E310">
        <v>6.7929629629629629</v>
      </c>
      <c r="F310">
        <v>14.26728950543731</v>
      </c>
      <c r="G310">
        <v>27</v>
      </c>
      <c r="H310" t="s">
        <v>58</v>
      </c>
      <c r="M310">
        <v>35.327541973837583</v>
      </c>
      <c r="N310">
        <v>-21.741616047911659</v>
      </c>
      <c r="O310">
        <v>57.069158021749239</v>
      </c>
      <c r="P310">
        <v>0.47612147776030922</v>
      </c>
      <c r="R310" t="str">
        <f t="shared" si="8"/>
        <v>yes</v>
      </c>
      <c r="S310" t="str">
        <f t="shared" si="9"/>
        <v>no</v>
      </c>
    </row>
    <row r="311" spans="1:19" x14ac:dyDescent="0.35">
      <c r="A311" s="1">
        <v>309</v>
      </c>
      <c r="B311" t="s">
        <v>75</v>
      </c>
      <c r="C311" t="s">
        <v>253</v>
      </c>
      <c r="D311" t="s">
        <v>286</v>
      </c>
      <c r="E311">
        <v>32.468333333333327</v>
      </c>
      <c r="F311">
        <v>68.164888931755144</v>
      </c>
      <c r="G311">
        <v>27</v>
      </c>
      <c r="H311" t="s">
        <v>58</v>
      </c>
      <c r="M311">
        <v>168.79811119684359</v>
      </c>
      <c r="N311">
        <v>-103.861444530177</v>
      </c>
      <c r="O311">
        <v>272.65955572702057</v>
      </c>
      <c r="P311">
        <v>0.47632049053640718</v>
      </c>
      <c r="R311" t="str">
        <f t="shared" si="8"/>
        <v>yes</v>
      </c>
      <c r="S311" t="str">
        <f t="shared" si="9"/>
        <v>no</v>
      </c>
    </row>
    <row r="312" spans="1:19" x14ac:dyDescent="0.35">
      <c r="A312" s="1">
        <v>310</v>
      </c>
      <c r="B312" t="s">
        <v>75</v>
      </c>
      <c r="C312" t="s">
        <v>253</v>
      </c>
      <c r="D312" t="s">
        <v>287</v>
      </c>
      <c r="E312">
        <v>0</v>
      </c>
      <c r="F312">
        <v>0</v>
      </c>
      <c r="G312">
        <v>27</v>
      </c>
      <c r="H312" t="s">
        <v>58</v>
      </c>
      <c r="M312">
        <v>0</v>
      </c>
      <c r="N312">
        <v>0</v>
      </c>
      <c r="O312">
        <v>0</v>
      </c>
      <c r="R312" t="str">
        <f t="shared" si="8"/>
        <v>yes</v>
      </c>
      <c r="S312" t="str">
        <f t="shared" si="9"/>
        <v>no</v>
      </c>
    </row>
    <row r="313" spans="1:19" x14ac:dyDescent="0.35">
      <c r="A313" s="1">
        <v>311</v>
      </c>
      <c r="B313" t="s">
        <v>75</v>
      </c>
      <c r="C313" t="s">
        <v>253</v>
      </c>
      <c r="D313" t="s">
        <v>288</v>
      </c>
      <c r="E313">
        <v>0</v>
      </c>
      <c r="F313">
        <v>0</v>
      </c>
      <c r="G313">
        <v>27</v>
      </c>
      <c r="H313" t="s">
        <v>58</v>
      </c>
      <c r="M313">
        <v>0</v>
      </c>
      <c r="N313">
        <v>0</v>
      </c>
      <c r="O313">
        <v>0</v>
      </c>
      <c r="R313" t="str">
        <f t="shared" si="8"/>
        <v>yes</v>
      </c>
      <c r="S313" t="str">
        <f t="shared" si="9"/>
        <v>no</v>
      </c>
    </row>
    <row r="314" spans="1:19" x14ac:dyDescent="0.35">
      <c r="A314" s="1">
        <v>312</v>
      </c>
      <c r="B314" t="s">
        <v>75</v>
      </c>
      <c r="C314" t="s">
        <v>253</v>
      </c>
      <c r="D314" t="s">
        <v>289</v>
      </c>
      <c r="E314">
        <v>7.3786111111111108</v>
      </c>
      <c r="F314">
        <v>15.485414941003731</v>
      </c>
      <c r="G314">
        <v>27</v>
      </c>
      <c r="H314" t="s">
        <v>58</v>
      </c>
      <c r="M314">
        <v>38.34944099311857</v>
      </c>
      <c r="N314">
        <v>-23.592218770896348</v>
      </c>
      <c r="O314">
        <v>61.941659764014922</v>
      </c>
      <c r="P314">
        <v>0.476487787974821</v>
      </c>
      <c r="R314" t="str">
        <f t="shared" si="8"/>
        <v>yes</v>
      </c>
      <c r="S314" t="str">
        <f t="shared" si="9"/>
        <v>no</v>
      </c>
    </row>
    <row r="315" spans="1:19" x14ac:dyDescent="0.35">
      <c r="A315" s="1">
        <v>313</v>
      </c>
      <c r="B315" t="s">
        <v>75</v>
      </c>
      <c r="C315" t="s">
        <v>253</v>
      </c>
      <c r="D315" t="s">
        <v>290</v>
      </c>
      <c r="E315">
        <v>27.19964814814815</v>
      </c>
      <c r="F315">
        <v>59.678368064864671</v>
      </c>
      <c r="G315">
        <v>27</v>
      </c>
      <c r="H315" t="s">
        <v>58</v>
      </c>
      <c r="M315">
        <v>146.5563842778775</v>
      </c>
      <c r="N315">
        <v>-92.157087981581185</v>
      </c>
      <c r="O315">
        <v>238.71347225945871</v>
      </c>
      <c r="P315">
        <v>0.45577064236382497</v>
      </c>
      <c r="R315" t="str">
        <f t="shared" si="8"/>
        <v>yes</v>
      </c>
      <c r="S315" t="str">
        <f t="shared" si="9"/>
        <v>no</v>
      </c>
    </row>
    <row r="316" spans="1:19" x14ac:dyDescent="0.35">
      <c r="A316" s="1">
        <v>314</v>
      </c>
      <c r="B316" t="s">
        <v>75</v>
      </c>
      <c r="C316" t="s">
        <v>253</v>
      </c>
      <c r="D316" t="s">
        <v>291</v>
      </c>
      <c r="E316">
        <v>0</v>
      </c>
      <c r="F316">
        <v>0</v>
      </c>
      <c r="G316">
        <v>27</v>
      </c>
      <c r="H316" t="s">
        <v>58</v>
      </c>
      <c r="M316">
        <v>0</v>
      </c>
      <c r="N316">
        <v>0</v>
      </c>
      <c r="O316">
        <v>0</v>
      </c>
      <c r="R316" t="str">
        <f t="shared" si="8"/>
        <v>yes</v>
      </c>
      <c r="S316" t="str">
        <f t="shared" si="9"/>
        <v>no</v>
      </c>
    </row>
    <row r="317" spans="1:19" x14ac:dyDescent="0.35">
      <c r="A317" s="1">
        <v>315</v>
      </c>
      <c r="B317" t="s">
        <v>75</v>
      </c>
      <c r="C317" t="s">
        <v>253</v>
      </c>
      <c r="D317" t="s">
        <v>292</v>
      </c>
      <c r="E317">
        <v>0</v>
      </c>
      <c r="F317">
        <v>0</v>
      </c>
      <c r="G317">
        <v>27</v>
      </c>
      <c r="H317" t="s">
        <v>58</v>
      </c>
      <c r="M317">
        <v>0</v>
      </c>
      <c r="N317">
        <v>0</v>
      </c>
      <c r="O317">
        <v>0</v>
      </c>
      <c r="R317" t="str">
        <f t="shared" si="8"/>
        <v>yes</v>
      </c>
      <c r="S317" t="str">
        <f t="shared" si="9"/>
        <v>no</v>
      </c>
    </row>
    <row r="318" spans="1:19" x14ac:dyDescent="0.35">
      <c r="A318" s="1">
        <v>316</v>
      </c>
      <c r="B318" t="s">
        <v>75</v>
      </c>
      <c r="C318" t="s">
        <v>253</v>
      </c>
      <c r="D318" t="s">
        <v>293</v>
      </c>
      <c r="E318">
        <v>6.686481481481481</v>
      </c>
      <c r="F318">
        <v>14.05511703080615</v>
      </c>
      <c r="G318">
        <v>27</v>
      </c>
      <c r="H318" t="s">
        <v>58</v>
      </c>
      <c r="M318">
        <v>34.796715543093782</v>
      </c>
      <c r="N318">
        <v>-21.42375258013082</v>
      </c>
      <c r="O318">
        <v>56.220468123224599</v>
      </c>
      <c r="P318">
        <v>0.47573289264158969</v>
      </c>
      <c r="R318" t="str">
        <f t="shared" si="8"/>
        <v>yes</v>
      </c>
      <c r="S318" t="str">
        <f t="shared" si="9"/>
        <v>no</v>
      </c>
    </row>
    <row r="319" spans="1:19" x14ac:dyDescent="0.35">
      <c r="A319" s="1">
        <v>317</v>
      </c>
      <c r="B319" t="s">
        <v>75</v>
      </c>
      <c r="C319" t="s">
        <v>253</v>
      </c>
      <c r="D319" t="s">
        <v>294</v>
      </c>
      <c r="E319">
        <v>30.682081481481479</v>
      </c>
      <c r="F319">
        <v>64.813691470078695</v>
      </c>
      <c r="G319">
        <v>27</v>
      </c>
      <c r="H319" t="s">
        <v>58</v>
      </c>
      <c r="M319">
        <v>160.30946442163889</v>
      </c>
      <c r="N319">
        <v>-98.945301458675914</v>
      </c>
      <c r="O319">
        <v>259.25476588031478</v>
      </c>
      <c r="P319">
        <v>0.47338889030330722</v>
      </c>
      <c r="R319" t="str">
        <f t="shared" si="8"/>
        <v>yes</v>
      </c>
      <c r="S319" t="str">
        <f t="shared" si="9"/>
        <v>no</v>
      </c>
    </row>
    <row r="320" spans="1:19" x14ac:dyDescent="0.35">
      <c r="A320" s="1">
        <v>318</v>
      </c>
      <c r="B320" t="s">
        <v>75</v>
      </c>
      <c r="C320" t="s">
        <v>253</v>
      </c>
      <c r="D320" t="s">
        <v>295</v>
      </c>
      <c r="E320">
        <v>0</v>
      </c>
      <c r="F320">
        <v>0</v>
      </c>
      <c r="G320">
        <v>27</v>
      </c>
      <c r="H320" t="s">
        <v>58</v>
      </c>
      <c r="M320">
        <v>0</v>
      </c>
      <c r="N320">
        <v>0</v>
      </c>
      <c r="O320">
        <v>0</v>
      </c>
      <c r="R320" t="str">
        <f t="shared" si="8"/>
        <v>yes</v>
      </c>
      <c r="S320" t="str">
        <f t="shared" si="9"/>
        <v>no</v>
      </c>
    </row>
    <row r="321" spans="1:19" x14ac:dyDescent="0.35">
      <c r="A321" s="1">
        <v>319</v>
      </c>
      <c r="B321" t="s">
        <v>75</v>
      </c>
      <c r="C321" t="s">
        <v>253</v>
      </c>
      <c r="D321" t="s">
        <v>296</v>
      </c>
      <c r="E321">
        <v>0</v>
      </c>
      <c r="F321">
        <v>0</v>
      </c>
      <c r="G321">
        <v>27</v>
      </c>
      <c r="H321" t="s">
        <v>58</v>
      </c>
      <c r="M321">
        <v>0</v>
      </c>
      <c r="N321">
        <v>0</v>
      </c>
      <c r="O321">
        <v>0</v>
      </c>
      <c r="R321" t="str">
        <f t="shared" si="8"/>
        <v>yes</v>
      </c>
      <c r="S321" t="str">
        <f t="shared" si="9"/>
        <v>no</v>
      </c>
    </row>
    <row r="322" spans="1:19" x14ac:dyDescent="0.35">
      <c r="A322" s="1">
        <v>320</v>
      </c>
      <c r="B322" t="s">
        <v>75</v>
      </c>
      <c r="C322" t="s">
        <v>253</v>
      </c>
      <c r="D322" t="s">
        <v>297</v>
      </c>
      <c r="E322">
        <v>6.420274074074074</v>
      </c>
      <c r="F322">
        <v>13.48091334804419</v>
      </c>
      <c r="G322">
        <v>27</v>
      </c>
      <c r="H322" t="s">
        <v>58</v>
      </c>
      <c r="M322">
        <v>33.382100770162452</v>
      </c>
      <c r="N322">
        <v>-20.541552622014311</v>
      </c>
      <c r="O322">
        <v>53.92365339217676</v>
      </c>
      <c r="P322">
        <v>0.47624919086105738</v>
      </c>
      <c r="R322" t="str">
        <f t="shared" si="8"/>
        <v>yes</v>
      </c>
      <c r="S322" t="str">
        <f t="shared" si="9"/>
        <v>no</v>
      </c>
    </row>
    <row r="323" spans="1:19" x14ac:dyDescent="0.35">
      <c r="A323" s="1">
        <v>321</v>
      </c>
      <c r="B323" t="s">
        <v>75</v>
      </c>
      <c r="C323" t="s">
        <v>253</v>
      </c>
      <c r="D323" t="s">
        <v>298</v>
      </c>
      <c r="E323">
        <v>26.10714444444444</v>
      </c>
      <c r="F323">
        <v>58.512931992207427</v>
      </c>
      <c r="G323">
        <v>27</v>
      </c>
      <c r="H323" t="s">
        <v>58</v>
      </c>
      <c r="M323">
        <v>143.13300842885931</v>
      </c>
      <c r="N323">
        <v>-90.918719539970411</v>
      </c>
      <c r="O323">
        <v>234.05172796882971</v>
      </c>
      <c r="P323">
        <v>0.44617734158187988</v>
      </c>
      <c r="R323" t="str">
        <f t="shared" ref="R323:R386" si="10">IF(H323="yes","yes","no")</f>
        <v>yes</v>
      </c>
      <c r="S323" t="str">
        <f t="shared" ref="S323:S386" si="11">IF(I323,"yes","no")</f>
        <v>no</v>
      </c>
    </row>
    <row r="324" spans="1:19" x14ac:dyDescent="0.35">
      <c r="A324" s="1">
        <v>322</v>
      </c>
      <c r="B324" t="s">
        <v>75</v>
      </c>
      <c r="C324" t="s">
        <v>253</v>
      </c>
      <c r="D324" t="s">
        <v>299</v>
      </c>
      <c r="E324">
        <v>0</v>
      </c>
      <c r="F324">
        <v>0</v>
      </c>
      <c r="G324">
        <v>27</v>
      </c>
      <c r="H324" t="s">
        <v>58</v>
      </c>
      <c r="M324">
        <v>0</v>
      </c>
      <c r="N324">
        <v>0</v>
      </c>
      <c r="O324">
        <v>0</v>
      </c>
      <c r="R324" t="str">
        <f t="shared" si="10"/>
        <v>yes</v>
      </c>
      <c r="S324" t="str">
        <f t="shared" si="11"/>
        <v>no</v>
      </c>
    </row>
    <row r="325" spans="1:19" x14ac:dyDescent="0.35">
      <c r="A325" s="1">
        <v>323</v>
      </c>
      <c r="B325" t="s">
        <v>75</v>
      </c>
      <c r="C325" t="s">
        <v>253</v>
      </c>
      <c r="D325" t="s">
        <v>300</v>
      </c>
      <c r="E325">
        <v>0</v>
      </c>
      <c r="F325">
        <v>0</v>
      </c>
      <c r="G325">
        <v>27</v>
      </c>
      <c r="H325" t="s">
        <v>58</v>
      </c>
      <c r="M325">
        <v>0</v>
      </c>
      <c r="N325">
        <v>0</v>
      </c>
      <c r="O325">
        <v>0</v>
      </c>
      <c r="R325" t="str">
        <f t="shared" si="10"/>
        <v>yes</v>
      </c>
      <c r="S325" t="str">
        <f t="shared" si="11"/>
        <v>no</v>
      </c>
    </row>
    <row r="326" spans="1:19" x14ac:dyDescent="0.35">
      <c r="A326" s="1">
        <v>324</v>
      </c>
      <c r="B326" t="s">
        <v>75</v>
      </c>
      <c r="C326" t="s">
        <v>253</v>
      </c>
      <c r="D326" t="s">
        <v>301</v>
      </c>
      <c r="E326">
        <v>7.8045481481481476</v>
      </c>
      <c r="F326">
        <v>16.431622008557959</v>
      </c>
      <c r="G326">
        <v>27</v>
      </c>
      <c r="H326" t="s">
        <v>58</v>
      </c>
      <c r="M326">
        <v>40.667792165264068</v>
      </c>
      <c r="N326">
        <v>-25.058695868967771</v>
      </c>
      <c r="O326">
        <v>65.726488034231835</v>
      </c>
      <c r="P326">
        <v>0.4749712562815383</v>
      </c>
      <c r="R326" t="str">
        <f t="shared" si="10"/>
        <v>yes</v>
      </c>
      <c r="S326" t="str">
        <f t="shared" si="11"/>
        <v>no</v>
      </c>
    </row>
    <row r="327" spans="1:19" x14ac:dyDescent="0.35">
      <c r="A327" s="1">
        <v>325</v>
      </c>
      <c r="B327" t="s">
        <v>75</v>
      </c>
      <c r="C327" t="s">
        <v>253</v>
      </c>
      <c r="D327" t="s">
        <v>302</v>
      </c>
      <c r="E327">
        <v>0</v>
      </c>
      <c r="F327">
        <v>0</v>
      </c>
      <c r="G327">
        <v>27</v>
      </c>
      <c r="H327" t="s">
        <v>58</v>
      </c>
      <c r="M327">
        <v>0</v>
      </c>
      <c r="N327">
        <v>0</v>
      </c>
      <c r="O327">
        <v>0</v>
      </c>
      <c r="R327" t="str">
        <f t="shared" si="10"/>
        <v>yes</v>
      </c>
      <c r="S327" t="str">
        <f t="shared" si="11"/>
        <v>no</v>
      </c>
    </row>
    <row r="328" spans="1:19" x14ac:dyDescent="0.35">
      <c r="A328" s="1">
        <v>326</v>
      </c>
      <c r="B328" t="s">
        <v>75</v>
      </c>
      <c r="C328" t="s">
        <v>253</v>
      </c>
      <c r="D328" t="s">
        <v>303</v>
      </c>
      <c r="E328">
        <v>2.9957555555555562</v>
      </c>
      <c r="F328">
        <v>5.6045454517067581</v>
      </c>
      <c r="G328">
        <v>27</v>
      </c>
      <c r="H328" t="s">
        <v>58</v>
      </c>
      <c r="M328">
        <v>14.204846458969071</v>
      </c>
      <c r="N328">
        <v>-8.21333534785796</v>
      </c>
      <c r="O328">
        <v>22.418181806827029</v>
      </c>
      <c r="P328">
        <v>0.5345224838248489</v>
      </c>
      <c r="R328" t="str">
        <f t="shared" si="10"/>
        <v>yes</v>
      </c>
      <c r="S328" t="str">
        <f t="shared" si="11"/>
        <v>no</v>
      </c>
    </row>
    <row r="329" spans="1:19" x14ac:dyDescent="0.35">
      <c r="A329" s="1">
        <v>327</v>
      </c>
      <c r="B329" t="s">
        <v>75</v>
      </c>
      <c r="C329" t="s">
        <v>253</v>
      </c>
      <c r="D329" t="s">
        <v>304</v>
      </c>
      <c r="E329">
        <v>0</v>
      </c>
      <c r="F329">
        <v>0</v>
      </c>
      <c r="G329">
        <v>27</v>
      </c>
      <c r="H329" t="s">
        <v>58</v>
      </c>
      <c r="M329">
        <v>0</v>
      </c>
      <c r="N329">
        <v>0</v>
      </c>
      <c r="O329">
        <v>0</v>
      </c>
      <c r="R329" t="str">
        <f t="shared" si="10"/>
        <v>yes</v>
      </c>
      <c r="S329" t="str">
        <f t="shared" si="11"/>
        <v>no</v>
      </c>
    </row>
    <row r="330" spans="1:19" x14ac:dyDescent="0.35">
      <c r="A330" s="1">
        <v>328</v>
      </c>
      <c r="B330" t="s">
        <v>75</v>
      </c>
      <c r="C330" t="s">
        <v>253</v>
      </c>
      <c r="D330" t="s">
        <v>305</v>
      </c>
      <c r="E330">
        <v>9.6849037037037036</v>
      </c>
      <c r="F330">
        <v>18.245077643014191</v>
      </c>
      <c r="G330">
        <v>27</v>
      </c>
      <c r="H330" t="s">
        <v>58</v>
      </c>
      <c r="M330">
        <v>46.175058989732094</v>
      </c>
      <c r="N330">
        <v>-26.805251582324679</v>
      </c>
      <c r="O330">
        <v>72.980310572056766</v>
      </c>
      <c r="P330">
        <v>0.53082282757025867</v>
      </c>
      <c r="R330" t="str">
        <f t="shared" si="10"/>
        <v>yes</v>
      </c>
      <c r="S330" t="str">
        <f t="shared" si="11"/>
        <v>no</v>
      </c>
    </row>
    <row r="331" spans="1:19" x14ac:dyDescent="0.35">
      <c r="A331" s="1">
        <v>329</v>
      </c>
      <c r="B331" t="s">
        <v>75</v>
      </c>
      <c r="C331" t="s">
        <v>253</v>
      </c>
      <c r="D331" t="s">
        <v>306</v>
      </c>
      <c r="E331">
        <v>0</v>
      </c>
      <c r="F331">
        <v>0</v>
      </c>
      <c r="G331">
        <v>27</v>
      </c>
      <c r="H331" t="s">
        <v>58</v>
      </c>
      <c r="M331">
        <v>0</v>
      </c>
      <c r="N331">
        <v>0</v>
      </c>
      <c r="O331">
        <v>0</v>
      </c>
      <c r="R331" t="str">
        <f t="shared" si="10"/>
        <v>yes</v>
      </c>
      <c r="S331" t="str">
        <f t="shared" si="11"/>
        <v>no</v>
      </c>
    </row>
    <row r="332" spans="1:19" x14ac:dyDescent="0.35">
      <c r="A332" s="1">
        <v>330</v>
      </c>
      <c r="B332" t="s">
        <v>75</v>
      </c>
      <c r="C332" t="s">
        <v>253</v>
      </c>
      <c r="D332" t="s">
        <v>307</v>
      </c>
      <c r="E332">
        <v>3.994340740740741</v>
      </c>
      <c r="F332">
        <v>6.1556924987129253</v>
      </c>
      <c r="G332">
        <v>27</v>
      </c>
      <c r="H332" t="s">
        <v>58</v>
      </c>
      <c r="M332">
        <v>16.30572573816659</v>
      </c>
      <c r="N332">
        <v>-8.3170442566851097</v>
      </c>
      <c r="O332">
        <v>24.622769994851701</v>
      </c>
      <c r="P332">
        <v>0.64888568452305007</v>
      </c>
      <c r="R332" t="str">
        <f t="shared" si="10"/>
        <v>yes</v>
      </c>
      <c r="S332" t="str">
        <f t="shared" si="11"/>
        <v>no</v>
      </c>
    </row>
    <row r="333" spans="1:19" x14ac:dyDescent="0.35">
      <c r="A333" s="1">
        <v>331</v>
      </c>
      <c r="B333" t="s">
        <v>75</v>
      </c>
      <c r="C333" t="s">
        <v>253</v>
      </c>
      <c r="D333" t="s">
        <v>308</v>
      </c>
      <c r="E333">
        <v>0</v>
      </c>
      <c r="F333">
        <v>0</v>
      </c>
      <c r="G333">
        <v>27</v>
      </c>
      <c r="H333" t="s">
        <v>58</v>
      </c>
      <c r="M333">
        <v>0</v>
      </c>
      <c r="N333">
        <v>0</v>
      </c>
      <c r="O333">
        <v>0</v>
      </c>
      <c r="R333" t="str">
        <f t="shared" si="10"/>
        <v>yes</v>
      </c>
      <c r="S333" t="str">
        <f t="shared" si="11"/>
        <v>no</v>
      </c>
    </row>
    <row r="334" spans="1:19" x14ac:dyDescent="0.35">
      <c r="A334" s="1">
        <v>332</v>
      </c>
      <c r="B334" t="s">
        <v>75</v>
      </c>
      <c r="C334" t="s">
        <v>253</v>
      </c>
      <c r="D334" t="s">
        <v>309</v>
      </c>
      <c r="E334">
        <v>12.540518518518519</v>
      </c>
      <c r="F334">
        <v>19.751001805910111</v>
      </c>
      <c r="G334">
        <v>27</v>
      </c>
      <c r="H334" t="s">
        <v>58</v>
      </c>
      <c r="M334">
        <v>52.042522130338739</v>
      </c>
      <c r="N334">
        <v>-26.9614850933017</v>
      </c>
      <c r="O334">
        <v>79.004007223640443</v>
      </c>
      <c r="P334">
        <v>0.6349307565131207</v>
      </c>
      <c r="R334" t="str">
        <f t="shared" si="10"/>
        <v>yes</v>
      </c>
      <c r="S334" t="str">
        <f t="shared" si="11"/>
        <v>no</v>
      </c>
    </row>
    <row r="335" spans="1:19" x14ac:dyDescent="0.35">
      <c r="A335" s="1">
        <v>333</v>
      </c>
      <c r="B335" t="s">
        <v>75</v>
      </c>
      <c r="C335" t="s">
        <v>253</v>
      </c>
      <c r="D335" t="s">
        <v>310</v>
      </c>
      <c r="E335">
        <v>0</v>
      </c>
      <c r="F335">
        <v>0</v>
      </c>
      <c r="G335">
        <v>27</v>
      </c>
      <c r="H335" t="s">
        <v>58</v>
      </c>
      <c r="M335">
        <v>0</v>
      </c>
      <c r="N335">
        <v>0</v>
      </c>
      <c r="O335">
        <v>0</v>
      </c>
      <c r="R335" t="str">
        <f t="shared" si="10"/>
        <v>yes</v>
      </c>
      <c r="S335" t="str">
        <f t="shared" si="11"/>
        <v>no</v>
      </c>
    </row>
    <row r="336" spans="1:19" x14ac:dyDescent="0.35">
      <c r="A336" s="1">
        <v>334</v>
      </c>
      <c r="B336" t="s">
        <v>75</v>
      </c>
      <c r="C336" t="s">
        <v>253</v>
      </c>
      <c r="D336" t="s">
        <v>311</v>
      </c>
      <c r="E336">
        <v>2.9957555555555562</v>
      </c>
      <c r="F336">
        <v>5.6045454517067581</v>
      </c>
      <c r="G336">
        <v>27</v>
      </c>
      <c r="H336" t="s">
        <v>58</v>
      </c>
      <c r="M336">
        <v>14.204846458969071</v>
      </c>
      <c r="N336">
        <v>-8.21333534785796</v>
      </c>
      <c r="O336">
        <v>22.418181806827029</v>
      </c>
      <c r="P336">
        <v>0.5345224838248489</v>
      </c>
      <c r="R336" t="str">
        <f t="shared" si="10"/>
        <v>yes</v>
      </c>
      <c r="S336" t="str">
        <f t="shared" si="11"/>
        <v>no</v>
      </c>
    </row>
    <row r="337" spans="1:19" x14ac:dyDescent="0.35">
      <c r="A337" s="1">
        <v>335</v>
      </c>
      <c r="B337" t="s">
        <v>75</v>
      </c>
      <c r="C337" t="s">
        <v>253</v>
      </c>
      <c r="D337" t="s">
        <v>312</v>
      </c>
      <c r="E337">
        <v>0</v>
      </c>
      <c r="F337">
        <v>0</v>
      </c>
      <c r="G337">
        <v>27</v>
      </c>
      <c r="H337" t="s">
        <v>58</v>
      </c>
      <c r="M337">
        <v>0</v>
      </c>
      <c r="N337">
        <v>0</v>
      </c>
      <c r="O337">
        <v>0</v>
      </c>
      <c r="R337" t="str">
        <f t="shared" si="10"/>
        <v>yes</v>
      </c>
      <c r="S337" t="str">
        <f t="shared" si="11"/>
        <v>no</v>
      </c>
    </row>
    <row r="338" spans="1:19" x14ac:dyDescent="0.35">
      <c r="A338" s="1">
        <v>336</v>
      </c>
      <c r="B338" t="s">
        <v>75</v>
      </c>
      <c r="C338" t="s">
        <v>253</v>
      </c>
      <c r="D338" t="s">
        <v>313</v>
      </c>
      <c r="E338">
        <v>7.8746999999999998</v>
      </c>
      <c r="F338">
        <v>14.76680814163481</v>
      </c>
      <c r="G338">
        <v>27</v>
      </c>
      <c r="H338" t="s">
        <v>58</v>
      </c>
      <c r="M338">
        <v>37.40831628326962</v>
      </c>
      <c r="N338">
        <v>-21.658916283269619</v>
      </c>
      <c r="O338">
        <v>59.067232566539239</v>
      </c>
      <c r="P338">
        <v>0.53327028593250247</v>
      </c>
      <c r="R338" t="str">
        <f t="shared" si="10"/>
        <v>yes</v>
      </c>
      <c r="S338" t="str">
        <f t="shared" si="11"/>
        <v>no</v>
      </c>
    </row>
    <row r="339" spans="1:19" x14ac:dyDescent="0.35">
      <c r="A339" s="1">
        <v>337</v>
      </c>
      <c r="B339" t="s">
        <v>75</v>
      </c>
      <c r="C339" t="s">
        <v>253</v>
      </c>
      <c r="D339" t="s">
        <v>314</v>
      </c>
      <c r="E339">
        <v>0</v>
      </c>
      <c r="F339">
        <v>0</v>
      </c>
      <c r="G339">
        <v>27</v>
      </c>
      <c r="H339" t="s">
        <v>58</v>
      </c>
      <c r="M339">
        <v>0</v>
      </c>
      <c r="N339">
        <v>0</v>
      </c>
      <c r="O339">
        <v>0</v>
      </c>
      <c r="R339" t="str">
        <f t="shared" si="10"/>
        <v>yes</v>
      </c>
      <c r="S339" t="str">
        <f t="shared" si="11"/>
        <v>no</v>
      </c>
    </row>
    <row r="340" spans="1:19" x14ac:dyDescent="0.35">
      <c r="A340" s="1">
        <v>338</v>
      </c>
      <c r="B340" t="s">
        <v>75</v>
      </c>
      <c r="C340" t="s">
        <v>253</v>
      </c>
      <c r="D340" t="s">
        <v>315</v>
      </c>
      <c r="E340">
        <v>3.994340740740741</v>
      </c>
      <c r="F340">
        <v>6.1556924987129253</v>
      </c>
      <c r="G340">
        <v>27</v>
      </c>
      <c r="H340" t="s">
        <v>58</v>
      </c>
      <c r="M340">
        <v>16.30572573816659</v>
      </c>
      <c r="N340">
        <v>-8.3170442566851097</v>
      </c>
      <c r="O340">
        <v>24.622769994851701</v>
      </c>
      <c r="P340">
        <v>0.64888568452305007</v>
      </c>
      <c r="R340" t="str">
        <f t="shared" si="10"/>
        <v>yes</v>
      </c>
      <c r="S340" t="str">
        <f t="shared" si="11"/>
        <v>no</v>
      </c>
    </row>
    <row r="341" spans="1:19" x14ac:dyDescent="0.35">
      <c r="A341" s="1">
        <v>339</v>
      </c>
      <c r="B341" t="s">
        <v>75</v>
      </c>
      <c r="C341" t="s">
        <v>253</v>
      </c>
      <c r="D341" t="s">
        <v>316</v>
      </c>
      <c r="E341">
        <v>0</v>
      </c>
      <c r="F341">
        <v>0</v>
      </c>
      <c r="G341">
        <v>27</v>
      </c>
      <c r="H341" t="s">
        <v>58</v>
      </c>
      <c r="M341">
        <v>0</v>
      </c>
      <c r="N341">
        <v>0</v>
      </c>
      <c r="O341">
        <v>0</v>
      </c>
      <c r="R341" t="str">
        <f t="shared" si="10"/>
        <v>yes</v>
      </c>
      <c r="S341" t="str">
        <f t="shared" si="11"/>
        <v>no</v>
      </c>
    </row>
    <row r="342" spans="1:19" x14ac:dyDescent="0.35">
      <c r="A342" s="1">
        <v>340</v>
      </c>
      <c r="B342" t="s">
        <v>75</v>
      </c>
      <c r="C342" t="s">
        <v>253</v>
      </c>
      <c r="D342" t="s">
        <v>317</v>
      </c>
      <c r="E342">
        <v>10.836796296296299</v>
      </c>
      <c r="F342">
        <v>16.780344863724991</v>
      </c>
      <c r="G342">
        <v>27</v>
      </c>
      <c r="H342" t="s">
        <v>58</v>
      </c>
      <c r="M342">
        <v>44.397486023746282</v>
      </c>
      <c r="N342">
        <v>-22.72389343115368</v>
      </c>
      <c r="O342">
        <v>67.121379454899966</v>
      </c>
      <c r="P342">
        <v>0.64580295484408112</v>
      </c>
      <c r="R342" t="str">
        <f t="shared" si="10"/>
        <v>yes</v>
      </c>
      <c r="S342" t="str">
        <f t="shared" si="11"/>
        <v>no</v>
      </c>
    </row>
    <row r="343" spans="1:19" x14ac:dyDescent="0.35">
      <c r="A343" s="1">
        <v>341</v>
      </c>
      <c r="B343" t="s">
        <v>75</v>
      </c>
      <c r="C343" t="s">
        <v>253</v>
      </c>
      <c r="D343" t="s">
        <v>318</v>
      </c>
      <c r="E343">
        <v>0</v>
      </c>
      <c r="F343">
        <v>0</v>
      </c>
      <c r="G343">
        <v>27</v>
      </c>
      <c r="H343" t="s">
        <v>58</v>
      </c>
      <c r="M343">
        <v>0</v>
      </c>
      <c r="N343">
        <v>0</v>
      </c>
      <c r="O343">
        <v>0</v>
      </c>
      <c r="R343" t="str">
        <f t="shared" si="10"/>
        <v>yes</v>
      </c>
      <c r="S343" t="str">
        <f t="shared" si="11"/>
        <v>no</v>
      </c>
    </row>
    <row r="344" spans="1:19" x14ac:dyDescent="0.35">
      <c r="A344" s="1">
        <v>342</v>
      </c>
      <c r="B344" t="s">
        <v>75</v>
      </c>
      <c r="C344" t="s">
        <v>253</v>
      </c>
      <c r="D344" t="s">
        <v>319</v>
      </c>
      <c r="E344">
        <v>2.9957555555555562</v>
      </c>
      <c r="F344">
        <v>5.6045454517067581</v>
      </c>
      <c r="G344">
        <v>27</v>
      </c>
      <c r="H344" t="s">
        <v>58</v>
      </c>
      <c r="M344">
        <v>14.204846458969071</v>
      </c>
      <c r="N344">
        <v>-8.21333534785796</v>
      </c>
      <c r="O344">
        <v>22.418181806827029</v>
      </c>
      <c r="P344">
        <v>0.5345224838248489</v>
      </c>
      <c r="R344" t="str">
        <f t="shared" si="10"/>
        <v>yes</v>
      </c>
      <c r="S344" t="str">
        <f t="shared" si="11"/>
        <v>no</v>
      </c>
    </row>
    <row r="345" spans="1:19" x14ac:dyDescent="0.35">
      <c r="A345" s="1">
        <v>343</v>
      </c>
      <c r="B345" t="s">
        <v>75</v>
      </c>
      <c r="C345" t="s">
        <v>253</v>
      </c>
      <c r="D345" t="s">
        <v>320</v>
      </c>
      <c r="E345">
        <v>0</v>
      </c>
      <c r="F345">
        <v>0</v>
      </c>
      <c r="G345">
        <v>27</v>
      </c>
      <c r="H345" t="s">
        <v>58</v>
      </c>
      <c r="M345">
        <v>0</v>
      </c>
      <c r="N345">
        <v>0</v>
      </c>
      <c r="O345">
        <v>0</v>
      </c>
      <c r="R345" t="str">
        <f t="shared" si="10"/>
        <v>yes</v>
      </c>
      <c r="S345" t="str">
        <f t="shared" si="11"/>
        <v>no</v>
      </c>
    </row>
    <row r="346" spans="1:19" x14ac:dyDescent="0.35">
      <c r="A346" s="1">
        <v>344</v>
      </c>
      <c r="B346" t="s">
        <v>75</v>
      </c>
      <c r="C346" t="s">
        <v>253</v>
      </c>
      <c r="D346" t="s">
        <v>321</v>
      </c>
      <c r="E346">
        <v>9.3832037037037033</v>
      </c>
      <c r="F346">
        <v>17.692091006110751</v>
      </c>
      <c r="G346">
        <v>27</v>
      </c>
      <c r="H346" t="s">
        <v>58</v>
      </c>
      <c r="M346">
        <v>44.767385715925201</v>
      </c>
      <c r="N346">
        <v>-26.000978308517801</v>
      </c>
      <c r="O346">
        <v>70.768364024443002</v>
      </c>
      <c r="P346">
        <v>0.53036148754055112</v>
      </c>
      <c r="R346" t="str">
        <f t="shared" si="10"/>
        <v>yes</v>
      </c>
      <c r="S346" t="str">
        <f t="shared" si="11"/>
        <v>no</v>
      </c>
    </row>
    <row r="347" spans="1:19" x14ac:dyDescent="0.35">
      <c r="A347" s="1">
        <v>345</v>
      </c>
      <c r="B347" t="s">
        <v>75</v>
      </c>
      <c r="C347" t="s">
        <v>253</v>
      </c>
      <c r="D347" t="s">
        <v>322</v>
      </c>
      <c r="E347">
        <v>0</v>
      </c>
      <c r="F347">
        <v>0</v>
      </c>
      <c r="G347">
        <v>27</v>
      </c>
      <c r="H347" t="s">
        <v>58</v>
      </c>
      <c r="M347">
        <v>0</v>
      </c>
      <c r="N347">
        <v>0</v>
      </c>
      <c r="O347">
        <v>0</v>
      </c>
      <c r="R347" t="str">
        <f t="shared" si="10"/>
        <v>yes</v>
      </c>
      <c r="S347" t="str">
        <f t="shared" si="11"/>
        <v>no</v>
      </c>
    </row>
    <row r="348" spans="1:19" x14ac:dyDescent="0.35">
      <c r="A348" s="1">
        <v>346</v>
      </c>
      <c r="B348" t="s">
        <v>75</v>
      </c>
      <c r="C348" t="s">
        <v>253</v>
      </c>
      <c r="D348" t="s">
        <v>323</v>
      </c>
      <c r="E348">
        <v>3.994340740740741</v>
      </c>
      <c r="F348">
        <v>6.1556924987129253</v>
      </c>
      <c r="G348">
        <v>27</v>
      </c>
      <c r="H348" t="s">
        <v>58</v>
      </c>
      <c r="M348">
        <v>16.30572573816659</v>
      </c>
      <c r="N348">
        <v>-8.3170442566851097</v>
      </c>
      <c r="O348">
        <v>24.622769994851701</v>
      </c>
      <c r="P348">
        <v>0.64888568452305007</v>
      </c>
      <c r="R348" t="str">
        <f t="shared" si="10"/>
        <v>yes</v>
      </c>
      <c r="S348" t="str">
        <f t="shared" si="11"/>
        <v>no</v>
      </c>
    </row>
    <row r="349" spans="1:19" x14ac:dyDescent="0.35">
      <c r="A349" s="1">
        <v>347</v>
      </c>
      <c r="B349" t="s">
        <v>75</v>
      </c>
      <c r="C349" t="s">
        <v>253</v>
      </c>
      <c r="D349" t="s">
        <v>324</v>
      </c>
      <c r="E349">
        <v>0</v>
      </c>
      <c r="F349">
        <v>0</v>
      </c>
      <c r="G349">
        <v>27</v>
      </c>
      <c r="H349" t="s">
        <v>58</v>
      </c>
      <c r="M349">
        <v>0</v>
      </c>
      <c r="N349">
        <v>0</v>
      </c>
      <c r="O349">
        <v>0</v>
      </c>
      <c r="R349" t="str">
        <f t="shared" si="10"/>
        <v>yes</v>
      </c>
      <c r="S349" t="str">
        <f t="shared" si="11"/>
        <v>no</v>
      </c>
    </row>
    <row r="350" spans="1:19" x14ac:dyDescent="0.35">
      <c r="A350" s="1">
        <v>348</v>
      </c>
      <c r="B350" t="s">
        <v>75</v>
      </c>
      <c r="C350" t="s">
        <v>253</v>
      </c>
      <c r="D350" t="s">
        <v>325</v>
      </c>
      <c r="E350">
        <v>10.67706666666667</v>
      </c>
      <c r="F350">
        <v>16.53681990443906</v>
      </c>
      <c r="G350">
        <v>27</v>
      </c>
      <c r="H350" t="s">
        <v>58</v>
      </c>
      <c r="M350">
        <v>43.750706475544789</v>
      </c>
      <c r="N350">
        <v>-22.396573142211452</v>
      </c>
      <c r="O350">
        <v>66.14727961775624</v>
      </c>
      <c r="P350">
        <v>0.64565416617983318</v>
      </c>
      <c r="R350" t="str">
        <f t="shared" si="10"/>
        <v>yes</v>
      </c>
      <c r="S350" t="str">
        <f t="shared" si="11"/>
        <v>no</v>
      </c>
    </row>
    <row r="351" spans="1:19" x14ac:dyDescent="0.35">
      <c r="A351" s="1">
        <v>349</v>
      </c>
      <c r="B351" t="s">
        <v>75</v>
      </c>
      <c r="C351" t="s">
        <v>253</v>
      </c>
      <c r="D351" t="s">
        <v>326</v>
      </c>
      <c r="E351">
        <v>32.398551851851849</v>
      </c>
      <c r="F351">
        <v>67.997800796868717</v>
      </c>
      <c r="G351">
        <v>27</v>
      </c>
      <c r="H351" t="s">
        <v>58</v>
      </c>
      <c r="M351">
        <v>168.3941534455893</v>
      </c>
      <c r="N351">
        <v>-103.5970497418856</v>
      </c>
      <c r="O351">
        <v>271.99120318747492</v>
      </c>
      <c r="P351">
        <v>0.4764647013899278</v>
      </c>
      <c r="R351" t="str">
        <f t="shared" si="10"/>
        <v>yes</v>
      </c>
      <c r="S351" t="str">
        <f t="shared" si="11"/>
        <v>no</v>
      </c>
    </row>
    <row r="352" spans="1:19" x14ac:dyDescent="0.35">
      <c r="A352" s="1">
        <v>350</v>
      </c>
      <c r="B352" t="s">
        <v>75</v>
      </c>
      <c r="C352" t="s">
        <v>253</v>
      </c>
      <c r="D352" t="s">
        <v>327</v>
      </c>
      <c r="E352">
        <v>0</v>
      </c>
      <c r="F352">
        <v>0</v>
      </c>
      <c r="G352">
        <v>27</v>
      </c>
      <c r="H352" t="s">
        <v>58</v>
      </c>
      <c r="M352">
        <v>0</v>
      </c>
      <c r="N352">
        <v>0</v>
      </c>
      <c r="O352">
        <v>0</v>
      </c>
      <c r="R352" t="str">
        <f t="shared" si="10"/>
        <v>yes</v>
      </c>
      <c r="S352" t="str">
        <f t="shared" si="11"/>
        <v>no</v>
      </c>
    </row>
    <row r="353" spans="1:19" x14ac:dyDescent="0.35">
      <c r="A353" s="1">
        <v>351</v>
      </c>
      <c r="B353" t="s">
        <v>75</v>
      </c>
      <c r="C353" t="s">
        <v>253</v>
      </c>
      <c r="D353" t="s">
        <v>328</v>
      </c>
      <c r="E353">
        <v>0</v>
      </c>
      <c r="F353">
        <v>0</v>
      </c>
      <c r="G353">
        <v>27</v>
      </c>
      <c r="H353" t="s">
        <v>58</v>
      </c>
      <c r="M353">
        <v>0</v>
      </c>
      <c r="N353">
        <v>0</v>
      </c>
      <c r="O353">
        <v>0</v>
      </c>
      <c r="R353" t="str">
        <f t="shared" si="10"/>
        <v>yes</v>
      </c>
      <c r="S353" t="str">
        <f t="shared" si="11"/>
        <v>no</v>
      </c>
    </row>
    <row r="354" spans="1:19" x14ac:dyDescent="0.35">
      <c r="A354" s="1">
        <v>352</v>
      </c>
      <c r="B354" t="s">
        <v>75</v>
      </c>
      <c r="C354" t="s">
        <v>253</v>
      </c>
      <c r="D354" t="s">
        <v>329</v>
      </c>
      <c r="E354">
        <v>6.9704296296296304</v>
      </c>
      <c r="F354">
        <v>14.693586156168671</v>
      </c>
      <c r="G354">
        <v>27</v>
      </c>
      <c r="H354" t="s">
        <v>58</v>
      </c>
      <c r="M354">
        <v>36.357601941966969</v>
      </c>
      <c r="N354">
        <v>-22.41674268270771</v>
      </c>
      <c r="O354">
        <v>58.774344624674683</v>
      </c>
      <c r="P354">
        <v>0.47438586846978131</v>
      </c>
      <c r="R354" t="str">
        <f t="shared" si="10"/>
        <v>yes</v>
      </c>
      <c r="S354" t="str">
        <f t="shared" si="11"/>
        <v>no</v>
      </c>
    </row>
    <row r="355" spans="1:19" x14ac:dyDescent="0.35">
      <c r="A355" s="1">
        <v>353</v>
      </c>
      <c r="B355" t="s">
        <v>75</v>
      </c>
      <c r="C355" t="s">
        <v>253</v>
      </c>
      <c r="D355" t="s">
        <v>330</v>
      </c>
      <c r="E355">
        <v>27.735825925925919</v>
      </c>
      <c r="F355">
        <v>60.238440876124628</v>
      </c>
      <c r="G355">
        <v>27</v>
      </c>
      <c r="H355" t="s">
        <v>58</v>
      </c>
      <c r="M355">
        <v>148.21270767817521</v>
      </c>
      <c r="N355">
        <v>-92.741055826323333</v>
      </c>
      <c r="O355">
        <v>240.95376350449851</v>
      </c>
      <c r="P355">
        <v>0.46043399401658408</v>
      </c>
      <c r="R355" t="str">
        <f t="shared" si="10"/>
        <v>yes</v>
      </c>
      <c r="S355" t="str">
        <f t="shared" si="11"/>
        <v>no</v>
      </c>
    </row>
    <row r="356" spans="1:19" x14ac:dyDescent="0.35">
      <c r="A356" s="1">
        <v>354</v>
      </c>
      <c r="B356" t="s">
        <v>75</v>
      </c>
      <c r="C356" t="s">
        <v>253</v>
      </c>
      <c r="D356" t="s">
        <v>331</v>
      </c>
      <c r="E356">
        <v>0</v>
      </c>
      <c r="F356">
        <v>0</v>
      </c>
      <c r="G356">
        <v>27</v>
      </c>
      <c r="H356" t="s">
        <v>58</v>
      </c>
      <c r="M356">
        <v>0</v>
      </c>
      <c r="N356">
        <v>0</v>
      </c>
      <c r="O356">
        <v>0</v>
      </c>
      <c r="R356" t="str">
        <f t="shared" si="10"/>
        <v>yes</v>
      </c>
      <c r="S356" t="str">
        <f t="shared" si="11"/>
        <v>no</v>
      </c>
    </row>
    <row r="357" spans="1:19" x14ac:dyDescent="0.35">
      <c r="A357" s="1">
        <v>355</v>
      </c>
      <c r="B357" t="s">
        <v>75</v>
      </c>
      <c r="C357" t="s">
        <v>253</v>
      </c>
      <c r="D357" t="s">
        <v>332</v>
      </c>
      <c r="E357">
        <v>0</v>
      </c>
      <c r="F357">
        <v>0</v>
      </c>
      <c r="G357">
        <v>27</v>
      </c>
      <c r="H357" t="s">
        <v>58</v>
      </c>
      <c r="M357">
        <v>0</v>
      </c>
      <c r="N357">
        <v>0</v>
      </c>
      <c r="O357">
        <v>0</v>
      </c>
      <c r="R357" t="str">
        <f t="shared" si="10"/>
        <v>yes</v>
      </c>
      <c r="S357" t="str">
        <f t="shared" si="11"/>
        <v>no</v>
      </c>
    </row>
    <row r="358" spans="1:19" x14ac:dyDescent="0.35">
      <c r="A358" s="1">
        <v>356</v>
      </c>
      <c r="B358" t="s">
        <v>75</v>
      </c>
      <c r="C358" t="s">
        <v>253</v>
      </c>
      <c r="D358" t="s">
        <v>333</v>
      </c>
      <c r="E358">
        <v>6.1185740740740746</v>
      </c>
      <c r="F358">
        <v>12.84899834570175</v>
      </c>
      <c r="G358">
        <v>27</v>
      </c>
      <c r="H358" t="s">
        <v>58</v>
      </c>
      <c r="M358">
        <v>31.816570765477579</v>
      </c>
      <c r="N358">
        <v>-19.579422617329421</v>
      </c>
      <c r="O358">
        <v>51.395993382806999</v>
      </c>
      <c r="P358">
        <v>0.47619074339136019</v>
      </c>
      <c r="R358" t="str">
        <f t="shared" si="10"/>
        <v>yes</v>
      </c>
      <c r="S358" t="str">
        <f t="shared" si="11"/>
        <v>no</v>
      </c>
    </row>
    <row r="359" spans="1:19" x14ac:dyDescent="0.35">
      <c r="A359" s="1">
        <v>357</v>
      </c>
      <c r="B359" t="s">
        <v>75</v>
      </c>
      <c r="C359" t="s">
        <v>253</v>
      </c>
      <c r="D359" t="s">
        <v>334</v>
      </c>
      <c r="E359">
        <v>33.198244444444441</v>
      </c>
      <c r="F359">
        <v>69.640748834164668</v>
      </c>
      <c r="G359">
        <v>27</v>
      </c>
      <c r="H359" t="s">
        <v>58</v>
      </c>
      <c r="M359">
        <v>172.47974211277381</v>
      </c>
      <c r="N359">
        <v>-106.0832532238849</v>
      </c>
      <c r="O359">
        <v>278.56299533665867</v>
      </c>
      <c r="P359">
        <v>0.47670717216868719</v>
      </c>
      <c r="R359" t="str">
        <f t="shared" si="10"/>
        <v>yes</v>
      </c>
      <c r="S359" t="str">
        <f t="shared" si="11"/>
        <v>no</v>
      </c>
    </row>
    <row r="360" spans="1:19" x14ac:dyDescent="0.35">
      <c r="A360" s="1">
        <v>358</v>
      </c>
      <c r="B360" t="s">
        <v>75</v>
      </c>
      <c r="C360" t="s">
        <v>253</v>
      </c>
      <c r="D360" t="s">
        <v>335</v>
      </c>
      <c r="E360">
        <v>0</v>
      </c>
      <c r="F360">
        <v>0</v>
      </c>
      <c r="G360">
        <v>27</v>
      </c>
      <c r="H360" t="s">
        <v>58</v>
      </c>
      <c r="M360">
        <v>0</v>
      </c>
      <c r="N360">
        <v>0</v>
      </c>
      <c r="O360">
        <v>0</v>
      </c>
      <c r="R360" t="str">
        <f t="shared" si="10"/>
        <v>yes</v>
      </c>
      <c r="S360" t="str">
        <f t="shared" si="11"/>
        <v>no</v>
      </c>
    </row>
    <row r="361" spans="1:19" x14ac:dyDescent="0.35">
      <c r="A361" s="1">
        <v>359</v>
      </c>
      <c r="B361" t="s">
        <v>75</v>
      </c>
      <c r="C361" t="s">
        <v>253</v>
      </c>
      <c r="D361" t="s">
        <v>336</v>
      </c>
      <c r="E361">
        <v>0</v>
      </c>
      <c r="F361">
        <v>0</v>
      </c>
      <c r="G361">
        <v>27</v>
      </c>
      <c r="H361" t="s">
        <v>58</v>
      </c>
      <c r="M361">
        <v>0</v>
      </c>
      <c r="N361">
        <v>0</v>
      </c>
      <c r="O361">
        <v>0</v>
      </c>
      <c r="R361" t="str">
        <f t="shared" si="10"/>
        <v>yes</v>
      </c>
      <c r="S361" t="str">
        <f t="shared" si="11"/>
        <v>no</v>
      </c>
    </row>
    <row r="362" spans="1:19" x14ac:dyDescent="0.35">
      <c r="A362" s="1">
        <v>360</v>
      </c>
      <c r="B362" t="s">
        <v>75</v>
      </c>
      <c r="C362" t="s">
        <v>253</v>
      </c>
      <c r="D362" t="s">
        <v>337</v>
      </c>
      <c r="E362">
        <v>6.1008296296296303</v>
      </c>
      <c r="F362">
        <v>12.819383859083461</v>
      </c>
      <c r="G362">
        <v>27</v>
      </c>
      <c r="H362" t="s">
        <v>58</v>
      </c>
      <c r="M362">
        <v>31.739597347796551</v>
      </c>
      <c r="N362">
        <v>-19.537938088537292</v>
      </c>
      <c r="O362">
        <v>51.277535436333842</v>
      </c>
      <c r="P362">
        <v>0.47590661896802089</v>
      </c>
      <c r="R362" t="str">
        <f t="shared" si="10"/>
        <v>yes</v>
      </c>
      <c r="S362" t="str">
        <f t="shared" si="11"/>
        <v>no</v>
      </c>
    </row>
    <row r="363" spans="1:19" x14ac:dyDescent="0.35">
      <c r="A363" s="1">
        <v>361</v>
      </c>
      <c r="B363" t="s">
        <v>75</v>
      </c>
      <c r="C363" t="s">
        <v>253</v>
      </c>
      <c r="D363" t="s">
        <v>338</v>
      </c>
      <c r="E363">
        <v>26.99681851851852</v>
      </c>
      <c r="F363">
        <v>59.444755163354287</v>
      </c>
      <c r="G363">
        <v>27</v>
      </c>
      <c r="H363" t="s">
        <v>58</v>
      </c>
      <c r="M363">
        <v>145.8863288452271</v>
      </c>
      <c r="N363">
        <v>-91.892691808190051</v>
      </c>
      <c r="O363">
        <v>237.77902065341709</v>
      </c>
      <c r="P363">
        <v>0.45414971336548049</v>
      </c>
      <c r="R363" t="str">
        <f t="shared" si="10"/>
        <v>yes</v>
      </c>
      <c r="S363" t="str">
        <f t="shared" si="11"/>
        <v>no</v>
      </c>
    </row>
    <row r="364" spans="1:19" x14ac:dyDescent="0.35">
      <c r="A364" s="1">
        <v>362</v>
      </c>
      <c r="B364" t="s">
        <v>75</v>
      </c>
      <c r="C364" t="s">
        <v>253</v>
      </c>
      <c r="D364" t="s">
        <v>339</v>
      </c>
      <c r="E364">
        <v>0</v>
      </c>
      <c r="F364">
        <v>0</v>
      </c>
      <c r="G364">
        <v>27</v>
      </c>
      <c r="H364" t="s">
        <v>58</v>
      </c>
      <c r="M364">
        <v>0</v>
      </c>
      <c r="N364">
        <v>0</v>
      </c>
      <c r="O364">
        <v>0</v>
      </c>
      <c r="R364" t="str">
        <f t="shared" si="10"/>
        <v>yes</v>
      </c>
      <c r="S364" t="str">
        <f t="shared" si="11"/>
        <v>no</v>
      </c>
    </row>
    <row r="365" spans="1:19" x14ac:dyDescent="0.35">
      <c r="A365" s="1">
        <v>363</v>
      </c>
      <c r="B365" t="s">
        <v>75</v>
      </c>
      <c r="C365" t="s">
        <v>253</v>
      </c>
      <c r="D365" t="s">
        <v>340</v>
      </c>
      <c r="E365">
        <v>0</v>
      </c>
      <c r="F365">
        <v>0</v>
      </c>
      <c r="G365">
        <v>27</v>
      </c>
      <c r="H365" t="s">
        <v>58</v>
      </c>
      <c r="M365">
        <v>0</v>
      </c>
      <c r="N365">
        <v>0</v>
      </c>
      <c r="O365">
        <v>0</v>
      </c>
      <c r="R365" t="str">
        <f t="shared" si="10"/>
        <v>yes</v>
      </c>
      <c r="S365" t="str">
        <f t="shared" si="11"/>
        <v>no</v>
      </c>
    </row>
    <row r="366" spans="1:19" x14ac:dyDescent="0.35">
      <c r="A366" s="1">
        <v>364</v>
      </c>
      <c r="B366" t="s">
        <v>75</v>
      </c>
      <c r="C366" t="s">
        <v>253</v>
      </c>
      <c r="D366" t="s">
        <v>341</v>
      </c>
      <c r="E366">
        <v>6.9704333333333333</v>
      </c>
      <c r="F366">
        <v>14.6825949390073</v>
      </c>
      <c r="G366">
        <v>27</v>
      </c>
      <c r="H366" t="s">
        <v>58</v>
      </c>
      <c r="M366">
        <v>36.335623211347936</v>
      </c>
      <c r="N366">
        <v>-22.394756544681272</v>
      </c>
      <c r="O366">
        <v>58.730379756029208</v>
      </c>
      <c r="P366">
        <v>0.47474124037944809</v>
      </c>
      <c r="R366" t="str">
        <f t="shared" si="10"/>
        <v>yes</v>
      </c>
      <c r="S366" t="str">
        <f t="shared" si="11"/>
        <v>no</v>
      </c>
    </row>
    <row r="367" spans="1:19" x14ac:dyDescent="0.35">
      <c r="A367" s="1">
        <v>365</v>
      </c>
      <c r="B367" t="s">
        <v>75</v>
      </c>
      <c r="C367" t="s">
        <v>253</v>
      </c>
      <c r="D367" t="s">
        <v>342</v>
      </c>
      <c r="E367">
        <v>31.557803703703701</v>
      </c>
      <c r="F367">
        <v>66.394303018777507</v>
      </c>
      <c r="G367">
        <v>27</v>
      </c>
      <c r="H367" t="s">
        <v>58</v>
      </c>
      <c r="M367">
        <v>164.3464097412587</v>
      </c>
      <c r="N367">
        <v>-101.2308023338513</v>
      </c>
      <c r="O367">
        <v>265.57721207511003</v>
      </c>
      <c r="P367">
        <v>0.4753089085787765</v>
      </c>
      <c r="R367" t="str">
        <f t="shared" si="10"/>
        <v>yes</v>
      </c>
      <c r="S367" t="str">
        <f t="shared" si="11"/>
        <v>no</v>
      </c>
    </row>
    <row r="368" spans="1:19" x14ac:dyDescent="0.35">
      <c r="A368" s="1">
        <v>366</v>
      </c>
      <c r="B368" t="s">
        <v>75</v>
      </c>
      <c r="C368" t="s">
        <v>253</v>
      </c>
      <c r="D368" t="s">
        <v>343</v>
      </c>
      <c r="E368">
        <v>0</v>
      </c>
      <c r="F368">
        <v>0</v>
      </c>
      <c r="G368">
        <v>27</v>
      </c>
      <c r="H368" t="s">
        <v>58</v>
      </c>
      <c r="M368">
        <v>0</v>
      </c>
      <c r="N368">
        <v>0</v>
      </c>
      <c r="O368">
        <v>0</v>
      </c>
      <c r="R368" t="str">
        <f t="shared" si="10"/>
        <v>yes</v>
      </c>
      <c r="S368" t="str">
        <f t="shared" si="11"/>
        <v>no</v>
      </c>
    </row>
    <row r="369" spans="1:19" x14ac:dyDescent="0.35">
      <c r="A369" s="1">
        <v>367</v>
      </c>
      <c r="B369" t="s">
        <v>75</v>
      </c>
      <c r="C369" t="s">
        <v>253</v>
      </c>
      <c r="D369" t="s">
        <v>344</v>
      </c>
      <c r="E369">
        <v>0</v>
      </c>
      <c r="F369">
        <v>0</v>
      </c>
      <c r="G369">
        <v>27</v>
      </c>
      <c r="H369" t="s">
        <v>58</v>
      </c>
      <c r="M369">
        <v>0</v>
      </c>
      <c r="N369">
        <v>0</v>
      </c>
      <c r="O369">
        <v>0</v>
      </c>
      <c r="R369" t="str">
        <f t="shared" si="10"/>
        <v>yes</v>
      </c>
      <c r="S369" t="str">
        <f t="shared" si="11"/>
        <v>no</v>
      </c>
    </row>
    <row r="370" spans="1:19" x14ac:dyDescent="0.35">
      <c r="A370" s="1">
        <v>368</v>
      </c>
      <c r="B370" t="s">
        <v>75</v>
      </c>
      <c r="C370" t="s">
        <v>253</v>
      </c>
      <c r="D370" t="s">
        <v>345</v>
      </c>
      <c r="E370">
        <v>7.4496074074074068</v>
      </c>
      <c r="F370">
        <v>15.68563510594908</v>
      </c>
      <c r="G370">
        <v>27</v>
      </c>
      <c r="H370" t="s">
        <v>58</v>
      </c>
      <c r="M370">
        <v>38.82087761930557</v>
      </c>
      <c r="N370">
        <v>-23.921662804490751</v>
      </c>
      <c r="O370">
        <v>62.742540423796328</v>
      </c>
      <c r="P370">
        <v>0.47493183139151313</v>
      </c>
      <c r="R370" t="str">
        <f t="shared" si="10"/>
        <v>yes</v>
      </c>
      <c r="S370" t="str">
        <f t="shared" si="11"/>
        <v>no</v>
      </c>
    </row>
    <row r="371" spans="1:19" x14ac:dyDescent="0.35">
      <c r="A371" s="1">
        <v>369</v>
      </c>
      <c r="B371" t="s">
        <v>75</v>
      </c>
      <c r="C371" t="s">
        <v>253</v>
      </c>
      <c r="D371" t="s">
        <v>346</v>
      </c>
      <c r="E371">
        <v>26.309255555555559</v>
      </c>
      <c r="F371">
        <v>58.711124888845212</v>
      </c>
      <c r="G371">
        <v>27</v>
      </c>
      <c r="H371" t="s">
        <v>58</v>
      </c>
      <c r="M371">
        <v>143.73150533324599</v>
      </c>
      <c r="N371">
        <v>-91.112994222134859</v>
      </c>
      <c r="O371">
        <v>234.84449955538079</v>
      </c>
      <c r="P371">
        <v>0.44811363443241009</v>
      </c>
      <c r="R371" t="str">
        <f t="shared" si="10"/>
        <v>yes</v>
      </c>
      <c r="S371" t="str">
        <f t="shared" si="11"/>
        <v>no</v>
      </c>
    </row>
    <row r="372" spans="1:19" x14ac:dyDescent="0.35">
      <c r="A372" s="1">
        <v>370</v>
      </c>
      <c r="B372" t="s">
        <v>75</v>
      </c>
      <c r="C372" t="s">
        <v>253</v>
      </c>
      <c r="D372" t="s">
        <v>347</v>
      </c>
      <c r="E372">
        <v>0</v>
      </c>
      <c r="F372">
        <v>0</v>
      </c>
      <c r="G372">
        <v>27</v>
      </c>
      <c r="H372" t="s">
        <v>58</v>
      </c>
      <c r="M372">
        <v>0</v>
      </c>
      <c r="N372">
        <v>0</v>
      </c>
      <c r="O372">
        <v>0</v>
      </c>
      <c r="R372" t="str">
        <f t="shared" si="10"/>
        <v>yes</v>
      </c>
      <c r="S372" t="str">
        <f t="shared" si="11"/>
        <v>no</v>
      </c>
    </row>
    <row r="373" spans="1:19" x14ac:dyDescent="0.35">
      <c r="A373" s="1">
        <v>371</v>
      </c>
      <c r="B373" t="s">
        <v>75</v>
      </c>
      <c r="C373" t="s">
        <v>253</v>
      </c>
      <c r="D373" t="s">
        <v>348</v>
      </c>
      <c r="E373">
        <v>0</v>
      </c>
      <c r="F373">
        <v>0</v>
      </c>
      <c r="G373">
        <v>27</v>
      </c>
      <c r="H373" t="s">
        <v>58</v>
      </c>
      <c r="M373">
        <v>0</v>
      </c>
      <c r="N373">
        <v>0</v>
      </c>
      <c r="O373">
        <v>0</v>
      </c>
      <c r="R373" t="str">
        <f t="shared" si="10"/>
        <v>yes</v>
      </c>
      <c r="S373" t="str">
        <f t="shared" si="11"/>
        <v>no</v>
      </c>
    </row>
    <row r="374" spans="1:19" x14ac:dyDescent="0.35">
      <c r="A374" s="1">
        <v>372</v>
      </c>
      <c r="B374" t="s">
        <v>75</v>
      </c>
      <c r="C374" t="s">
        <v>253</v>
      </c>
      <c r="D374" t="s">
        <v>349</v>
      </c>
      <c r="E374">
        <v>5.8346111111111103</v>
      </c>
      <c r="F374">
        <v>12.248784813448751</v>
      </c>
      <c r="G374">
        <v>27</v>
      </c>
      <c r="H374" t="s">
        <v>58</v>
      </c>
      <c r="M374">
        <v>30.33218073800861</v>
      </c>
      <c r="N374">
        <v>-18.662958515786389</v>
      </c>
      <c r="O374">
        <v>48.995139253795003</v>
      </c>
      <c r="P374">
        <v>0.47634203718763229</v>
      </c>
      <c r="R374" t="str">
        <f t="shared" si="10"/>
        <v>yes</v>
      </c>
      <c r="S374" t="str">
        <f t="shared" si="11"/>
        <v>no</v>
      </c>
    </row>
    <row r="375" spans="1:19" x14ac:dyDescent="0.35">
      <c r="A375" s="1">
        <v>373</v>
      </c>
      <c r="B375" t="s">
        <v>75</v>
      </c>
      <c r="C375" t="s">
        <v>253</v>
      </c>
      <c r="D375" t="s">
        <v>350</v>
      </c>
      <c r="E375">
        <v>0</v>
      </c>
      <c r="F375">
        <v>0</v>
      </c>
      <c r="G375">
        <v>27</v>
      </c>
      <c r="H375" t="s">
        <v>58</v>
      </c>
      <c r="M375">
        <v>0</v>
      </c>
      <c r="N375">
        <v>0</v>
      </c>
      <c r="O375">
        <v>0</v>
      </c>
      <c r="R375" t="str">
        <f t="shared" si="10"/>
        <v>yes</v>
      </c>
      <c r="S375" t="str">
        <f t="shared" si="11"/>
        <v>no</v>
      </c>
    </row>
    <row r="376" spans="1:19" x14ac:dyDescent="0.35">
      <c r="A376" s="1">
        <v>374</v>
      </c>
      <c r="B376" t="s">
        <v>75</v>
      </c>
      <c r="C376" t="s">
        <v>253</v>
      </c>
      <c r="D376" t="s">
        <v>351</v>
      </c>
      <c r="E376">
        <v>2.9957555555555562</v>
      </c>
      <c r="F376">
        <v>5.6045454517067581</v>
      </c>
      <c r="G376">
        <v>27</v>
      </c>
      <c r="H376" t="s">
        <v>58</v>
      </c>
      <c r="M376">
        <v>14.204846458969071</v>
      </c>
      <c r="N376">
        <v>-8.21333534785796</v>
      </c>
      <c r="O376">
        <v>22.418181806827029</v>
      </c>
      <c r="P376">
        <v>0.5345224838248489</v>
      </c>
      <c r="R376" t="str">
        <f t="shared" si="10"/>
        <v>yes</v>
      </c>
      <c r="S376" t="str">
        <f t="shared" si="11"/>
        <v>no</v>
      </c>
    </row>
    <row r="377" spans="1:19" x14ac:dyDescent="0.35">
      <c r="A377" s="1">
        <v>375</v>
      </c>
      <c r="B377" t="s">
        <v>75</v>
      </c>
      <c r="C377" t="s">
        <v>253</v>
      </c>
      <c r="D377" t="s">
        <v>352</v>
      </c>
      <c r="E377">
        <v>0</v>
      </c>
      <c r="F377">
        <v>0</v>
      </c>
      <c r="G377">
        <v>27</v>
      </c>
      <c r="H377" t="s">
        <v>58</v>
      </c>
      <c r="M377">
        <v>0</v>
      </c>
      <c r="N377">
        <v>0</v>
      </c>
      <c r="O377">
        <v>0</v>
      </c>
      <c r="R377" t="str">
        <f t="shared" si="10"/>
        <v>yes</v>
      </c>
      <c r="S377" t="str">
        <f t="shared" si="11"/>
        <v>no</v>
      </c>
    </row>
    <row r="378" spans="1:19" x14ac:dyDescent="0.35">
      <c r="A378" s="1">
        <v>376</v>
      </c>
      <c r="B378" t="s">
        <v>75</v>
      </c>
      <c r="C378" t="s">
        <v>253</v>
      </c>
      <c r="D378" t="s">
        <v>353</v>
      </c>
      <c r="E378">
        <v>9.1524925925925924</v>
      </c>
      <c r="F378">
        <v>17.219319130384321</v>
      </c>
      <c r="G378">
        <v>27</v>
      </c>
      <c r="H378" t="s">
        <v>58</v>
      </c>
      <c r="M378">
        <v>43.591130853361243</v>
      </c>
      <c r="N378">
        <v>-25.286145668176051</v>
      </c>
      <c r="O378">
        <v>68.877276521537283</v>
      </c>
      <c r="P378">
        <v>0.53152465107883251</v>
      </c>
      <c r="R378" t="str">
        <f t="shared" si="10"/>
        <v>yes</v>
      </c>
      <c r="S378" t="str">
        <f t="shared" si="11"/>
        <v>no</v>
      </c>
    </row>
    <row r="379" spans="1:19" x14ac:dyDescent="0.35">
      <c r="A379" s="1">
        <v>377</v>
      </c>
      <c r="B379" t="s">
        <v>75</v>
      </c>
      <c r="C379" t="s">
        <v>253</v>
      </c>
      <c r="D379" t="s">
        <v>354</v>
      </c>
      <c r="E379">
        <v>0</v>
      </c>
      <c r="F379">
        <v>0</v>
      </c>
      <c r="G379">
        <v>27</v>
      </c>
      <c r="H379" t="s">
        <v>58</v>
      </c>
      <c r="M379">
        <v>0</v>
      </c>
      <c r="N379">
        <v>0</v>
      </c>
      <c r="O379">
        <v>0</v>
      </c>
      <c r="R379" t="str">
        <f t="shared" si="10"/>
        <v>yes</v>
      </c>
      <c r="S379" t="str">
        <f t="shared" si="11"/>
        <v>no</v>
      </c>
    </row>
    <row r="380" spans="1:19" x14ac:dyDescent="0.35">
      <c r="A380" s="1">
        <v>378</v>
      </c>
      <c r="B380" t="s">
        <v>75</v>
      </c>
      <c r="C380" t="s">
        <v>253</v>
      </c>
      <c r="D380" t="s">
        <v>355</v>
      </c>
      <c r="E380">
        <v>3.994340740740741</v>
      </c>
      <c r="F380">
        <v>6.1556924987129253</v>
      </c>
      <c r="G380">
        <v>27</v>
      </c>
      <c r="H380" t="s">
        <v>58</v>
      </c>
      <c r="M380">
        <v>16.30572573816659</v>
      </c>
      <c r="N380">
        <v>-8.3170442566851097</v>
      </c>
      <c r="O380">
        <v>24.622769994851701</v>
      </c>
      <c r="P380">
        <v>0.64888568452305007</v>
      </c>
      <c r="R380" t="str">
        <f t="shared" si="10"/>
        <v>yes</v>
      </c>
      <c r="S380" t="str">
        <f t="shared" si="11"/>
        <v>no</v>
      </c>
    </row>
    <row r="381" spans="1:19" x14ac:dyDescent="0.35">
      <c r="A381" s="1">
        <v>379</v>
      </c>
      <c r="B381" t="s">
        <v>75</v>
      </c>
      <c r="C381" t="s">
        <v>253</v>
      </c>
      <c r="D381" t="s">
        <v>356</v>
      </c>
      <c r="E381">
        <v>0</v>
      </c>
      <c r="F381">
        <v>0</v>
      </c>
      <c r="G381">
        <v>27</v>
      </c>
      <c r="H381" t="s">
        <v>58</v>
      </c>
      <c r="M381">
        <v>0</v>
      </c>
      <c r="N381">
        <v>0</v>
      </c>
      <c r="O381">
        <v>0</v>
      </c>
      <c r="R381" t="str">
        <f t="shared" si="10"/>
        <v>yes</v>
      </c>
      <c r="S381" t="str">
        <f t="shared" si="11"/>
        <v>no</v>
      </c>
    </row>
    <row r="382" spans="1:19" x14ac:dyDescent="0.35">
      <c r="A382" s="1">
        <v>380</v>
      </c>
      <c r="B382" t="s">
        <v>75</v>
      </c>
      <c r="C382" t="s">
        <v>253</v>
      </c>
      <c r="D382" t="s">
        <v>357</v>
      </c>
      <c r="E382">
        <v>11.56442592592593</v>
      </c>
      <c r="F382">
        <v>17.994353387219629</v>
      </c>
      <c r="G382">
        <v>27</v>
      </c>
      <c r="H382" t="s">
        <v>58</v>
      </c>
      <c r="M382">
        <v>47.55313270036519</v>
      </c>
      <c r="N382">
        <v>-24.42428084851333</v>
      </c>
      <c r="O382">
        <v>71.977413548878516</v>
      </c>
      <c r="P382">
        <v>0.64266971294114339</v>
      </c>
      <c r="R382" t="str">
        <f t="shared" si="10"/>
        <v>yes</v>
      </c>
      <c r="S382" t="str">
        <f t="shared" si="11"/>
        <v>no</v>
      </c>
    </row>
    <row r="383" spans="1:19" x14ac:dyDescent="0.35">
      <c r="A383" s="1">
        <v>381</v>
      </c>
      <c r="B383" t="s">
        <v>75</v>
      </c>
      <c r="C383" t="s">
        <v>253</v>
      </c>
      <c r="D383" t="s">
        <v>358</v>
      </c>
      <c r="E383">
        <v>0</v>
      </c>
      <c r="F383">
        <v>0</v>
      </c>
      <c r="G383">
        <v>27</v>
      </c>
      <c r="H383" t="s">
        <v>58</v>
      </c>
      <c r="M383">
        <v>0</v>
      </c>
      <c r="N383">
        <v>0</v>
      </c>
      <c r="O383">
        <v>0</v>
      </c>
      <c r="R383" t="str">
        <f t="shared" si="10"/>
        <v>yes</v>
      </c>
      <c r="S383" t="str">
        <f t="shared" si="11"/>
        <v>no</v>
      </c>
    </row>
    <row r="384" spans="1:19" x14ac:dyDescent="0.35">
      <c r="A384" s="1">
        <v>382</v>
      </c>
      <c r="B384" t="s">
        <v>75</v>
      </c>
      <c r="C384" t="s">
        <v>253</v>
      </c>
      <c r="D384" t="s">
        <v>359</v>
      </c>
      <c r="E384">
        <v>2.9957555555555562</v>
      </c>
      <c r="F384">
        <v>5.6045454517067581</v>
      </c>
      <c r="G384">
        <v>27</v>
      </c>
      <c r="H384" t="s">
        <v>58</v>
      </c>
      <c r="M384">
        <v>14.204846458969071</v>
      </c>
      <c r="N384">
        <v>-8.21333534785796</v>
      </c>
      <c r="O384">
        <v>22.418181806827029</v>
      </c>
      <c r="P384">
        <v>0.5345224838248489</v>
      </c>
      <c r="R384" t="str">
        <f t="shared" si="10"/>
        <v>yes</v>
      </c>
      <c r="S384" t="str">
        <f t="shared" si="11"/>
        <v>no</v>
      </c>
    </row>
    <row r="385" spans="1:19" x14ac:dyDescent="0.35">
      <c r="A385" s="1">
        <v>383</v>
      </c>
      <c r="B385" t="s">
        <v>75</v>
      </c>
      <c r="C385" t="s">
        <v>253</v>
      </c>
      <c r="D385" t="s">
        <v>360</v>
      </c>
      <c r="E385">
        <v>0</v>
      </c>
      <c r="F385">
        <v>0</v>
      </c>
      <c r="G385">
        <v>27</v>
      </c>
      <c r="H385" t="s">
        <v>58</v>
      </c>
      <c r="M385">
        <v>0</v>
      </c>
      <c r="N385">
        <v>0</v>
      </c>
      <c r="O385">
        <v>0</v>
      </c>
      <c r="R385" t="str">
        <f t="shared" si="10"/>
        <v>yes</v>
      </c>
      <c r="S385" t="str">
        <f t="shared" si="11"/>
        <v>no</v>
      </c>
    </row>
    <row r="386" spans="1:19" x14ac:dyDescent="0.35">
      <c r="A386" s="1">
        <v>384</v>
      </c>
      <c r="B386" t="s">
        <v>75</v>
      </c>
      <c r="C386" t="s">
        <v>253</v>
      </c>
      <c r="D386" t="s">
        <v>361</v>
      </c>
      <c r="E386">
        <v>8.9927703703703692</v>
      </c>
      <c r="F386">
        <v>17.015801167755921</v>
      </c>
      <c r="G386">
        <v>27</v>
      </c>
      <c r="H386" t="s">
        <v>58</v>
      </c>
      <c r="M386">
        <v>43.024372705882207</v>
      </c>
      <c r="N386">
        <v>-25.038831965141469</v>
      </c>
      <c r="O386">
        <v>68.063204671023684</v>
      </c>
      <c r="P386">
        <v>0.52849526635344168</v>
      </c>
      <c r="R386" t="str">
        <f t="shared" si="10"/>
        <v>yes</v>
      </c>
      <c r="S386" t="str">
        <f t="shared" si="11"/>
        <v>no</v>
      </c>
    </row>
    <row r="387" spans="1:19" x14ac:dyDescent="0.35">
      <c r="A387" s="1">
        <v>385</v>
      </c>
      <c r="B387" t="s">
        <v>75</v>
      </c>
      <c r="C387" t="s">
        <v>253</v>
      </c>
      <c r="D387" t="s">
        <v>362</v>
      </c>
      <c r="E387">
        <v>0</v>
      </c>
      <c r="F387">
        <v>0</v>
      </c>
      <c r="G387">
        <v>27</v>
      </c>
      <c r="H387" t="s">
        <v>58</v>
      </c>
      <c r="M387">
        <v>0</v>
      </c>
      <c r="N387">
        <v>0</v>
      </c>
      <c r="O387">
        <v>0</v>
      </c>
      <c r="R387" t="str">
        <f t="shared" ref="R387:R450" si="12">IF(H387="yes","yes","no")</f>
        <v>yes</v>
      </c>
      <c r="S387" t="str">
        <f t="shared" ref="S387:S450" si="13">IF(I387,"yes","no")</f>
        <v>no</v>
      </c>
    </row>
    <row r="388" spans="1:19" x14ac:dyDescent="0.35">
      <c r="A388" s="1">
        <v>386</v>
      </c>
      <c r="B388" t="s">
        <v>75</v>
      </c>
      <c r="C388" t="s">
        <v>253</v>
      </c>
      <c r="D388" t="s">
        <v>363</v>
      </c>
      <c r="E388">
        <v>3.994340740740741</v>
      </c>
      <c r="F388">
        <v>6.1556924987129253</v>
      </c>
      <c r="G388">
        <v>27</v>
      </c>
      <c r="H388" t="s">
        <v>58</v>
      </c>
      <c r="M388">
        <v>16.30572573816659</v>
      </c>
      <c r="N388">
        <v>-8.3170442566851097</v>
      </c>
      <c r="O388">
        <v>24.622769994851701</v>
      </c>
      <c r="P388">
        <v>0.64888568452305007</v>
      </c>
      <c r="R388" t="str">
        <f t="shared" si="12"/>
        <v>yes</v>
      </c>
      <c r="S388" t="str">
        <f t="shared" si="13"/>
        <v>no</v>
      </c>
    </row>
    <row r="389" spans="1:19" x14ac:dyDescent="0.35">
      <c r="A389" s="1">
        <v>387</v>
      </c>
      <c r="B389" t="s">
        <v>75</v>
      </c>
      <c r="C389" t="s">
        <v>253</v>
      </c>
      <c r="D389" t="s">
        <v>364</v>
      </c>
      <c r="E389">
        <v>0</v>
      </c>
      <c r="F389">
        <v>0</v>
      </c>
      <c r="G389">
        <v>27</v>
      </c>
      <c r="H389" t="s">
        <v>58</v>
      </c>
      <c r="M389">
        <v>0</v>
      </c>
      <c r="N389">
        <v>0</v>
      </c>
      <c r="O389">
        <v>0</v>
      </c>
      <c r="R389" t="str">
        <f t="shared" si="12"/>
        <v>yes</v>
      </c>
      <c r="S389" t="str">
        <f t="shared" si="13"/>
        <v>no</v>
      </c>
    </row>
    <row r="390" spans="1:19" x14ac:dyDescent="0.35">
      <c r="A390" s="1">
        <v>388</v>
      </c>
      <c r="B390" t="s">
        <v>75</v>
      </c>
      <c r="C390" t="s">
        <v>253</v>
      </c>
      <c r="D390" t="s">
        <v>365</v>
      </c>
      <c r="E390">
        <v>11.475688888888889</v>
      </c>
      <c r="F390">
        <v>17.77990914588155</v>
      </c>
      <c r="G390">
        <v>27</v>
      </c>
      <c r="H390" t="s">
        <v>58</v>
      </c>
      <c r="M390">
        <v>47.03550718065199</v>
      </c>
      <c r="N390">
        <v>-24.084129402874211</v>
      </c>
      <c r="O390">
        <v>71.119636583526201</v>
      </c>
      <c r="P390">
        <v>0.6454301197341642</v>
      </c>
      <c r="R390" t="str">
        <f t="shared" si="12"/>
        <v>yes</v>
      </c>
      <c r="S390" t="str">
        <f t="shared" si="13"/>
        <v>no</v>
      </c>
    </row>
    <row r="391" spans="1:19" x14ac:dyDescent="0.35">
      <c r="A391" s="1">
        <v>389</v>
      </c>
      <c r="B391" t="s">
        <v>75</v>
      </c>
      <c r="C391" t="s">
        <v>253</v>
      </c>
      <c r="D391" t="s">
        <v>366</v>
      </c>
      <c r="E391">
        <v>0</v>
      </c>
      <c r="F391">
        <v>0</v>
      </c>
      <c r="G391">
        <v>27</v>
      </c>
      <c r="H391" t="s">
        <v>58</v>
      </c>
      <c r="M391">
        <v>0</v>
      </c>
      <c r="N391">
        <v>0</v>
      </c>
      <c r="O391">
        <v>0</v>
      </c>
      <c r="R391" t="str">
        <f t="shared" si="12"/>
        <v>yes</v>
      </c>
      <c r="S391" t="str">
        <f t="shared" si="13"/>
        <v>no</v>
      </c>
    </row>
    <row r="392" spans="1:19" x14ac:dyDescent="0.35">
      <c r="A392" s="1">
        <v>390</v>
      </c>
      <c r="B392" t="s">
        <v>75</v>
      </c>
      <c r="C392" t="s">
        <v>253</v>
      </c>
      <c r="D392" t="s">
        <v>367</v>
      </c>
      <c r="E392">
        <v>2.9957555555555562</v>
      </c>
      <c r="F392">
        <v>5.6045454517067581</v>
      </c>
      <c r="G392">
        <v>27</v>
      </c>
      <c r="H392" t="s">
        <v>58</v>
      </c>
      <c r="M392">
        <v>14.204846458969071</v>
      </c>
      <c r="N392">
        <v>-8.21333534785796</v>
      </c>
      <c r="O392">
        <v>22.418181806827029</v>
      </c>
      <c r="P392">
        <v>0.5345224838248489</v>
      </c>
      <c r="R392" t="str">
        <f t="shared" si="12"/>
        <v>yes</v>
      </c>
      <c r="S392" t="str">
        <f t="shared" si="13"/>
        <v>no</v>
      </c>
    </row>
    <row r="393" spans="1:19" x14ac:dyDescent="0.35">
      <c r="A393" s="1">
        <v>391</v>
      </c>
      <c r="B393" t="s">
        <v>75</v>
      </c>
      <c r="C393" t="s">
        <v>253</v>
      </c>
      <c r="D393" t="s">
        <v>368</v>
      </c>
      <c r="E393">
        <v>0</v>
      </c>
      <c r="F393">
        <v>0</v>
      </c>
      <c r="G393">
        <v>27</v>
      </c>
      <c r="H393" t="s">
        <v>58</v>
      </c>
      <c r="M393">
        <v>0</v>
      </c>
      <c r="N393">
        <v>0</v>
      </c>
      <c r="O393">
        <v>0</v>
      </c>
      <c r="R393" t="str">
        <f t="shared" si="12"/>
        <v>yes</v>
      </c>
      <c r="S393" t="str">
        <f t="shared" si="13"/>
        <v>no</v>
      </c>
    </row>
    <row r="394" spans="1:19" x14ac:dyDescent="0.35">
      <c r="A394" s="1">
        <v>392</v>
      </c>
      <c r="B394" t="s">
        <v>75</v>
      </c>
      <c r="C394" t="s">
        <v>253</v>
      </c>
      <c r="D394" t="s">
        <v>369</v>
      </c>
      <c r="E394">
        <v>8.9927666666666664</v>
      </c>
      <c r="F394">
        <v>16.957221170650879</v>
      </c>
      <c r="G394">
        <v>27</v>
      </c>
      <c r="H394" t="s">
        <v>58</v>
      </c>
      <c r="M394">
        <v>42.907209007968433</v>
      </c>
      <c r="N394">
        <v>-24.92167567463509</v>
      </c>
      <c r="O394">
        <v>67.828884682603515</v>
      </c>
      <c r="P394">
        <v>0.53032077462262006</v>
      </c>
      <c r="R394" t="str">
        <f t="shared" si="12"/>
        <v>yes</v>
      </c>
      <c r="S394" t="str">
        <f t="shared" si="13"/>
        <v>no</v>
      </c>
    </row>
    <row r="395" spans="1:19" x14ac:dyDescent="0.35">
      <c r="A395" s="1">
        <v>393</v>
      </c>
      <c r="B395" t="s">
        <v>75</v>
      </c>
      <c r="C395" t="s">
        <v>253</v>
      </c>
      <c r="D395" t="s">
        <v>370</v>
      </c>
      <c r="E395">
        <v>0</v>
      </c>
      <c r="F395">
        <v>0</v>
      </c>
      <c r="G395">
        <v>27</v>
      </c>
      <c r="H395" t="s">
        <v>58</v>
      </c>
      <c r="M395">
        <v>0</v>
      </c>
      <c r="N395">
        <v>0</v>
      </c>
      <c r="O395">
        <v>0</v>
      </c>
      <c r="R395" t="str">
        <f t="shared" si="12"/>
        <v>yes</v>
      </c>
      <c r="S395" t="str">
        <f t="shared" si="13"/>
        <v>no</v>
      </c>
    </row>
    <row r="396" spans="1:19" x14ac:dyDescent="0.35">
      <c r="A396" s="1">
        <v>394</v>
      </c>
      <c r="B396" t="s">
        <v>75</v>
      </c>
      <c r="C396" t="s">
        <v>253</v>
      </c>
      <c r="D396" t="s">
        <v>371</v>
      </c>
      <c r="E396">
        <v>3.994340740740741</v>
      </c>
      <c r="F396">
        <v>6.1556924987129253</v>
      </c>
      <c r="G396">
        <v>27</v>
      </c>
      <c r="H396" t="s">
        <v>58</v>
      </c>
      <c r="M396">
        <v>16.30572573816659</v>
      </c>
      <c r="N396">
        <v>-8.3170442566851097</v>
      </c>
      <c r="O396">
        <v>24.622769994851701</v>
      </c>
      <c r="P396">
        <v>0.64888568452305007</v>
      </c>
      <c r="R396" t="str">
        <f t="shared" si="12"/>
        <v>yes</v>
      </c>
      <c r="S396" t="str">
        <f t="shared" si="13"/>
        <v>no</v>
      </c>
    </row>
    <row r="397" spans="1:19" x14ac:dyDescent="0.35">
      <c r="A397" s="1">
        <v>395</v>
      </c>
      <c r="B397" t="s">
        <v>75</v>
      </c>
      <c r="C397" t="s">
        <v>253</v>
      </c>
      <c r="D397" t="s">
        <v>372</v>
      </c>
      <c r="E397">
        <v>0</v>
      </c>
      <c r="F397">
        <v>0</v>
      </c>
      <c r="G397">
        <v>27</v>
      </c>
      <c r="H397" t="s">
        <v>58</v>
      </c>
      <c r="M397">
        <v>0</v>
      </c>
      <c r="N397">
        <v>0</v>
      </c>
      <c r="O397">
        <v>0</v>
      </c>
      <c r="R397" t="str">
        <f t="shared" si="12"/>
        <v>yes</v>
      </c>
      <c r="S397" t="str">
        <f t="shared" si="13"/>
        <v>no</v>
      </c>
    </row>
    <row r="398" spans="1:19" x14ac:dyDescent="0.35">
      <c r="A398" s="1">
        <v>396</v>
      </c>
      <c r="B398" t="s">
        <v>75</v>
      </c>
      <c r="C398" t="s">
        <v>253</v>
      </c>
      <c r="D398" t="s">
        <v>373</v>
      </c>
      <c r="E398">
        <v>11.42245185185185</v>
      </c>
      <c r="F398">
        <v>17.67693893394296</v>
      </c>
      <c r="G398">
        <v>27</v>
      </c>
      <c r="H398" t="s">
        <v>58</v>
      </c>
      <c r="M398">
        <v>46.776329719737767</v>
      </c>
      <c r="N398">
        <v>-23.93142601603407</v>
      </c>
      <c r="O398">
        <v>70.70775573577184</v>
      </c>
      <c r="P398">
        <v>0.64617815870363449</v>
      </c>
      <c r="R398" t="str">
        <f t="shared" si="12"/>
        <v>yes</v>
      </c>
      <c r="S398" t="str">
        <f t="shared" si="13"/>
        <v>no</v>
      </c>
    </row>
    <row r="399" spans="1:19" x14ac:dyDescent="0.35">
      <c r="A399" s="1">
        <v>397</v>
      </c>
      <c r="B399" t="s">
        <v>75</v>
      </c>
      <c r="C399" t="s">
        <v>253</v>
      </c>
      <c r="D399" t="s">
        <v>374</v>
      </c>
      <c r="E399">
        <v>33.198244444444441</v>
      </c>
      <c r="F399">
        <v>69.640748834164668</v>
      </c>
      <c r="G399">
        <v>27</v>
      </c>
      <c r="H399" t="s">
        <v>58</v>
      </c>
      <c r="M399">
        <v>172.47974211277381</v>
      </c>
      <c r="N399">
        <v>-106.0832532238849</v>
      </c>
      <c r="O399">
        <v>278.56299533665867</v>
      </c>
      <c r="P399">
        <v>0.47670717216868719</v>
      </c>
      <c r="R399" t="str">
        <f t="shared" si="12"/>
        <v>yes</v>
      </c>
      <c r="S399" t="str">
        <f t="shared" si="13"/>
        <v>no</v>
      </c>
    </row>
    <row r="400" spans="1:19" x14ac:dyDescent="0.35">
      <c r="A400" s="1">
        <v>398</v>
      </c>
      <c r="B400" t="s">
        <v>75</v>
      </c>
      <c r="C400" t="s">
        <v>253</v>
      </c>
      <c r="D400" t="s">
        <v>375</v>
      </c>
      <c r="E400">
        <v>0</v>
      </c>
      <c r="F400">
        <v>0</v>
      </c>
      <c r="G400">
        <v>27</v>
      </c>
      <c r="H400" t="s">
        <v>58</v>
      </c>
      <c r="M400">
        <v>0</v>
      </c>
      <c r="N400">
        <v>0</v>
      </c>
      <c r="O400">
        <v>0</v>
      </c>
      <c r="R400" t="str">
        <f t="shared" si="12"/>
        <v>yes</v>
      </c>
      <c r="S400" t="str">
        <f t="shared" si="13"/>
        <v>no</v>
      </c>
    </row>
    <row r="401" spans="1:19" x14ac:dyDescent="0.35">
      <c r="A401" s="1">
        <v>399</v>
      </c>
      <c r="B401" t="s">
        <v>75</v>
      </c>
      <c r="C401" t="s">
        <v>253</v>
      </c>
      <c r="D401" t="s">
        <v>376</v>
      </c>
      <c r="E401">
        <v>0</v>
      </c>
      <c r="F401">
        <v>0</v>
      </c>
      <c r="G401">
        <v>27</v>
      </c>
      <c r="H401" t="s">
        <v>58</v>
      </c>
      <c r="M401">
        <v>0</v>
      </c>
      <c r="N401">
        <v>0</v>
      </c>
      <c r="O401">
        <v>0</v>
      </c>
      <c r="R401" t="str">
        <f t="shared" si="12"/>
        <v>yes</v>
      </c>
      <c r="S401" t="str">
        <f t="shared" si="13"/>
        <v>no</v>
      </c>
    </row>
    <row r="402" spans="1:19" x14ac:dyDescent="0.35">
      <c r="A402" s="1">
        <v>400</v>
      </c>
      <c r="B402" t="s">
        <v>75</v>
      </c>
      <c r="C402" t="s">
        <v>253</v>
      </c>
      <c r="D402" t="s">
        <v>377</v>
      </c>
      <c r="E402">
        <v>6.8462037037037033</v>
      </c>
      <c r="F402">
        <v>14.374567722491861</v>
      </c>
      <c r="G402">
        <v>27</v>
      </c>
      <c r="H402" t="s">
        <v>58</v>
      </c>
      <c r="M402">
        <v>35.595339148687422</v>
      </c>
      <c r="N402">
        <v>-21.902931741280021</v>
      </c>
      <c r="O402">
        <v>57.498270889967444</v>
      </c>
      <c r="P402">
        <v>0.47627197115579761</v>
      </c>
      <c r="R402" t="str">
        <f t="shared" si="12"/>
        <v>yes</v>
      </c>
      <c r="S402" t="str">
        <f t="shared" si="13"/>
        <v>no</v>
      </c>
    </row>
    <row r="403" spans="1:19" x14ac:dyDescent="0.35">
      <c r="A403" s="1">
        <v>401</v>
      </c>
      <c r="B403" t="s">
        <v>75</v>
      </c>
      <c r="C403" t="s">
        <v>253</v>
      </c>
      <c r="D403" t="s">
        <v>378</v>
      </c>
      <c r="E403">
        <v>27.173366666666659</v>
      </c>
      <c r="F403">
        <v>59.647663281696659</v>
      </c>
      <c r="G403">
        <v>27</v>
      </c>
      <c r="H403" t="s">
        <v>58</v>
      </c>
      <c r="M403">
        <v>146.46869323006001</v>
      </c>
      <c r="N403">
        <v>-92.121959896726651</v>
      </c>
      <c r="O403">
        <v>238.59065312678661</v>
      </c>
      <c r="P403">
        <v>0.45556464698936522</v>
      </c>
      <c r="R403" t="str">
        <f t="shared" si="12"/>
        <v>yes</v>
      </c>
      <c r="S403" t="str">
        <f t="shared" si="13"/>
        <v>no</v>
      </c>
    </row>
    <row r="404" spans="1:19" x14ac:dyDescent="0.35">
      <c r="A404" s="1">
        <v>402</v>
      </c>
      <c r="B404" t="s">
        <v>75</v>
      </c>
      <c r="C404" t="s">
        <v>253</v>
      </c>
      <c r="D404" t="s">
        <v>379</v>
      </c>
      <c r="E404">
        <v>0</v>
      </c>
      <c r="F404">
        <v>0</v>
      </c>
      <c r="G404">
        <v>27</v>
      </c>
      <c r="H404" t="s">
        <v>58</v>
      </c>
      <c r="M404">
        <v>0</v>
      </c>
      <c r="N404">
        <v>0</v>
      </c>
      <c r="O404">
        <v>0</v>
      </c>
      <c r="R404" t="str">
        <f t="shared" si="12"/>
        <v>yes</v>
      </c>
      <c r="S404" t="str">
        <f t="shared" si="13"/>
        <v>no</v>
      </c>
    </row>
    <row r="405" spans="1:19" x14ac:dyDescent="0.35">
      <c r="A405" s="1">
        <v>403</v>
      </c>
      <c r="B405" t="s">
        <v>75</v>
      </c>
      <c r="C405" t="s">
        <v>253</v>
      </c>
      <c r="D405" t="s">
        <v>380</v>
      </c>
      <c r="E405">
        <v>0</v>
      </c>
      <c r="F405">
        <v>0</v>
      </c>
      <c r="G405">
        <v>27</v>
      </c>
      <c r="H405" t="s">
        <v>58</v>
      </c>
      <c r="M405">
        <v>0</v>
      </c>
      <c r="N405">
        <v>0</v>
      </c>
      <c r="O405">
        <v>0</v>
      </c>
      <c r="R405" t="str">
        <f t="shared" si="12"/>
        <v>yes</v>
      </c>
      <c r="S405" t="str">
        <f t="shared" si="13"/>
        <v>no</v>
      </c>
    </row>
    <row r="406" spans="1:19" x14ac:dyDescent="0.35">
      <c r="A406" s="1">
        <v>404</v>
      </c>
      <c r="B406" t="s">
        <v>75</v>
      </c>
      <c r="C406" t="s">
        <v>253</v>
      </c>
      <c r="D406" t="s">
        <v>381</v>
      </c>
      <c r="E406">
        <v>5.9943444444444447</v>
      </c>
      <c r="F406">
        <v>12.58844367144469</v>
      </c>
      <c r="G406">
        <v>27</v>
      </c>
      <c r="H406" t="s">
        <v>58</v>
      </c>
      <c r="M406">
        <v>31.17123178733382</v>
      </c>
      <c r="N406">
        <v>-19.18254289844494</v>
      </c>
      <c r="O406">
        <v>50.35377468577876</v>
      </c>
      <c r="P406">
        <v>0.47617835857198659</v>
      </c>
      <c r="R406" t="str">
        <f t="shared" si="12"/>
        <v>yes</v>
      </c>
      <c r="S406" t="str">
        <f t="shared" si="13"/>
        <v>no</v>
      </c>
    </row>
    <row r="407" spans="1:19" x14ac:dyDescent="0.35">
      <c r="A407" s="1">
        <v>405</v>
      </c>
      <c r="B407" t="s">
        <v>75</v>
      </c>
      <c r="C407" t="s">
        <v>253</v>
      </c>
      <c r="D407" t="s">
        <v>382</v>
      </c>
      <c r="E407">
        <v>33.273222222222223</v>
      </c>
      <c r="F407">
        <v>69.795387866743255</v>
      </c>
      <c r="G407">
        <v>27</v>
      </c>
      <c r="H407" t="s">
        <v>58</v>
      </c>
      <c r="M407">
        <v>172.8639979557087</v>
      </c>
      <c r="N407">
        <v>-106.31755351126429</v>
      </c>
      <c r="O407">
        <v>279.18155146697302</v>
      </c>
      <c r="P407">
        <v>0.47672522840261422</v>
      </c>
      <c r="R407" t="str">
        <f t="shared" si="12"/>
        <v>yes</v>
      </c>
      <c r="S407" t="str">
        <f t="shared" si="13"/>
        <v>no</v>
      </c>
    </row>
    <row r="408" spans="1:19" x14ac:dyDescent="0.35">
      <c r="A408" s="1">
        <v>406</v>
      </c>
      <c r="B408" t="s">
        <v>75</v>
      </c>
      <c r="C408" t="s">
        <v>253</v>
      </c>
      <c r="D408" t="s">
        <v>383</v>
      </c>
      <c r="E408">
        <v>0</v>
      </c>
      <c r="F408">
        <v>0</v>
      </c>
      <c r="G408">
        <v>27</v>
      </c>
      <c r="H408" t="s">
        <v>58</v>
      </c>
      <c r="M408">
        <v>0</v>
      </c>
      <c r="N408">
        <v>0</v>
      </c>
      <c r="O408">
        <v>0</v>
      </c>
      <c r="R408" t="str">
        <f t="shared" si="12"/>
        <v>yes</v>
      </c>
      <c r="S408" t="str">
        <f t="shared" si="13"/>
        <v>no</v>
      </c>
    </row>
    <row r="409" spans="1:19" x14ac:dyDescent="0.35">
      <c r="A409" s="1">
        <v>407</v>
      </c>
      <c r="B409" t="s">
        <v>75</v>
      </c>
      <c r="C409" t="s">
        <v>253</v>
      </c>
      <c r="D409" t="s">
        <v>384</v>
      </c>
      <c r="E409">
        <v>0</v>
      </c>
      <c r="F409">
        <v>0</v>
      </c>
      <c r="G409">
        <v>27</v>
      </c>
      <c r="H409" t="s">
        <v>58</v>
      </c>
      <c r="M409">
        <v>0</v>
      </c>
      <c r="N409">
        <v>0</v>
      </c>
      <c r="O409">
        <v>0</v>
      </c>
      <c r="R409" t="str">
        <f t="shared" si="12"/>
        <v>yes</v>
      </c>
      <c r="S409" t="str">
        <f t="shared" si="13"/>
        <v>no</v>
      </c>
    </row>
    <row r="410" spans="1:19" x14ac:dyDescent="0.35">
      <c r="A410" s="1">
        <v>408</v>
      </c>
      <c r="B410" t="s">
        <v>75</v>
      </c>
      <c r="C410" t="s">
        <v>253</v>
      </c>
      <c r="D410" t="s">
        <v>385</v>
      </c>
      <c r="E410">
        <v>6.4735148148148136</v>
      </c>
      <c r="F410">
        <v>13.60148608309656</v>
      </c>
      <c r="G410">
        <v>27</v>
      </c>
      <c r="H410" t="s">
        <v>58</v>
      </c>
      <c r="M410">
        <v>33.676486981007933</v>
      </c>
      <c r="N410">
        <v>-20.729457351378311</v>
      </c>
      <c r="O410">
        <v>54.405944332386241</v>
      </c>
      <c r="P410">
        <v>0.47594172984229022</v>
      </c>
      <c r="R410" t="str">
        <f t="shared" si="12"/>
        <v>yes</v>
      </c>
      <c r="S410" t="str">
        <f t="shared" si="13"/>
        <v>no</v>
      </c>
    </row>
    <row r="411" spans="1:19" x14ac:dyDescent="0.35">
      <c r="A411" s="1">
        <v>409</v>
      </c>
      <c r="B411" t="s">
        <v>75</v>
      </c>
      <c r="C411" t="s">
        <v>253</v>
      </c>
      <c r="D411" t="s">
        <v>386</v>
      </c>
      <c r="E411">
        <v>25.816181481481479</v>
      </c>
      <c r="F411">
        <v>58.241822687456008</v>
      </c>
      <c r="G411">
        <v>27</v>
      </c>
      <c r="H411" t="s">
        <v>58</v>
      </c>
      <c r="M411">
        <v>142.29982685639351</v>
      </c>
      <c r="N411">
        <v>-90.667463893430536</v>
      </c>
      <c r="O411">
        <v>232.967290749824</v>
      </c>
      <c r="P411">
        <v>0.44325847458482293</v>
      </c>
      <c r="R411" t="str">
        <f t="shared" si="12"/>
        <v>yes</v>
      </c>
      <c r="S411" t="str">
        <f t="shared" si="13"/>
        <v>no</v>
      </c>
    </row>
    <row r="412" spans="1:19" x14ac:dyDescent="0.35">
      <c r="A412" s="1">
        <v>410</v>
      </c>
      <c r="B412" t="s">
        <v>75</v>
      </c>
      <c r="C412" t="s">
        <v>253</v>
      </c>
      <c r="D412" t="s">
        <v>387</v>
      </c>
      <c r="E412">
        <v>0</v>
      </c>
      <c r="F412">
        <v>0</v>
      </c>
      <c r="G412">
        <v>27</v>
      </c>
      <c r="H412" t="s">
        <v>58</v>
      </c>
      <c r="M412">
        <v>0</v>
      </c>
      <c r="N412">
        <v>0</v>
      </c>
      <c r="O412">
        <v>0</v>
      </c>
      <c r="R412" t="str">
        <f t="shared" si="12"/>
        <v>yes</v>
      </c>
      <c r="S412" t="str">
        <f t="shared" si="13"/>
        <v>no</v>
      </c>
    </row>
    <row r="413" spans="1:19" x14ac:dyDescent="0.35">
      <c r="A413" s="1">
        <v>411</v>
      </c>
      <c r="B413" t="s">
        <v>75</v>
      </c>
      <c r="C413" t="s">
        <v>253</v>
      </c>
      <c r="D413" t="s">
        <v>388</v>
      </c>
      <c r="E413">
        <v>0</v>
      </c>
      <c r="F413">
        <v>0</v>
      </c>
      <c r="G413">
        <v>27</v>
      </c>
      <c r="H413" t="s">
        <v>58</v>
      </c>
      <c r="M413">
        <v>0</v>
      </c>
      <c r="N413">
        <v>0</v>
      </c>
      <c r="O413">
        <v>0</v>
      </c>
      <c r="R413" t="str">
        <f t="shared" si="12"/>
        <v>yes</v>
      </c>
      <c r="S413" t="str">
        <f t="shared" si="13"/>
        <v>no</v>
      </c>
    </row>
    <row r="414" spans="1:19" x14ac:dyDescent="0.35">
      <c r="A414" s="1">
        <v>412</v>
      </c>
      <c r="B414" t="s">
        <v>75</v>
      </c>
      <c r="C414" t="s">
        <v>253</v>
      </c>
      <c r="D414" t="s">
        <v>389</v>
      </c>
      <c r="E414">
        <v>7.7690518518518514</v>
      </c>
      <c r="F414">
        <v>16.380091022547489</v>
      </c>
      <c r="G414">
        <v>27</v>
      </c>
      <c r="H414" t="s">
        <v>58</v>
      </c>
      <c r="M414">
        <v>40.529233896946828</v>
      </c>
      <c r="N414">
        <v>-24.99113019324313</v>
      </c>
      <c r="O414">
        <v>65.520364090189958</v>
      </c>
      <c r="P414">
        <v>0.47429845421234912</v>
      </c>
      <c r="R414" t="str">
        <f t="shared" si="12"/>
        <v>yes</v>
      </c>
      <c r="S414" t="str">
        <f t="shared" si="13"/>
        <v>no</v>
      </c>
    </row>
    <row r="415" spans="1:19" x14ac:dyDescent="0.35">
      <c r="A415" s="1">
        <v>413</v>
      </c>
      <c r="B415" t="s">
        <v>75</v>
      </c>
      <c r="C415" t="s">
        <v>253</v>
      </c>
      <c r="D415" t="s">
        <v>390</v>
      </c>
      <c r="E415">
        <v>33.348981481481481</v>
      </c>
      <c r="F415">
        <v>69.953413710480604</v>
      </c>
      <c r="G415">
        <v>27</v>
      </c>
      <c r="H415" t="s">
        <v>58</v>
      </c>
      <c r="M415">
        <v>173.25580890244271</v>
      </c>
      <c r="N415">
        <v>-106.55784593947971</v>
      </c>
      <c r="O415">
        <v>279.81365484192241</v>
      </c>
      <c r="P415">
        <v>0.47673129462279618</v>
      </c>
      <c r="R415" t="str">
        <f t="shared" si="12"/>
        <v>yes</v>
      </c>
      <c r="S415" t="str">
        <f t="shared" si="13"/>
        <v>no</v>
      </c>
    </row>
    <row r="416" spans="1:19" x14ac:dyDescent="0.35">
      <c r="A416" s="1">
        <v>414</v>
      </c>
      <c r="B416" t="s">
        <v>75</v>
      </c>
      <c r="C416" t="s">
        <v>253</v>
      </c>
      <c r="D416" t="s">
        <v>391</v>
      </c>
      <c r="E416">
        <v>0</v>
      </c>
      <c r="F416">
        <v>0</v>
      </c>
      <c r="G416">
        <v>27</v>
      </c>
      <c r="H416" t="s">
        <v>58</v>
      </c>
      <c r="M416">
        <v>0</v>
      </c>
      <c r="N416">
        <v>0</v>
      </c>
      <c r="O416">
        <v>0</v>
      </c>
      <c r="R416" t="str">
        <f t="shared" si="12"/>
        <v>yes</v>
      </c>
      <c r="S416" t="str">
        <f t="shared" si="13"/>
        <v>no</v>
      </c>
    </row>
    <row r="417" spans="1:19" x14ac:dyDescent="0.35">
      <c r="A417" s="1">
        <v>415</v>
      </c>
      <c r="B417" t="s">
        <v>75</v>
      </c>
      <c r="C417" t="s">
        <v>253</v>
      </c>
      <c r="D417" t="s">
        <v>392</v>
      </c>
      <c r="E417">
        <v>0</v>
      </c>
      <c r="F417">
        <v>0</v>
      </c>
      <c r="G417">
        <v>27</v>
      </c>
      <c r="H417" t="s">
        <v>58</v>
      </c>
      <c r="M417">
        <v>0</v>
      </c>
      <c r="N417">
        <v>0</v>
      </c>
      <c r="O417">
        <v>0</v>
      </c>
      <c r="R417" t="str">
        <f t="shared" si="12"/>
        <v>yes</v>
      </c>
      <c r="S417" t="str">
        <f t="shared" si="13"/>
        <v>no</v>
      </c>
    </row>
    <row r="418" spans="1:19" x14ac:dyDescent="0.35">
      <c r="A418" s="1">
        <v>416</v>
      </c>
      <c r="B418" t="s">
        <v>75</v>
      </c>
      <c r="C418" t="s">
        <v>253</v>
      </c>
      <c r="D418" t="s">
        <v>393</v>
      </c>
      <c r="E418">
        <v>7.165648148148148</v>
      </c>
      <c r="F418">
        <v>15.044023179405711</v>
      </c>
      <c r="G418">
        <v>27</v>
      </c>
      <c r="H418" t="s">
        <v>58</v>
      </c>
      <c r="M418">
        <v>37.253694506959569</v>
      </c>
      <c r="N418">
        <v>-22.922398210663271</v>
      </c>
      <c r="O418">
        <v>60.176092717622844</v>
      </c>
      <c r="P418">
        <v>0.47631195875565091</v>
      </c>
      <c r="R418" t="str">
        <f t="shared" si="12"/>
        <v>yes</v>
      </c>
      <c r="S418" t="str">
        <f t="shared" si="13"/>
        <v>no</v>
      </c>
    </row>
    <row r="419" spans="1:19" x14ac:dyDescent="0.35">
      <c r="A419" s="1">
        <v>417</v>
      </c>
      <c r="B419" t="s">
        <v>75</v>
      </c>
      <c r="C419" t="s">
        <v>253</v>
      </c>
      <c r="D419" t="s">
        <v>394</v>
      </c>
      <c r="E419">
        <v>26.776166666666668</v>
      </c>
      <c r="F419">
        <v>59.033701270683487</v>
      </c>
      <c r="G419">
        <v>27</v>
      </c>
      <c r="H419" t="s">
        <v>58</v>
      </c>
      <c r="M419">
        <v>144.84356920803361</v>
      </c>
      <c r="N419">
        <v>-91.291235874700305</v>
      </c>
      <c r="O419">
        <v>236.13480508273389</v>
      </c>
      <c r="P419">
        <v>0.45357424810434321</v>
      </c>
      <c r="R419" t="str">
        <f t="shared" si="12"/>
        <v>yes</v>
      </c>
      <c r="S419" t="str">
        <f t="shared" si="13"/>
        <v>no</v>
      </c>
    </row>
    <row r="420" spans="1:19" x14ac:dyDescent="0.35">
      <c r="A420" s="1">
        <v>418</v>
      </c>
      <c r="B420" t="s">
        <v>75</v>
      </c>
      <c r="C420" t="s">
        <v>253</v>
      </c>
      <c r="D420" t="s">
        <v>395</v>
      </c>
      <c r="E420">
        <v>0</v>
      </c>
      <c r="F420">
        <v>0</v>
      </c>
      <c r="G420">
        <v>27</v>
      </c>
      <c r="H420" t="s">
        <v>58</v>
      </c>
      <c r="M420">
        <v>0</v>
      </c>
      <c r="N420">
        <v>0</v>
      </c>
      <c r="O420">
        <v>0</v>
      </c>
      <c r="R420" t="str">
        <f t="shared" si="12"/>
        <v>yes</v>
      </c>
      <c r="S420" t="str">
        <f t="shared" si="13"/>
        <v>no</v>
      </c>
    </row>
    <row r="421" spans="1:19" x14ac:dyDescent="0.35">
      <c r="A421" s="1">
        <v>419</v>
      </c>
      <c r="B421" t="s">
        <v>75</v>
      </c>
      <c r="C421" t="s">
        <v>253</v>
      </c>
      <c r="D421" t="s">
        <v>396</v>
      </c>
      <c r="E421">
        <v>0</v>
      </c>
      <c r="F421">
        <v>0</v>
      </c>
      <c r="G421">
        <v>27</v>
      </c>
      <c r="H421" t="s">
        <v>58</v>
      </c>
      <c r="M421">
        <v>0</v>
      </c>
      <c r="N421">
        <v>0</v>
      </c>
      <c r="O421">
        <v>0</v>
      </c>
      <c r="R421" t="str">
        <f t="shared" si="12"/>
        <v>yes</v>
      </c>
      <c r="S421" t="str">
        <f t="shared" si="13"/>
        <v>no</v>
      </c>
    </row>
    <row r="422" spans="1:19" x14ac:dyDescent="0.35">
      <c r="A422" s="1">
        <v>420</v>
      </c>
      <c r="B422" t="s">
        <v>75</v>
      </c>
      <c r="C422" t="s">
        <v>253</v>
      </c>
      <c r="D422" t="s">
        <v>397</v>
      </c>
      <c r="E422">
        <v>6.1008259259259257</v>
      </c>
      <c r="F422">
        <v>12.812741184796771</v>
      </c>
      <c r="G422">
        <v>27</v>
      </c>
      <c r="H422" t="s">
        <v>58</v>
      </c>
      <c r="M422">
        <v>31.72630829551947</v>
      </c>
      <c r="N422">
        <v>-19.52465644366762</v>
      </c>
      <c r="O422">
        <v>51.250964739187083</v>
      </c>
      <c r="P422">
        <v>0.47615306029633919</v>
      </c>
      <c r="R422" t="str">
        <f t="shared" si="12"/>
        <v>yes</v>
      </c>
      <c r="S422" t="str">
        <f t="shared" si="13"/>
        <v>no</v>
      </c>
    </row>
    <row r="423" spans="1:19" x14ac:dyDescent="0.35">
      <c r="A423" s="1">
        <v>421</v>
      </c>
      <c r="B423" t="s">
        <v>75</v>
      </c>
      <c r="C423" t="s">
        <v>253</v>
      </c>
      <c r="D423" t="s">
        <v>398</v>
      </c>
      <c r="E423">
        <v>0</v>
      </c>
      <c r="F423">
        <v>0</v>
      </c>
      <c r="G423">
        <v>27</v>
      </c>
      <c r="H423" t="s">
        <v>58</v>
      </c>
      <c r="M423">
        <v>0</v>
      </c>
      <c r="N423">
        <v>0</v>
      </c>
      <c r="O423">
        <v>0</v>
      </c>
      <c r="R423" t="str">
        <f t="shared" si="12"/>
        <v>yes</v>
      </c>
      <c r="S423" t="str">
        <f t="shared" si="13"/>
        <v>no</v>
      </c>
    </row>
    <row r="424" spans="1:19" x14ac:dyDescent="0.35">
      <c r="A424" s="1">
        <v>422</v>
      </c>
      <c r="B424" t="s">
        <v>75</v>
      </c>
      <c r="C424" t="s">
        <v>253</v>
      </c>
      <c r="D424" t="s">
        <v>399</v>
      </c>
      <c r="E424">
        <v>2.9957555555555562</v>
      </c>
      <c r="F424">
        <v>5.6045454517067581</v>
      </c>
      <c r="G424">
        <v>27</v>
      </c>
      <c r="H424" t="s">
        <v>58</v>
      </c>
      <c r="M424">
        <v>14.204846458969071</v>
      </c>
      <c r="N424">
        <v>-8.21333534785796</v>
      </c>
      <c r="O424">
        <v>22.418181806827029</v>
      </c>
      <c r="P424">
        <v>0.5345224838248489</v>
      </c>
      <c r="R424" t="str">
        <f t="shared" si="12"/>
        <v>yes</v>
      </c>
      <c r="S424" t="str">
        <f t="shared" si="13"/>
        <v>no</v>
      </c>
    </row>
    <row r="425" spans="1:19" x14ac:dyDescent="0.35">
      <c r="A425" s="1">
        <v>423</v>
      </c>
      <c r="B425" t="s">
        <v>75</v>
      </c>
      <c r="C425" t="s">
        <v>253</v>
      </c>
      <c r="D425" t="s">
        <v>400</v>
      </c>
      <c r="E425">
        <v>0</v>
      </c>
      <c r="F425">
        <v>0</v>
      </c>
      <c r="G425">
        <v>27</v>
      </c>
      <c r="H425" t="s">
        <v>58</v>
      </c>
      <c r="M425">
        <v>0</v>
      </c>
      <c r="N425">
        <v>0</v>
      </c>
      <c r="O425">
        <v>0</v>
      </c>
      <c r="R425" t="str">
        <f t="shared" si="12"/>
        <v>yes</v>
      </c>
      <c r="S425" t="str">
        <f t="shared" si="13"/>
        <v>no</v>
      </c>
    </row>
    <row r="426" spans="1:19" x14ac:dyDescent="0.35">
      <c r="A426" s="1">
        <v>424</v>
      </c>
      <c r="B426" t="s">
        <v>75</v>
      </c>
      <c r="C426" t="s">
        <v>253</v>
      </c>
      <c r="D426" t="s">
        <v>401</v>
      </c>
      <c r="E426">
        <v>9.3654555555555543</v>
      </c>
      <c r="F426">
        <v>17.61700041324421</v>
      </c>
      <c r="G426">
        <v>27</v>
      </c>
      <c r="H426" t="s">
        <v>58</v>
      </c>
      <c r="M426">
        <v>44.599456382043982</v>
      </c>
      <c r="N426">
        <v>-25.868545270932859</v>
      </c>
      <c r="O426">
        <v>70.468001652976838</v>
      </c>
      <c r="P426">
        <v>0.53161465265759644</v>
      </c>
      <c r="R426" t="str">
        <f t="shared" si="12"/>
        <v>yes</v>
      </c>
      <c r="S426" t="str">
        <f t="shared" si="13"/>
        <v>no</v>
      </c>
    </row>
    <row r="427" spans="1:19" x14ac:dyDescent="0.35">
      <c r="A427" s="1">
        <v>425</v>
      </c>
      <c r="B427" t="s">
        <v>75</v>
      </c>
      <c r="C427" t="s">
        <v>253</v>
      </c>
      <c r="D427" t="s">
        <v>402</v>
      </c>
      <c r="E427">
        <v>0</v>
      </c>
      <c r="F427">
        <v>0</v>
      </c>
      <c r="G427">
        <v>27</v>
      </c>
      <c r="H427" t="s">
        <v>58</v>
      </c>
      <c r="M427">
        <v>0</v>
      </c>
      <c r="N427">
        <v>0</v>
      </c>
      <c r="O427">
        <v>0</v>
      </c>
      <c r="R427" t="str">
        <f t="shared" si="12"/>
        <v>yes</v>
      </c>
      <c r="S427" t="str">
        <f t="shared" si="13"/>
        <v>no</v>
      </c>
    </row>
    <row r="428" spans="1:19" x14ac:dyDescent="0.35">
      <c r="A428" s="1">
        <v>426</v>
      </c>
      <c r="B428" t="s">
        <v>75</v>
      </c>
      <c r="C428" t="s">
        <v>253</v>
      </c>
      <c r="D428" t="s">
        <v>403</v>
      </c>
      <c r="E428">
        <v>3.994340740740741</v>
      </c>
      <c r="F428">
        <v>6.1556924987129253</v>
      </c>
      <c r="G428">
        <v>27</v>
      </c>
      <c r="H428" t="s">
        <v>58</v>
      </c>
      <c r="M428">
        <v>16.30572573816659</v>
      </c>
      <c r="N428">
        <v>-8.3170442566851097</v>
      </c>
      <c r="O428">
        <v>24.622769994851701</v>
      </c>
      <c r="P428">
        <v>0.64888568452305007</v>
      </c>
      <c r="R428" t="str">
        <f t="shared" si="12"/>
        <v>yes</v>
      </c>
      <c r="S428" t="str">
        <f t="shared" si="13"/>
        <v>no</v>
      </c>
    </row>
    <row r="429" spans="1:19" x14ac:dyDescent="0.35">
      <c r="A429" s="1">
        <v>427</v>
      </c>
      <c r="B429" t="s">
        <v>75</v>
      </c>
      <c r="C429" t="s">
        <v>253</v>
      </c>
      <c r="D429" t="s">
        <v>404</v>
      </c>
      <c r="E429">
        <v>0</v>
      </c>
      <c r="F429">
        <v>0</v>
      </c>
      <c r="G429">
        <v>27</v>
      </c>
      <c r="H429" t="s">
        <v>58</v>
      </c>
      <c r="M429">
        <v>0</v>
      </c>
      <c r="N429">
        <v>0</v>
      </c>
      <c r="O429">
        <v>0</v>
      </c>
      <c r="R429" t="str">
        <f t="shared" si="12"/>
        <v>yes</v>
      </c>
      <c r="S429" t="str">
        <f t="shared" si="13"/>
        <v>no</v>
      </c>
    </row>
    <row r="430" spans="1:19" x14ac:dyDescent="0.35">
      <c r="A430" s="1">
        <v>428</v>
      </c>
      <c r="B430" t="s">
        <v>75</v>
      </c>
      <c r="C430" t="s">
        <v>253</v>
      </c>
      <c r="D430" t="s">
        <v>405</v>
      </c>
      <c r="E430">
        <v>11.741899999999999</v>
      </c>
      <c r="F430">
        <v>18.304691535596369</v>
      </c>
      <c r="G430">
        <v>27</v>
      </c>
      <c r="H430" t="s">
        <v>58</v>
      </c>
      <c r="M430">
        <v>48.351283071192739</v>
      </c>
      <c r="N430">
        <v>-24.867483071192741</v>
      </c>
      <c r="O430">
        <v>73.218766142385476</v>
      </c>
      <c r="P430">
        <v>0.64146942750529379</v>
      </c>
      <c r="R430" t="str">
        <f t="shared" si="12"/>
        <v>yes</v>
      </c>
      <c r="S430" t="str">
        <f t="shared" si="13"/>
        <v>no</v>
      </c>
    </row>
    <row r="431" spans="1:19" x14ac:dyDescent="0.35">
      <c r="A431" s="1">
        <v>429</v>
      </c>
      <c r="B431" t="s">
        <v>75</v>
      </c>
      <c r="C431" t="s">
        <v>253</v>
      </c>
      <c r="D431" t="s">
        <v>406</v>
      </c>
      <c r="E431">
        <v>0</v>
      </c>
      <c r="F431">
        <v>0</v>
      </c>
      <c r="G431">
        <v>27</v>
      </c>
      <c r="H431" t="s">
        <v>58</v>
      </c>
      <c r="M431">
        <v>0</v>
      </c>
      <c r="N431">
        <v>0</v>
      </c>
      <c r="O431">
        <v>0</v>
      </c>
      <c r="R431" t="str">
        <f t="shared" si="12"/>
        <v>yes</v>
      </c>
      <c r="S431" t="str">
        <f t="shared" si="13"/>
        <v>no</v>
      </c>
    </row>
    <row r="432" spans="1:19" x14ac:dyDescent="0.35">
      <c r="A432" s="1">
        <v>430</v>
      </c>
      <c r="B432" t="s">
        <v>75</v>
      </c>
      <c r="C432" t="s">
        <v>253</v>
      </c>
      <c r="D432" t="s">
        <v>407</v>
      </c>
      <c r="E432">
        <v>2.9957555555555562</v>
      </c>
      <c r="F432">
        <v>5.6045454517067581</v>
      </c>
      <c r="G432">
        <v>27</v>
      </c>
      <c r="H432" t="s">
        <v>58</v>
      </c>
      <c r="M432">
        <v>14.204846458969071</v>
      </c>
      <c r="N432">
        <v>-8.21333534785796</v>
      </c>
      <c r="O432">
        <v>22.418181806827029</v>
      </c>
      <c r="P432">
        <v>0.5345224838248489</v>
      </c>
      <c r="R432" t="str">
        <f t="shared" si="12"/>
        <v>yes</v>
      </c>
      <c r="S432" t="str">
        <f t="shared" si="13"/>
        <v>no</v>
      </c>
    </row>
    <row r="433" spans="1:19" x14ac:dyDescent="0.35">
      <c r="A433" s="1">
        <v>431</v>
      </c>
      <c r="B433" t="s">
        <v>75</v>
      </c>
      <c r="C433" t="s">
        <v>253</v>
      </c>
      <c r="D433" t="s">
        <v>408</v>
      </c>
      <c r="E433">
        <v>0</v>
      </c>
      <c r="F433">
        <v>0</v>
      </c>
      <c r="G433">
        <v>27</v>
      </c>
      <c r="H433" t="s">
        <v>58</v>
      </c>
      <c r="M433">
        <v>0</v>
      </c>
      <c r="N433">
        <v>0</v>
      </c>
      <c r="O433">
        <v>0</v>
      </c>
      <c r="R433" t="str">
        <f t="shared" si="12"/>
        <v>yes</v>
      </c>
      <c r="S433" t="str">
        <f t="shared" si="13"/>
        <v>no</v>
      </c>
    </row>
    <row r="434" spans="1:19" x14ac:dyDescent="0.35">
      <c r="A434" s="1">
        <v>432</v>
      </c>
      <c r="B434" t="s">
        <v>75</v>
      </c>
      <c r="C434" t="s">
        <v>253</v>
      </c>
      <c r="D434" t="s">
        <v>409</v>
      </c>
      <c r="E434">
        <v>8.7798037037037027</v>
      </c>
      <c r="F434">
        <v>16.487905752769471</v>
      </c>
      <c r="G434">
        <v>27</v>
      </c>
      <c r="H434" t="s">
        <v>58</v>
      </c>
      <c r="M434">
        <v>41.755615209242649</v>
      </c>
      <c r="N434">
        <v>-24.19600780183524</v>
      </c>
      <c r="O434">
        <v>65.951623011077885</v>
      </c>
      <c r="P434">
        <v>0.53249962944681195</v>
      </c>
      <c r="R434" t="str">
        <f t="shared" si="12"/>
        <v>yes</v>
      </c>
      <c r="S434" t="str">
        <f t="shared" si="13"/>
        <v>no</v>
      </c>
    </row>
    <row r="435" spans="1:19" x14ac:dyDescent="0.35">
      <c r="A435" s="1">
        <v>433</v>
      </c>
      <c r="B435" t="s">
        <v>75</v>
      </c>
      <c r="C435" t="s">
        <v>253</v>
      </c>
      <c r="D435" t="s">
        <v>410</v>
      </c>
      <c r="E435">
        <v>0</v>
      </c>
      <c r="F435">
        <v>0</v>
      </c>
      <c r="G435">
        <v>27</v>
      </c>
      <c r="H435" t="s">
        <v>58</v>
      </c>
      <c r="M435">
        <v>0</v>
      </c>
      <c r="N435">
        <v>0</v>
      </c>
      <c r="O435">
        <v>0</v>
      </c>
      <c r="R435" t="str">
        <f t="shared" si="12"/>
        <v>yes</v>
      </c>
      <c r="S435" t="str">
        <f t="shared" si="13"/>
        <v>no</v>
      </c>
    </row>
    <row r="436" spans="1:19" x14ac:dyDescent="0.35">
      <c r="A436" s="1">
        <v>434</v>
      </c>
      <c r="B436" t="s">
        <v>75</v>
      </c>
      <c r="C436" t="s">
        <v>253</v>
      </c>
      <c r="D436" t="s">
        <v>411</v>
      </c>
      <c r="E436">
        <v>3.994340740740741</v>
      </c>
      <c r="F436">
        <v>6.1556924987129253</v>
      </c>
      <c r="G436">
        <v>27</v>
      </c>
      <c r="H436" t="s">
        <v>58</v>
      </c>
      <c r="M436">
        <v>16.30572573816659</v>
      </c>
      <c r="N436">
        <v>-8.3170442566851097</v>
      </c>
      <c r="O436">
        <v>24.622769994851701</v>
      </c>
      <c r="P436">
        <v>0.64888568452305007</v>
      </c>
      <c r="R436" t="str">
        <f t="shared" si="12"/>
        <v>yes</v>
      </c>
      <c r="S436" t="str">
        <f t="shared" si="13"/>
        <v>no</v>
      </c>
    </row>
    <row r="437" spans="1:19" x14ac:dyDescent="0.35">
      <c r="A437" s="1">
        <v>435</v>
      </c>
      <c r="B437" t="s">
        <v>75</v>
      </c>
      <c r="C437" t="s">
        <v>253</v>
      </c>
      <c r="D437" t="s">
        <v>412</v>
      </c>
      <c r="E437">
        <v>0</v>
      </c>
      <c r="F437">
        <v>0</v>
      </c>
      <c r="G437">
        <v>27</v>
      </c>
      <c r="H437" t="s">
        <v>58</v>
      </c>
      <c r="M437">
        <v>0</v>
      </c>
      <c r="N437">
        <v>0</v>
      </c>
      <c r="O437">
        <v>0</v>
      </c>
      <c r="R437" t="str">
        <f t="shared" si="12"/>
        <v>yes</v>
      </c>
      <c r="S437" t="str">
        <f t="shared" si="13"/>
        <v>no</v>
      </c>
    </row>
    <row r="438" spans="1:19" x14ac:dyDescent="0.35">
      <c r="A438" s="1">
        <v>436</v>
      </c>
      <c r="B438" t="s">
        <v>75</v>
      </c>
      <c r="C438" t="s">
        <v>253</v>
      </c>
      <c r="D438" t="s">
        <v>413</v>
      </c>
      <c r="E438">
        <v>10.677074074074071</v>
      </c>
      <c r="F438">
        <v>16.592277851226179</v>
      </c>
      <c r="G438">
        <v>27</v>
      </c>
      <c r="H438" t="s">
        <v>58</v>
      </c>
      <c r="M438">
        <v>43.861629776526428</v>
      </c>
      <c r="N438">
        <v>-22.50748162837829</v>
      </c>
      <c r="O438">
        <v>66.369111404904714</v>
      </c>
      <c r="P438">
        <v>0.64349658135004228</v>
      </c>
      <c r="R438" t="str">
        <f t="shared" si="12"/>
        <v>yes</v>
      </c>
      <c r="S438" t="str">
        <f t="shared" si="13"/>
        <v>no</v>
      </c>
    </row>
    <row r="439" spans="1:19" x14ac:dyDescent="0.35">
      <c r="A439" s="1">
        <v>437</v>
      </c>
      <c r="B439" t="s">
        <v>75</v>
      </c>
      <c r="C439" t="s">
        <v>253</v>
      </c>
      <c r="D439" t="s">
        <v>414</v>
      </c>
      <c r="E439">
        <v>0</v>
      </c>
      <c r="F439">
        <v>0</v>
      </c>
      <c r="G439">
        <v>27</v>
      </c>
      <c r="H439" t="s">
        <v>58</v>
      </c>
      <c r="M439">
        <v>0</v>
      </c>
      <c r="N439">
        <v>0</v>
      </c>
      <c r="O439">
        <v>0</v>
      </c>
      <c r="R439" t="str">
        <f t="shared" si="12"/>
        <v>yes</v>
      </c>
      <c r="S439" t="str">
        <f t="shared" si="13"/>
        <v>no</v>
      </c>
    </row>
    <row r="440" spans="1:19" x14ac:dyDescent="0.35">
      <c r="A440" s="1">
        <v>438</v>
      </c>
      <c r="B440" t="s">
        <v>75</v>
      </c>
      <c r="C440" t="s">
        <v>253</v>
      </c>
      <c r="D440" t="s">
        <v>415</v>
      </c>
      <c r="E440">
        <v>2.9957555555555562</v>
      </c>
      <c r="F440">
        <v>5.6045454517067581</v>
      </c>
      <c r="G440">
        <v>27</v>
      </c>
      <c r="H440" t="s">
        <v>58</v>
      </c>
      <c r="M440">
        <v>14.204846458969071</v>
      </c>
      <c r="N440">
        <v>-8.21333534785796</v>
      </c>
      <c r="O440">
        <v>22.418181806827029</v>
      </c>
      <c r="P440">
        <v>0.5345224838248489</v>
      </c>
      <c r="R440" t="str">
        <f t="shared" si="12"/>
        <v>yes</v>
      </c>
      <c r="S440" t="str">
        <f t="shared" si="13"/>
        <v>no</v>
      </c>
    </row>
    <row r="441" spans="1:19" x14ac:dyDescent="0.35">
      <c r="A441" s="1">
        <v>439</v>
      </c>
      <c r="B441" t="s">
        <v>75</v>
      </c>
      <c r="C441" t="s">
        <v>253</v>
      </c>
      <c r="D441" t="s">
        <v>416</v>
      </c>
      <c r="E441">
        <v>0</v>
      </c>
      <c r="F441">
        <v>0</v>
      </c>
      <c r="G441">
        <v>27</v>
      </c>
      <c r="H441" t="s">
        <v>58</v>
      </c>
      <c r="M441">
        <v>0</v>
      </c>
      <c r="N441">
        <v>0</v>
      </c>
      <c r="O441">
        <v>0</v>
      </c>
      <c r="R441" t="str">
        <f t="shared" si="12"/>
        <v>yes</v>
      </c>
      <c r="S441" t="str">
        <f t="shared" si="13"/>
        <v>no</v>
      </c>
    </row>
    <row r="442" spans="1:19" x14ac:dyDescent="0.35">
      <c r="A442" s="1">
        <v>440</v>
      </c>
      <c r="B442" t="s">
        <v>75</v>
      </c>
      <c r="C442" t="s">
        <v>253</v>
      </c>
      <c r="D442" t="s">
        <v>417</v>
      </c>
      <c r="E442">
        <v>8.5490925925925918</v>
      </c>
      <c r="F442">
        <v>16.06850619618956</v>
      </c>
      <c r="G442">
        <v>27</v>
      </c>
      <c r="H442" t="s">
        <v>58</v>
      </c>
      <c r="M442">
        <v>40.686104984971713</v>
      </c>
      <c r="N442">
        <v>-23.58791979978653</v>
      </c>
      <c r="O442">
        <v>64.27402478475824</v>
      </c>
      <c r="P442">
        <v>0.53204028353425281</v>
      </c>
      <c r="R442" t="str">
        <f t="shared" si="12"/>
        <v>yes</v>
      </c>
      <c r="S442" t="str">
        <f t="shared" si="13"/>
        <v>no</v>
      </c>
    </row>
    <row r="443" spans="1:19" x14ac:dyDescent="0.35">
      <c r="A443" s="1">
        <v>441</v>
      </c>
      <c r="B443" t="s">
        <v>75</v>
      </c>
      <c r="C443" t="s">
        <v>253</v>
      </c>
      <c r="D443" t="s">
        <v>418</v>
      </c>
      <c r="E443">
        <v>0</v>
      </c>
      <c r="F443">
        <v>0</v>
      </c>
      <c r="G443">
        <v>27</v>
      </c>
      <c r="H443" t="s">
        <v>58</v>
      </c>
      <c r="M443">
        <v>0</v>
      </c>
      <c r="N443">
        <v>0</v>
      </c>
      <c r="O443">
        <v>0</v>
      </c>
      <c r="R443" t="str">
        <f t="shared" si="12"/>
        <v>yes</v>
      </c>
      <c r="S443" t="str">
        <f t="shared" si="13"/>
        <v>no</v>
      </c>
    </row>
    <row r="444" spans="1:19" x14ac:dyDescent="0.35">
      <c r="A444" s="1">
        <v>442</v>
      </c>
      <c r="B444" t="s">
        <v>75</v>
      </c>
      <c r="C444" t="s">
        <v>253</v>
      </c>
      <c r="D444" t="s">
        <v>419</v>
      </c>
      <c r="E444">
        <v>3.994340740740741</v>
      </c>
      <c r="F444">
        <v>6.1556924987129253</v>
      </c>
      <c r="G444">
        <v>27</v>
      </c>
      <c r="H444" t="s">
        <v>58</v>
      </c>
      <c r="M444">
        <v>16.30572573816659</v>
      </c>
      <c r="N444">
        <v>-8.3170442566851097</v>
      </c>
      <c r="O444">
        <v>24.622769994851701</v>
      </c>
      <c r="P444">
        <v>0.64888568452305007</v>
      </c>
      <c r="R444" t="str">
        <f t="shared" si="12"/>
        <v>yes</v>
      </c>
      <c r="S444" t="str">
        <f t="shared" si="13"/>
        <v>no</v>
      </c>
    </row>
    <row r="445" spans="1:19" x14ac:dyDescent="0.35">
      <c r="A445" s="1">
        <v>443</v>
      </c>
      <c r="B445" t="s">
        <v>75</v>
      </c>
      <c r="C445" t="s">
        <v>253</v>
      </c>
      <c r="D445" t="s">
        <v>420</v>
      </c>
      <c r="E445">
        <v>0</v>
      </c>
      <c r="F445">
        <v>0</v>
      </c>
      <c r="G445">
        <v>27</v>
      </c>
      <c r="H445" t="s">
        <v>58</v>
      </c>
      <c r="M445">
        <v>0</v>
      </c>
      <c r="N445">
        <v>0</v>
      </c>
      <c r="O445">
        <v>0</v>
      </c>
      <c r="R445" t="str">
        <f t="shared" si="12"/>
        <v>yes</v>
      </c>
      <c r="S445" t="str">
        <f t="shared" si="13"/>
        <v>no</v>
      </c>
    </row>
    <row r="446" spans="1:19" x14ac:dyDescent="0.35">
      <c r="A446" s="1">
        <v>444</v>
      </c>
      <c r="B446" t="s">
        <v>75</v>
      </c>
      <c r="C446" t="s">
        <v>253</v>
      </c>
      <c r="D446" t="s">
        <v>421</v>
      </c>
      <c r="E446">
        <v>11.03201111111111</v>
      </c>
      <c r="F446">
        <v>17.261456997671701</v>
      </c>
      <c r="G446">
        <v>27</v>
      </c>
      <c r="H446" t="s">
        <v>58</v>
      </c>
      <c r="M446">
        <v>45.554925106454512</v>
      </c>
      <c r="N446">
        <v>-23.490902884232291</v>
      </c>
      <c r="O446">
        <v>69.045827990686803</v>
      </c>
      <c r="P446">
        <v>0.63911239431289923</v>
      </c>
      <c r="R446" t="str">
        <f t="shared" si="12"/>
        <v>yes</v>
      </c>
      <c r="S446" t="str">
        <f t="shared" si="13"/>
        <v>no</v>
      </c>
    </row>
    <row r="447" spans="1:19" x14ac:dyDescent="0.35">
      <c r="A447" s="1">
        <v>445</v>
      </c>
      <c r="B447" t="s">
        <v>75</v>
      </c>
      <c r="C447" t="s">
        <v>253</v>
      </c>
      <c r="D447" t="s">
        <v>422</v>
      </c>
      <c r="E447">
        <v>32.114281481481477</v>
      </c>
      <c r="F447">
        <v>67.462804825918894</v>
      </c>
      <c r="G447">
        <v>27</v>
      </c>
      <c r="H447" t="s">
        <v>58</v>
      </c>
      <c r="M447">
        <v>167.03989113331929</v>
      </c>
      <c r="N447">
        <v>-102.8113281703563</v>
      </c>
      <c r="O447">
        <v>269.85121930367558</v>
      </c>
      <c r="P447">
        <v>0.47602944414109682</v>
      </c>
      <c r="R447" t="str">
        <f t="shared" si="12"/>
        <v>yes</v>
      </c>
      <c r="S447" t="str">
        <f t="shared" si="13"/>
        <v>no</v>
      </c>
    </row>
    <row r="448" spans="1:19" x14ac:dyDescent="0.35">
      <c r="A448" s="1">
        <v>446</v>
      </c>
      <c r="B448" t="s">
        <v>75</v>
      </c>
      <c r="C448" t="s">
        <v>253</v>
      </c>
      <c r="D448" t="s">
        <v>423</v>
      </c>
      <c r="E448">
        <v>0</v>
      </c>
      <c r="F448">
        <v>0</v>
      </c>
      <c r="G448">
        <v>27</v>
      </c>
      <c r="H448" t="s">
        <v>58</v>
      </c>
      <c r="M448">
        <v>0</v>
      </c>
      <c r="N448">
        <v>0</v>
      </c>
      <c r="O448">
        <v>0</v>
      </c>
      <c r="R448" t="str">
        <f t="shared" si="12"/>
        <v>yes</v>
      </c>
      <c r="S448" t="str">
        <f t="shared" si="13"/>
        <v>no</v>
      </c>
    </row>
    <row r="449" spans="1:19" x14ac:dyDescent="0.35">
      <c r="A449" s="1">
        <v>447</v>
      </c>
      <c r="B449" t="s">
        <v>75</v>
      </c>
      <c r="C449" t="s">
        <v>253</v>
      </c>
      <c r="D449" t="s">
        <v>424</v>
      </c>
      <c r="E449">
        <v>0</v>
      </c>
      <c r="F449">
        <v>0</v>
      </c>
      <c r="G449">
        <v>27</v>
      </c>
      <c r="H449" t="s">
        <v>58</v>
      </c>
      <c r="M449">
        <v>0</v>
      </c>
      <c r="N449">
        <v>0</v>
      </c>
      <c r="O449">
        <v>0</v>
      </c>
      <c r="R449" t="str">
        <f t="shared" si="12"/>
        <v>yes</v>
      </c>
      <c r="S449" t="str">
        <f t="shared" si="13"/>
        <v>no</v>
      </c>
    </row>
    <row r="450" spans="1:19" x14ac:dyDescent="0.35">
      <c r="A450" s="1">
        <v>448</v>
      </c>
      <c r="B450" t="s">
        <v>75</v>
      </c>
      <c r="C450" t="s">
        <v>253</v>
      </c>
      <c r="D450" t="s">
        <v>425</v>
      </c>
      <c r="E450">
        <v>7.4851037037037029</v>
      </c>
      <c r="F450">
        <v>15.727187340292369</v>
      </c>
      <c r="G450">
        <v>27</v>
      </c>
      <c r="H450" t="s">
        <v>58</v>
      </c>
      <c r="M450">
        <v>38.939478384288442</v>
      </c>
      <c r="N450">
        <v>-23.969270976881031</v>
      </c>
      <c r="O450">
        <v>62.908749361169477</v>
      </c>
      <c r="P450">
        <v>0.47593403332375861</v>
      </c>
      <c r="R450" t="str">
        <f t="shared" si="12"/>
        <v>yes</v>
      </c>
      <c r="S450" t="str">
        <f t="shared" si="13"/>
        <v>no</v>
      </c>
    </row>
    <row r="451" spans="1:19" x14ac:dyDescent="0.35">
      <c r="A451" s="1">
        <v>449</v>
      </c>
      <c r="B451" t="s">
        <v>75</v>
      </c>
      <c r="C451" t="s">
        <v>253</v>
      </c>
      <c r="D451" t="s">
        <v>426</v>
      </c>
      <c r="E451">
        <v>25.414029629629631</v>
      </c>
      <c r="F451">
        <v>55.535888688712333</v>
      </c>
      <c r="G451">
        <v>27</v>
      </c>
      <c r="H451" t="s">
        <v>58</v>
      </c>
      <c r="M451">
        <v>136.48580700705429</v>
      </c>
      <c r="N451">
        <v>-85.657747747795042</v>
      </c>
      <c r="O451">
        <v>222.1435547548493</v>
      </c>
      <c r="P451">
        <v>0.4576145305260062</v>
      </c>
      <c r="R451" t="str">
        <f t="shared" ref="R451:R514" si="14">IF(H451="yes","yes","no")</f>
        <v>yes</v>
      </c>
      <c r="S451" t="str">
        <f t="shared" ref="S451:S514" si="15">IF(I451,"yes","no")</f>
        <v>no</v>
      </c>
    </row>
    <row r="452" spans="1:19" x14ac:dyDescent="0.35">
      <c r="A452" s="1">
        <v>450</v>
      </c>
      <c r="B452" t="s">
        <v>75</v>
      </c>
      <c r="C452" t="s">
        <v>253</v>
      </c>
      <c r="D452" t="s">
        <v>427</v>
      </c>
      <c r="E452">
        <v>0</v>
      </c>
      <c r="F452">
        <v>0</v>
      </c>
      <c r="G452">
        <v>27</v>
      </c>
      <c r="H452" t="s">
        <v>58</v>
      </c>
      <c r="M452">
        <v>0</v>
      </c>
      <c r="N452">
        <v>0</v>
      </c>
      <c r="O452">
        <v>0</v>
      </c>
      <c r="R452" t="str">
        <f t="shared" si="14"/>
        <v>yes</v>
      </c>
      <c r="S452" t="str">
        <f t="shared" si="15"/>
        <v>no</v>
      </c>
    </row>
    <row r="453" spans="1:19" x14ac:dyDescent="0.35">
      <c r="A453" s="1">
        <v>451</v>
      </c>
      <c r="B453" t="s">
        <v>75</v>
      </c>
      <c r="C453" t="s">
        <v>253</v>
      </c>
      <c r="D453" t="s">
        <v>428</v>
      </c>
      <c r="E453">
        <v>0</v>
      </c>
      <c r="F453">
        <v>0</v>
      </c>
      <c r="G453">
        <v>27</v>
      </c>
      <c r="H453" t="s">
        <v>58</v>
      </c>
      <c r="M453">
        <v>0</v>
      </c>
      <c r="N453">
        <v>0</v>
      </c>
      <c r="O453">
        <v>0</v>
      </c>
      <c r="R453" t="str">
        <f t="shared" si="14"/>
        <v>yes</v>
      </c>
      <c r="S453" t="str">
        <f t="shared" si="15"/>
        <v>no</v>
      </c>
    </row>
    <row r="454" spans="1:19" x14ac:dyDescent="0.35">
      <c r="A454" s="1">
        <v>452</v>
      </c>
      <c r="B454" t="s">
        <v>75</v>
      </c>
      <c r="C454" t="s">
        <v>253</v>
      </c>
      <c r="D454" t="s">
        <v>429</v>
      </c>
      <c r="E454">
        <v>7.2721370370370364</v>
      </c>
      <c r="F454">
        <v>15.31924980063266</v>
      </c>
      <c r="G454">
        <v>27</v>
      </c>
      <c r="H454" t="s">
        <v>58</v>
      </c>
      <c r="M454">
        <v>37.910636638302357</v>
      </c>
      <c r="N454">
        <v>-23.366362564228279</v>
      </c>
      <c r="O454">
        <v>61.276999202530639</v>
      </c>
      <c r="P454">
        <v>0.47470581991141042</v>
      </c>
      <c r="R454" t="str">
        <f t="shared" si="14"/>
        <v>yes</v>
      </c>
      <c r="S454" t="str">
        <f t="shared" si="15"/>
        <v>no</v>
      </c>
    </row>
    <row r="455" spans="1:19" x14ac:dyDescent="0.35">
      <c r="A455" s="1">
        <v>453</v>
      </c>
      <c r="B455" t="s">
        <v>75</v>
      </c>
      <c r="C455" t="s">
        <v>253</v>
      </c>
      <c r="D455" t="s">
        <v>430</v>
      </c>
      <c r="E455">
        <v>32.700833333333343</v>
      </c>
      <c r="F455">
        <v>68.610256696610676</v>
      </c>
      <c r="G455">
        <v>27</v>
      </c>
      <c r="H455" t="s">
        <v>58</v>
      </c>
      <c r="M455">
        <v>169.9213467265547</v>
      </c>
      <c r="N455">
        <v>-104.519680059888</v>
      </c>
      <c r="O455">
        <v>274.44102678644271</v>
      </c>
      <c r="P455">
        <v>0.47661727134958748</v>
      </c>
      <c r="R455" t="str">
        <f t="shared" si="14"/>
        <v>yes</v>
      </c>
      <c r="S455" t="str">
        <f t="shared" si="15"/>
        <v>no</v>
      </c>
    </row>
    <row r="456" spans="1:19" x14ac:dyDescent="0.35">
      <c r="A456" s="1">
        <v>454</v>
      </c>
      <c r="B456" t="s">
        <v>75</v>
      </c>
      <c r="C456" t="s">
        <v>253</v>
      </c>
      <c r="D456" t="s">
        <v>431</v>
      </c>
      <c r="E456">
        <v>0</v>
      </c>
      <c r="F456">
        <v>0</v>
      </c>
      <c r="G456">
        <v>27</v>
      </c>
      <c r="H456" t="s">
        <v>58</v>
      </c>
      <c r="M456">
        <v>0</v>
      </c>
      <c r="N456">
        <v>0</v>
      </c>
      <c r="O456">
        <v>0</v>
      </c>
      <c r="R456" t="str">
        <f t="shared" si="14"/>
        <v>yes</v>
      </c>
      <c r="S456" t="str">
        <f t="shared" si="15"/>
        <v>no</v>
      </c>
    </row>
    <row r="457" spans="1:19" x14ac:dyDescent="0.35">
      <c r="A457" s="1">
        <v>455</v>
      </c>
      <c r="B457" t="s">
        <v>75</v>
      </c>
      <c r="C457" t="s">
        <v>253</v>
      </c>
      <c r="D457" t="s">
        <v>432</v>
      </c>
      <c r="E457">
        <v>0</v>
      </c>
      <c r="F457">
        <v>0</v>
      </c>
      <c r="G457">
        <v>27</v>
      </c>
      <c r="H457" t="s">
        <v>58</v>
      </c>
      <c r="M457">
        <v>0</v>
      </c>
      <c r="N457">
        <v>0</v>
      </c>
      <c r="O457">
        <v>0</v>
      </c>
      <c r="R457" t="str">
        <f t="shared" si="14"/>
        <v>yes</v>
      </c>
      <c r="S457" t="str">
        <f t="shared" si="15"/>
        <v>no</v>
      </c>
    </row>
    <row r="458" spans="1:19" x14ac:dyDescent="0.35">
      <c r="A458" s="1">
        <v>456</v>
      </c>
      <c r="B458" t="s">
        <v>75</v>
      </c>
      <c r="C458" t="s">
        <v>253</v>
      </c>
      <c r="D458" t="s">
        <v>433</v>
      </c>
      <c r="E458">
        <v>6.8284592592592581</v>
      </c>
      <c r="F458">
        <v>14.355520737339759</v>
      </c>
      <c r="G458">
        <v>27</v>
      </c>
      <c r="H458" t="s">
        <v>58</v>
      </c>
      <c r="M458">
        <v>35.53950073393878</v>
      </c>
      <c r="N458">
        <v>-21.88258221542026</v>
      </c>
      <c r="O458">
        <v>57.422082949359037</v>
      </c>
      <c r="P458">
        <v>0.47566782035972649</v>
      </c>
      <c r="R458" t="str">
        <f t="shared" si="14"/>
        <v>yes</v>
      </c>
      <c r="S458" t="str">
        <f t="shared" si="15"/>
        <v>no</v>
      </c>
    </row>
    <row r="459" spans="1:19" x14ac:dyDescent="0.35">
      <c r="A459" s="1">
        <v>457</v>
      </c>
      <c r="B459" t="s">
        <v>75</v>
      </c>
      <c r="C459" t="s">
        <v>253</v>
      </c>
      <c r="D459" t="s">
        <v>434</v>
      </c>
      <c r="E459">
        <v>26.26453703703703</v>
      </c>
      <c r="F459">
        <v>58.666581163278259</v>
      </c>
      <c r="G459">
        <v>27</v>
      </c>
      <c r="H459" t="s">
        <v>58</v>
      </c>
      <c r="M459">
        <v>143.59769936359359</v>
      </c>
      <c r="N459">
        <v>-91.068625289519488</v>
      </c>
      <c r="O459">
        <v>234.66632465311309</v>
      </c>
      <c r="P459">
        <v>0.44769162470774843</v>
      </c>
      <c r="R459" t="str">
        <f t="shared" si="14"/>
        <v>yes</v>
      </c>
      <c r="S459" t="str">
        <f t="shared" si="15"/>
        <v>no</v>
      </c>
    </row>
    <row r="460" spans="1:19" x14ac:dyDescent="0.35">
      <c r="A460" s="1">
        <v>458</v>
      </c>
      <c r="B460" t="s">
        <v>75</v>
      </c>
      <c r="C460" t="s">
        <v>253</v>
      </c>
      <c r="D460" t="s">
        <v>435</v>
      </c>
      <c r="E460">
        <v>0</v>
      </c>
      <c r="F460">
        <v>0</v>
      </c>
      <c r="G460">
        <v>27</v>
      </c>
      <c r="H460" t="s">
        <v>58</v>
      </c>
      <c r="M460">
        <v>0</v>
      </c>
      <c r="N460">
        <v>0</v>
      </c>
      <c r="O460">
        <v>0</v>
      </c>
      <c r="R460" t="str">
        <f t="shared" si="14"/>
        <v>yes</v>
      </c>
      <c r="S460" t="str">
        <f t="shared" si="15"/>
        <v>no</v>
      </c>
    </row>
    <row r="461" spans="1:19" x14ac:dyDescent="0.35">
      <c r="A461" s="1">
        <v>459</v>
      </c>
      <c r="B461" t="s">
        <v>75</v>
      </c>
      <c r="C461" t="s">
        <v>253</v>
      </c>
      <c r="D461" t="s">
        <v>436</v>
      </c>
      <c r="E461">
        <v>0</v>
      </c>
      <c r="F461">
        <v>0</v>
      </c>
      <c r="G461">
        <v>27</v>
      </c>
      <c r="H461" t="s">
        <v>58</v>
      </c>
      <c r="M461">
        <v>0</v>
      </c>
      <c r="N461">
        <v>0</v>
      </c>
      <c r="O461">
        <v>0</v>
      </c>
      <c r="R461" t="str">
        <f t="shared" si="14"/>
        <v>yes</v>
      </c>
      <c r="S461" t="str">
        <f t="shared" si="15"/>
        <v>no</v>
      </c>
    </row>
    <row r="462" spans="1:19" x14ac:dyDescent="0.35">
      <c r="A462" s="1">
        <v>460</v>
      </c>
      <c r="B462" t="s">
        <v>75</v>
      </c>
      <c r="C462" t="s">
        <v>253</v>
      </c>
      <c r="D462" t="s">
        <v>437</v>
      </c>
      <c r="E462">
        <v>6.8462037037037033</v>
      </c>
      <c r="F462">
        <v>14.37989097100999</v>
      </c>
      <c r="G462">
        <v>27</v>
      </c>
      <c r="H462" t="s">
        <v>58</v>
      </c>
      <c r="M462">
        <v>35.605985645723678</v>
      </c>
      <c r="N462">
        <v>-21.91357823831628</v>
      </c>
      <c r="O462">
        <v>57.519563884039961</v>
      </c>
      <c r="P462">
        <v>0.47609566146959809</v>
      </c>
      <c r="R462" t="str">
        <f t="shared" si="14"/>
        <v>yes</v>
      </c>
      <c r="S462" t="str">
        <f t="shared" si="15"/>
        <v>no</v>
      </c>
    </row>
    <row r="463" spans="1:19" x14ac:dyDescent="0.35">
      <c r="A463" s="1">
        <v>461</v>
      </c>
      <c r="B463" t="s">
        <v>75</v>
      </c>
      <c r="C463" t="s">
        <v>253</v>
      </c>
      <c r="D463" t="s">
        <v>438</v>
      </c>
      <c r="E463">
        <v>33.348981481481481</v>
      </c>
      <c r="F463">
        <v>69.953413710480604</v>
      </c>
      <c r="G463">
        <v>27</v>
      </c>
      <c r="H463" t="s">
        <v>58</v>
      </c>
      <c r="M463">
        <v>173.25580890244271</v>
      </c>
      <c r="N463">
        <v>-106.55784593947971</v>
      </c>
      <c r="O463">
        <v>279.81365484192241</v>
      </c>
      <c r="P463">
        <v>0.47673129462279618</v>
      </c>
      <c r="R463" t="str">
        <f t="shared" si="14"/>
        <v>yes</v>
      </c>
      <c r="S463" t="str">
        <f t="shared" si="15"/>
        <v>no</v>
      </c>
    </row>
    <row r="464" spans="1:19" x14ac:dyDescent="0.35">
      <c r="A464" s="1">
        <v>462</v>
      </c>
      <c r="B464" t="s">
        <v>75</v>
      </c>
      <c r="C464" t="s">
        <v>253</v>
      </c>
      <c r="D464" t="s">
        <v>439</v>
      </c>
      <c r="E464">
        <v>0</v>
      </c>
      <c r="F464">
        <v>0</v>
      </c>
      <c r="G464">
        <v>27</v>
      </c>
      <c r="H464" t="s">
        <v>58</v>
      </c>
      <c r="M464">
        <v>0</v>
      </c>
      <c r="N464">
        <v>0</v>
      </c>
      <c r="O464">
        <v>0</v>
      </c>
      <c r="R464" t="str">
        <f t="shared" si="14"/>
        <v>yes</v>
      </c>
      <c r="S464" t="str">
        <f t="shared" si="15"/>
        <v>no</v>
      </c>
    </row>
    <row r="465" spans="1:19" x14ac:dyDescent="0.35">
      <c r="A465" s="1">
        <v>463</v>
      </c>
      <c r="B465" t="s">
        <v>75</v>
      </c>
      <c r="C465" t="s">
        <v>253</v>
      </c>
      <c r="D465" t="s">
        <v>440</v>
      </c>
      <c r="E465">
        <v>0</v>
      </c>
      <c r="F465">
        <v>0</v>
      </c>
      <c r="G465">
        <v>27</v>
      </c>
      <c r="H465" t="s">
        <v>58</v>
      </c>
      <c r="M465">
        <v>0</v>
      </c>
      <c r="N465">
        <v>0</v>
      </c>
      <c r="O465">
        <v>0</v>
      </c>
      <c r="R465" t="str">
        <f t="shared" si="14"/>
        <v>yes</v>
      </c>
      <c r="S465" t="str">
        <f t="shared" si="15"/>
        <v>no</v>
      </c>
    </row>
    <row r="466" spans="1:19" x14ac:dyDescent="0.35">
      <c r="A466" s="1">
        <v>464</v>
      </c>
      <c r="B466" t="s">
        <v>75</v>
      </c>
      <c r="C466" t="s">
        <v>253</v>
      </c>
      <c r="D466" t="s">
        <v>441</v>
      </c>
      <c r="E466">
        <v>6.7929629629629629</v>
      </c>
      <c r="F466">
        <v>14.26728950543731</v>
      </c>
      <c r="G466">
        <v>27</v>
      </c>
      <c r="H466" t="s">
        <v>58</v>
      </c>
      <c r="M466">
        <v>35.327541973837583</v>
      </c>
      <c r="N466">
        <v>-21.741616047911659</v>
      </c>
      <c r="O466">
        <v>57.069158021749239</v>
      </c>
      <c r="P466">
        <v>0.47612147776030922</v>
      </c>
      <c r="R466" t="str">
        <f t="shared" si="14"/>
        <v>yes</v>
      </c>
      <c r="S466" t="str">
        <f t="shared" si="15"/>
        <v>no</v>
      </c>
    </row>
    <row r="467" spans="1:19" x14ac:dyDescent="0.35">
      <c r="A467" s="1">
        <v>465</v>
      </c>
      <c r="B467" t="s">
        <v>75</v>
      </c>
      <c r="C467" t="s">
        <v>253</v>
      </c>
      <c r="D467" t="s">
        <v>442</v>
      </c>
      <c r="E467">
        <v>27.297862962962959</v>
      </c>
      <c r="F467">
        <v>59.794251433147657</v>
      </c>
      <c r="G467">
        <v>27</v>
      </c>
      <c r="H467" t="s">
        <v>58</v>
      </c>
      <c r="M467">
        <v>146.8863658292583</v>
      </c>
      <c r="N467">
        <v>-92.290639903332362</v>
      </c>
      <c r="O467">
        <v>239.1770057325906</v>
      </c>
      <c r="P467">
        <v>0.45652988888878482</v>
      </c>
      <c r="R467" t="str">
        <f t="shared" si="14"/>
        <v>yes</v>
      </c>
      <c r="S467" t="str">
        <f t="shared" si="15"/>
        <v>no</v>
      </c>
    </row>
    <row r="468" spans="1:19" x14ac:dyDescent="0.35">
      <c r="A468" s="1">
        <v>466</v>
      </c>
      <c r="B468" t="s">
        <v>75</v>
      </c>
      <c r="C468" t="s">
        <v>253</v>
      </c>
      <c r="D468" t="s">
        <v>443</v>
      </c>
      <c r="E468">
        <v>0</v>
      </c>
      <c r="F468">
        <v>0</v>
      </c>
      <c r="G468">
        <v>27</v>
      </c>
      <c r="H468" t="s">
        <v>58</v>
      </c>
      <c r="M468">
        <v>0</v>
      </c>
      <c r="N468">
        <v>0</v>
      </c>
      <c r="O468">
        <v>0</v>
      </c>
      <c r="R468" t="str">
        <f t="shared" si="14"/>
        <v>yes</v>
      </c>
      <c r="S468" t="str">
        <f t="shared" si="15"/>
        <v>no</v>
      </c>
    </row>
    <row r="469" spans="1:19" x14ac:dyDescent="0.35">
      <c r="A469" s="1">
        <v>467</v>
      </c>
      <c r="B469" t="s">
        <v>75</v>
      </c>
      <c r="C469" t="s">
        <v>253</v>
      </c>
      <c r="D469" t="s">
        <v>444</v>
      </c>
      <c r="E469">
        <v>0</v>
      </c>
      <c r="F469">
        <v>0</v>
      </c>
      <c r="G469">
        <v>27</v>
      </c>
      <c r="H469" t="s">
        <v>58</v>
      </c>
      <c r="M469">
        <v>0</v>
      </c>
      <c r="N469">
        <v>0</v>
      </c>
      <c r="O469">
        <v>0</v>
      </c>
      <c r="R469" t="str">
        <f t="shared" si="14"/>
        <v>yes</v>
      </c>
      <c r="S469" t="str">
        <f t="shared" si="15"/>
        <v>no</v>
      </c>
    </row>
    <row r="470" spans="1:19" x14ac:dyDescent="0.35">
      <c r="A470" s="1">
        <v>468</v>
      </c>
      <c r="B470" t="s">
        <v>75</v>
      </c>
      <c r="C470" t="s">
        <v>253</v>
      </c>
      <c r="D470" t="s">
        <v>445</v>
      </c>
      <c r="E470">
        <v>6.3670333333333327</v>
      </c>
      <c r="F470">
        <v>13.381936920341539</v>
      </c>
      <c r="G470">
        <v>27</v>
      </c>
      <c r="H470" t="s">
        <v>58</v>
      </c>
      <c r="M470">
        <v>33.130907174016407</v>
      </c>
      <c r="N470">
        <v>-20.396840507349751</v>
      </c>
      <c r="O470">
        <v>53.527747681366172</v>
      </c>
      <c r="P470">
        <v>0.47579310612763148</v>
      </c>
      <c r="R470" t="str">
        <f t="shared" si="14"/>
        <v>yes</v>
      </c>
      <c r="S470" t="str">
        <f t="shared" si="15"/>
        <v>no</v>
      </c>
    </row>
    <row r="471" spans="1:19" x14ac:dyDescent="0.35">
      <c r="A471" s="1">
        <v>469</v>
      </c>
      <c r="B471" t="s">
        <v>75</v>
      </c>
      <c r="C471" t="s">
        <v>253</v>
      </c>
      <c r="D471" t="s">
        <v>446</v>
      </c>
      <c r="E471">
        <v>0</v>
      </c>
      <c r="F471">
        <v>0</v>
      </c>
      <c r="G471">
        <v>27</v>
      </c>
      <c r="H471" t="s">
        <v>58</v>
      </c>
      <c r="M471">
        <v>0</v>
      </c>
      <c r="N471">
        <v>0</v>
      </c>
      <c r="O471">
        <v>0</v>
      </c>
      <c r="R471" t="str">
        <f t="shared" si="14"/>
        <v>yes</v>
      </c>
      <c r="S471" t="str">
        <f t="shared" si="15"/>
        <v>no</v>
      </c>
    </row>
    <row r="472" spans="1:19" x14ac:dyDescent="0.35">
      <c r="A472" s="1">
        <v>470</v>
      </c>
      <c r="B472" t="s">
        <v>75</v>
      </c>
      <c r="C472" t="s">
        <v>253</v>
      </c>
      <c r="D472" t="s">
        <v>447</v>
      </c>
      <c r="E472">
        <v>2.9957555555555562</v>
      </c>
      <c r="F472">
        <v>5.6045454517067581</v>
      </c>
      <c r="G472">
        <v>27</v>
      </c>
      <c r="H472" t="s">
        <v>58</v>
      </c>
      <c r="M472">
        <v>14.204846458969071</v>
      </c>
      <c r="N472">
        <v>-8.21333534785796</v>
      </c>
      <c r="O472">
        <v>22.418181806827029</v>
      </c>
      <c r="P472">
        <v>0.5345224838248489</v>
      </c>
      <c r="R472" t="str">
        <f t="shared" si="14"/>
        <v>yes</v>
      </c>
      <c r="S472" t="str">
        <f t="shared" si="15"/>
        <v>no</v>
      </c>
    </row>
    <row r="473" spans="1:19" x14ac:dyDescent="0.35">
      <c r="A473" s="1">
        <v>471</v>
      </c>
      <c r="B473" t="s">
        <v>75</v>
      </c>
      <c r="C473" t="s">
        <v>253</v>
      </c>
      <c r="D473" t="s">
        <v>448</v>
      </c>
      <c r="E473">
        <v>0</v>
      </c>
      <c r="F473">
        <v>0</v>
      </c>
      <c r="G473">
        <v>27</v>
      </c>
      <c r="H473" t="s">
        <v>58</v>
      </c>
      <c r="M473">
        <v>0</v>
      </c>
      <c r="N473">
        <v>0</v>
      </c>
      <c r="O473">
        <v>0</v>
      </c>
      <c r="R473" t="str">
        <f t="shared" si="14"/>
        <v>yes</v>
      </c>
      <c r="S473" t="str">
        <f t="shared" si="15"/>
        <v>no</v>
      </c>
    </row>
    <row r="474" spans="1:19" x14ac:dyDescent="0.35">
      <c r="A474" s="1">
        <v>472</v>
      </c>
      <c r="B474" t="s">
        <v>75</v>
      </c>
      <c r="C474" t="s">
        <v>253</v>
      </c>
      <c r="D474" t="s">
        <v>449</v>
      </c>
      <c r="E474">
        <v>9.4719370370370353</v>
      </c>
      <c r="F474">
        <v>17.826589981471979</v>
      </c>
      <c r="G474">
        <v>27</v>
      </c>
      <c r="H474" t="s">
        <v>58</v>
      </c>
      <c r="M474">
        <v>45.125116999981003</v>
      </c>
      <c r="N474">
        <v>-26.181242925906918</v>
      </c>
      <c r="O474">
        <v>71.306359925887918</v>
      </c>
      <c r="P474">
        <v>0.53133757195748987</v>
      </c>
      <c r="R474" t="str">
        <f t="shared" si="14"/>
        <v>yes</v>
      </c>
      <c r="S474" t="str">
        <f t="shared" si="15"/>
        <v>no</v>
      </c>
    </row>
    <row r="475" spans="1:19" x14ac:dyDescent="0.35">
      <c r="A475" s="1">
        <v>473</v>
      </c>
      <c r="B475" t="s">
        <v>75</v>
      </c>
      <c r="C475" t="s">
        <v>253</v>
      </c>
      <c r="D475" t="s">
        <v>450</v>
      </c>
      <c r="E475">
        <v>0</v>
      </c>
      <c r="F475">
        <v>0</v>
      </c>
      <c r="G475">
        <v>27</v>
      </c>
      <c r="H475" t="s">
        <v>58</v>
      </c>
      <c r="M475">
        <v>0</v>
      </c>
      <c r="N475">
        <v>0</v>
      </c>
      <c r="O475">
        <v>0</v>
      </c>
      <c r="R475" t="str">
        <f t="shared" si="14"/>
        <v>yes</v>
      </c>
      <c r="S475" t="str">
        <f t="shared" si="15"/>
        <v>no</v>
      </c>
    </row>
    <row r="476" spans="1:19" x14ac:dyDescent="0.35">
      <c r="A476" s="1">
        <v>474</v>
      </c>
      <c r="B476" t="s">
        <v>75</v>
      </c>
      <c r="C476" t="s">
        <v>253</v>
      </c>
      <c r="D476" t="s">
        <v>451</v>
      </c>
      <c r="E476">
        <v>3.994340740740741</v>
      </c>
      <c r="F476">
        <v>6.1556924987129253</v>
      </c>
      <c r="G476">
        <v>27</v>
      </c>
      <c r="H476" t="s">
        <v>58</v>
      </c>
      <c r="M476">
        <v>16.30572573816659</v>
      </c>
      <c r="N476">
        <v>-8.3170442566851097</v>
      </c>
      <c r="O476">
        <v>24.622769994851701</v>
      </c>
      <c r="P476">
        <v>0.64888568452305007</v>
      </c>
      <c r="R476" t="str">
        <f t="shared" si="14"/>
        <v>yes</v>
      </c>
      <c r="S476" t="str">
        <f t="shared" si="15"/>
        <v>no</v>
      </c>
    </row>
    <row r="477" spans="1:19" x14ac:dyDescent="0.35">
      <c r="A477" s="1">
        <v>475</v>
      </c>
      <c r="B477" t="s">
        <v>75</v>
      </c>
      <c r="C477" t="s">
        <v>253</v>
      </c>
      <c r="D477" t="s">
        <v>452</v>
      </c>
      <c r="E477">
        <v>0</v>
      </c>
      <c r="F477">
        <v>0</v>
      </c>
      <c r="G477">
        <v>27</v>
      </c>
      <c r="H477" t="s">
        <v>58</v>
      </c>
      <c r="M477">
        <v>0</v>
      </c>
      <c r="N477">
        <v>0</v>
      </c>
      <c r="O477">
        <v>0</v>
      </c>
      <c r="R477" t="str">
        <f t="shared" si="14"/>
        <v>yes</v>
      </c>
      <c r="S477" t="str">
        <f t="shared" si="15"/>
        <v>no</v>
      </c>
    </row>
    <row r="478" spans="1:19" x14ac:dyDescent="0.35">
      <c r="A478" s="1">
        <v>476</v>
      </c>
      <c r="B478" t="s">
        <v>75</v>
      </c>
      <c r="C478" t="s">
        <v>253</v>
      </c>
      <c r="D478" t="s">
        <v>453</v>
      </c>
      <c r="E478">
        <v>12.0436</v>
      </c>
      <c r="F478">
        <v>18.7751927590243</v>
      </c>
      <c r="G478">
        <v>27</v>
      </c>
      <c r="H478" t="s">
        <v>58</v>
      </c>
      <c r="M478">
        <v>49.593985518048598</v>
      </c>
      <c r="N478">
        <v>-25.506785518048599</v>
      </c>
      <c r="O478">
        <v>75.1007710360972</v>
      </c>
      <c r="P478">
        <v>0.64146345417472428</v>
      </c>
      <c r="R478" t="str">
        <f t="shared" si="14"/>
        <v>yes</v>
      </c>
      <c r="S478" t="str">
        <f t="shared" si="15"/>
        <v>no</v>
      </c>
    </row>
    <row r="479" spans="1:19" x14ac:dyDescent="0.35">
      <c r="A479" s="1">
        <v>477</v>
      </c>
      <c r="B479" t="s">
        <v>75</v>
      </c>
      <c r="C479" t="s">
        <v>253</v>
      </c>
      <c r="D479" t="s">
        <v>454</v>
      </c>
      <c r="E479">
        <v>0</v>
      </c>
      <c r="F479">
        <v>0</v>
      </c>
      <c r="G479">
        <v>27</v>
      </c>
      <c r="H479" t="s">
        <v>58</v>
      </c>
      <c r="M479">
        <v>0</v>
      </c>
      <c r="N479">
        <v>0</v>
      </c>
      <c r="O479">
        <v>0</v>
      </c>
      <c r="R479" t="str">
        <f t="shared" si="14"/>
        <v>yes</v>
      </c>
      <c r="S479" t="str">
        <f t="shared" si="15"/>
        <v>no</v>
      </c>
    </row>
    <row r="480" spans="1:19" x14ac:dyDescent="0.35">
      <c r="A480" s="1">
        <v>478</v>
      </c>
      <c r="B480" t="s">
        <v>75</v>
      </c>
      <c r="C480" t="s">
        <v>253</v>
      </c>
      <c r="D480" t="s">
        <v>455</v>
      </c>
      <c r="E480">
        <v>2.9957555555555562</v>
      </c>
      <c r="F480">
        <v>5.6045454517067581</v>
      </c>
      <c r="G480">
        <v>27</v>
      </c>
      <c r="H480" t="s">
        <v>58</v>
      </c>
      <c r="M480">
        <v>14.204846458969071</v>
      </c>
      <c r="N480">
        <v>-8.21333534785796</v>
      </c>
      <c r="O480">
        <v>22.418181806827029</v>
      </c>
      <c r="P480">
        <v>0.5345224838248489</v>
      </c>
      <c r="R480" t="str">
        <f t="shared" si="14"/>
        <v>yes</v>
      </c>
      <c r="S480" t="str">
        <f t="shared" si="15"/>
        <v>no</v>
      </c>
    </row>
    <row r="481" spans="1:19" x14ac:dyDescent="0.35">
      <c r="A481" s="1">
        <v>479</v>
      </c>
      <c r="B481" t="s">
        <v>75</v>
      </c>
      <c r="C481" t="s">
        <v>253</v>
      </c>
      <c r="D481" t="s">
        <v>456</v>
      </c>
      <c r="E481">
        <v>0</v>
      </c>
      <c r="F481">
        <v>0</v>
      </c>
      <c r="G481">
        <v>27</v>
      </c>
      <c r="H481" t="s">
        <v>58</v>
      </c>
      <c r="M481">
        <v>0</v>
      </c>
      <c r="N481">
        <v>0</v>
      </c>
      <c r="O481">
        <v>0</v>
      </c>
      <c r="R481" t="str">
        <f t="shared" si="14"/>
        <v>yes</v>
      </c>
      <c r="S481" t="str">
        <f t="shared" si="15"/>
        <v>no</v>
      </c>
    </row>
    <row r="482" spans="1:19" x14ac:dyDescent="0.35">
      <c r="A482" s="1">
        <v>480</v>
      </c>
      <c r="B482" t="s">
        <v>75</v>
      </c>
      <c r="C482" t="s">
        <v>253</v>
      </c>
      <c r="D482" t="s">
        <v>457</v>
      </c>
      <c r="E482">
        <v>8.4071148148148147</v>
      </c>
      <c r="F482">
        <v>15.8467746696339</v>
      </c>
      <c r="G482">
        <v>27</v>
      </c>
      <c r="H482" t="s">
        <v>58</v>
      </c>
      <c r="M482">
        <v>40.100664154082622</v>
      </c>
      <c r="N482">
        <v>-23.286434524452989</v>
      </c>
      <c r="O482">
        <v>63.387098678535601</v>
      </c>
      <c r="P482">
        <v>0.53052529553062922</v>
      </c>
      <c r="R482" t="str">
        <f t="shared" si="14"/>
        <v>yes</v>
      </c>
      <c r="S482" t="str">
        <f t="shared" si="15"/>
        <v>no</v>
      </c>
    </row>
    <row r="483" spans="1:19" x14ac:dyDescent="0.35">
      <c r="A483" s="1">
        <v>481</v>
      </c>
      <c r="B483" t="s">
        <v>75</v>
      </c>
      <c r="C483" t="s">
        <v>253</v>
      </c>
      <c r="D483" t="s">
        <v>458</v>
      </c>
      <c r="E483">
        <v>0</v>
      </c>
      <c r="F483">
        <v>0</v>
      </c>
      <c r="G483">
        <v>27</v>
      </c>
      <c r="H483" t="s">
        <v>58</v>
      </c>
      <c r="M483">
        <v>0</v>
      </c>
      <c r="N483">
        <v>0</v>
      </c>
      <c r="O483">
        <v>0</v>
      </c>
      <c r="R483" t="str">
        <f t="shared" si="14"/>
        <v>yes</v>
      </c>
      <c r="S483" t="str">
        <f t="shared" si="15"/>
        <v>no</v>
      </c>
    </row>
    <row r="484" spans="1:19" x14ac:dyDescent="0.35">
      <c r="A484" s="1">
        <v>482</v>
      </c>
      <c r="B484" t="s">
        <v>75</v>
      </c>
      <c r="C484" t="s">
        <v>253</v>
      </c>
      <c r="D484" t="s">
        <v>459</v>
      </c>
      <c r="E484">
        <v>3.994340740740741</v>
      </c>
      <c r="F484">
        <v>6.1556924987129253</v>
      </c>
      <c r="G484">
        <v>27</v>
      </c>
      <c r="H484" t="s">
        <v>58</v>
      </c>
      <c r="M484">
        <v>16.30572573816659</v>
      </c>
      <c r="N484">
        <v>-8.3170442566851097</v>
      </c>
      <c r="O484">
        <v>24.622769994851701</v>
      </c>
      <c r="P484">
        <v>0.64888568452305007</v>
      </c>
      <c r="R484" t="str">
        <f t="shared" si="14"/>
        <v>yes</v>
      </c>
      <c r="S484" t="str">
        <f t="shared" si="15"/>
        <v>no</v>
      </c>
    </row>
    <row r="485" spans="1:19" x14ac:dyDescent="0.35">
      <c r="A485" s="1">
        <v>483</v>
      </c>
      <c r="B485" t="s">
        <v>75</v>
      </c>
      <c r="C485" t="s">
        <v>253</v>
      </c>
      <c r="D485" t="s">
        <v>460</v>
      </c>
      <c r="E485">
        <v>0</v>
      </c>
      <c r="F485">
        <v>0</v>
      </c>
      <c r="G485">
        <v>27</v>
      </c>
      <c r="H485" t="s">
        <v>58</v>
      </c>
      <c r="M485">
        <v>0</v>
      </c>
      <c r="N485">
        <v>0</v>
      </c>
      <c r="O485">
        <v>0</v>
      </c>
      <c r="R485" t="str">
        <f t="shared" si="14"/>
        <v>yes</v>
      </c>
      <c r="S485" t="str">
        <f t="shared" si="15"/>
        <v>no</v>
      </c>
    </row>
    <row r="486" spans="1:19" x14ac:dyDescent="0.35">
      <c r="A486" s="1">
        <v>484</v>
      </c>
      <c r="B486" t="s">
        <v>75</v>
      </c>
      <c r="C486" t="s">
        <v>253</v>
      </c>
      <c r="D486" t="s">
        <v>461</v>
      </c>
      <c r="E486">
        <v>10.978774074074069</v>
      </c>
      <c r="F486">
        <v>17.049076652973241</v>
      </c>
      <c r="G486">
        <v>27</v>
      </c>
      <c r="H486" t="s">
        <v>58</v>
      </c>
      <c r="M486">
        <v>45.07692738002055</v>
      </c>
      <c r="N486">
        <v>-23.119379231872411</v>
      </c>
      <c r="O486">
        <v>68.196306611892965</v>
      </c>
      <c r="P486">
        <v>0.64395124132188397</v>
      </c>
      <c r="R486" t="str">
        <f t="shared" si="14"/>
        <v>yes</v>
      </c>
      <c r="S486" t="str">
        <f t="shared" si="15"/>
        <v>no</v>
      </c>
    </row>
    <row r="487" spans="1:19" x14ac:dyDescent="0.35">
      <c r="A487" s="1">
        <v>485</v>
      </c>
      <c r="B487" t="s">
        <v>75</v>
      </c>
      <c r="C487" t="s">
        <v>253</v>
      </c>
      <c r="D487" t="s">
        <v>462</v>
      </c>
      <c r="E487">
        <v>0</v>
      </c>
      <c r="F487">
        <v>0</v>
      </c>
      <c r="G487">
        <v>27</v>
      </c>
      <c r="H487" t="s">
        <v>58</v>
      </c>
      <c r="M487">
        <v>0</v>
      </c>
      <c r="N487">
        <v>0</v>
      </c>
      <c r="O487">
        <v>0</v>
      </c>
      <c r="R487" t="str">
        <f t="shared" si="14"/>
        <v>yes</v>
      </c>
      <c r="S487" t="str">
        <f t="shared" si="15"/>
        <v>no</v>
      </c>
    </row>
    <row r="488" spans="1:19" x14ac:dyDescent="0.35">
      <c r="A488" s="1">
        <v>486</v>
      </c>
      <c r="B488" t="s">
        <v>75</v>
      </c>
      <c r="C488" t="s">
        <v>253</v>
      </c>
      <c r="D488" t="s">
        <v>463</v>
      </c>
      <c r="E488">
        <v>2.9957555555555562</v>
      </c>
      <c r="F488">
        <v>5.6045454517067581</v>
      </c>
      <c r="G488">
        <v>27</v>
      </c>
      <c r="H488" t="s">
        <v>58</v>
      </c>
      <c r="M488">
        <v>14.204846458969071</v>
      </c>
      <c r="N488">
        <v>-8.21333534785796</v>
      </c>
      <c r="O488">
        <v>22.418181806827029</v>
      </c>
      <c r="P488">
        <v>0.5345224838248489</v>
      </c>
      <c r="R488" t="str">
        <f t="shared" si="14"/>
        <v>yes</v>
      </c>
      <c r="S488" t="str">
        <f t="shared" si="15"/>
        <v>no</v>
      </c>
    </row>
    <row r="489" spans="1:19" x14ac:dyDescent="0.35">
      <c r="A489" s="1">
        <v>487</v>
      </c>
      <c r="B489" t="s">
        <v>75</v>
      </c>
      <c r="C489" t="s">
        <v>253</v>
      </c>
      <c r="D489" t="s">
        <v>464</v>
      </c>
      <c r="E489">
        <v>0</v>
      </c>
      <c r="F489">
        <v>0</v>
      </c>
      <c r="G489">
        <v>27</v>
      </c>
      <c r="H489" t="s">
        <v>58</v>
      </c>
      <c r="M489">
        <v>0</v>
      </c>
      <c r="N489">
        <v>0</v>
      </c>
      <c r="O489">
        <v>0</v>
      </c>
      <c r="R489" t="str">
        <f t="shared" si="14"/>
        <v>yes</v>
      </c>
      <c r="S489" t="str">
        <f t="shared" si="15"/>
        <v>no</v>
      </c>
    </row>
    <row r="490" spans="1:19" x14ac:dyDescent="0.35">
      <c r="A490" s="1">
        <v>488</v>
      </c>
      <c r="B490" t="s">
        <v>75</v>
      </c>
      <c r="C490" t="s">
        <v>253</v>
      </c>
      <c r="D490" t="s">
        <v>465</v>
      </c>
      <c r="E490">
        <v>8.300633333333332</v>
      </c>
      <c r="F490">
        <v>15.60608487937389</v>
      </c>
      <c r="G490">
        <v>27</v>
      </c>
      <c r="H490" t="s">
        <v>58</v>
      </c>
      <c r="M490">
        <v>39.512803092081107</v>
      </c>
      <c r="N490">
        <v>-22.91153642541445</v>
      </c>
      <c r="O490">
        <v>62.424339517495561</v>
      </c>
      <c r="P490">
        <v>0.53188441543747067</v>
      </c>
      <c r="R490" t="str">
        <f t="shared" si="14"/>
        <v>yes</v>
      </c>
      <c r="S490" t="str">
        <f t="shared" si="15"/>
        <v>no</v>
      </c>
    </row>
    <row r="491" spans="1:19" x14ac:dyDescent="0.35">
      <c r="A491" s="1">
        <v>489</v>
      </c>
      <c r="B491" t="s">
        <v>75</v>
      </c>
      <c r="C491" t="s">
        <v>253</v>
      </c>
      <c r="D491" t="s">
        <v>466</v>
      </c>
      <c r="E491">
        <v>0</v>
      </c>
      <c r="F491">
        <v>0</v>
      </c>
      <c r="G491">
        <v>27</v>
      </c>
      <c r="H491" t="s">
        <v>58</v>
      </c>
      <c r="M491">
        <v>0</v>
      </c>
      <c r="N491">
        <v>0</v>
      </c>
      <c r="O491">
        <v>0</v>
      </c>
      <c r="R491" t="str">
        <f t="shared" si="14"/>
        <v>yes</v>
      </c>
      <c r="S491" t="str">
        <f t="shared" si="15"/>
        <v>no</v>
      </c>
    </row>
    <row r="492" spans="1:19" x14ac:dyDescent="0.35">
      <c r="A492" s="1">
        <v>490</v>
      </c>
      <c r="B492" t="s">
        <v>75</v>
      </c>
      <c r="C492" t="s">
        <v>253</v>
      </c>
      <c r="D492" t="s">
        <v>467</v>
      </c>
      <c r="E492">
        <v>3.994340740740741</v>
      </c>
      <c r="F492">
        <v>6.1556924987129253</v>
      </c>
      <c r="G492">
        <v>27</v>
      </c>
      <c r="H492" t="s">
        <v>58</v>
      </c>
      <c r="M492">
        <v>16.30572573816659</v>
      </c>
      <c r="N492">
        <v>-8.3170442566851097</v>
      </c>
      <c r="O492">
        <v>24.622769994851701</v>
      </c>
      <c r="P492">
        <v>0.64888568452305007</v>
      </c>
      <c r="R492" t="str">
        <f t="shared" si="14"/>
        <v>yes</v>
      </c>
      <c r="S492" t="str">
        <f t="shared" si="15"/>
        <v>no</v>
      </c>
    </row>
    <row r="493" spans="1:19" x14ac:dyDescent="0.35">
      <c r="A493" s="1">
        <v>491</v>
      </c>
      <c r="B493" t="s">
        <v>75</v>
      </c>
      <c r="C493" t="s">
        <v>253</v>
      </c>
      <c r="D493" t="s">
        <v>468</v>
      </c>
      <c r="E493">
        <v>0</v>
      </c>
      <c r="F493">
        <v>0</v>
      </c>
      <c r="G493">
        <v>27</v>
      </c>
      <c r="H493" t="s">
        <v>58</v>
      </c>
      <c r="M493">
        <v>0</v>
      </c>
      <c r="N493">
        <v>0</v>
      </c>
      <c r="O493">
        <v>0</v>
      </c>
      <c r="R493" t="str">
        <f t="shared" si="14"/>
        <v>yes</v>
      </c>
      <c r="S493" t="str">
        <f t="shared" si="15"/>
        <v>no</v>
      </c>
    </row>
    <row r="494" spans="1:19" x14ac:dyDescent="0.35">
      <c r="A494" s="1">
        <v>492</v>
      </c>
      <c r="B494" t="s">
        <v>75</v>
      </c>
      <c r="C494" t="s">
        <v>253</v>
      </c>
      <c r="D494" t="s">
        <v>469</v>
      </c>
      <c r="E494">
        <v>10.641570370370371</v>
      </c>
      <c r="F494">
        <v>16.53660454154863</v>
      </c>
      <c r="G494">
        <v>27</v>
      </c>
      <c r="H494" t="s">
        <v>58</v>
      </c>
      <c r="M494">
        <v>43.714779453467628</v>
      </c>
      <c r="N494">
        <v>-22.43163871272689</v>
      </c>
      <c r="O494">
        <v>66.146418166194522</v>
      </c>
      <c r="P494">
        <v>0.6435160460923619</v>
      </c>
      <c r="R494" t="str">
        <f t="shared" si="14"/>
        <v>yes</v>
      </c>
      <c r="S494" t="str">
        <f t="shared" si="15"/>
        <v>no</v>
      </c>
    </row>
    <row r="495" spans="1:19" x14ac:dyDescent="0.35">
      <c r="A495" s="1">
        <v>493</v>
      </c>
      <c r="B495" t="s">
        <v>75</v>
      </c>
      <c r="C495" t="s">
        <v>253</v>
      </c>
      <c r="D495" t="s">
        <v>470</v>
      </c>
      <c r="E495">
        <v>33.348981481481481</v>
      </c>
      <c r="F495">
        <v>69.953413710480604</v>
      </c>
      <c r="G495">
        <v>27</v>
      </c>
      <c r="H495" t="s">
        <v>58</v>
      </c>
      <c r="M495">
        <v>173.25580890244271</v>
      </c>
      <c r="N495">
        <v>-106.55784593947971</v>
      </c>
      <c r="O495">
        <v>279.81365484192241</v>
      </c>
      <c r="P495">
        <v>0.47673129462279618</v>
      </c>
      <c r="R495" t="str">
        <f t="shared" si="14"/>
        <v>yes</v>
      </c>
      <c r="S495" t="str">
        <f t="shared" si="15"/>
        <v>no</v>
      </c>
    </row>
    <row r="496" spans="1:19" x14ac:dyDescent="0.35">
      <c r="A496" s="1">
        <v>494</v>
      </c>
      <c r="B496" t="s">
        <v>75</v>
      </c>
      <c r="C496" t="s">
        <v>253</v>
      </c>
      <c r="D496" t="s">
        <v>471</v>
      </c>
      <c r="E496">
        <v>0</v>
      </c>
      <c r="F496">
        <v>0</v>
      </c>
      <c r="G496">
        <v>27</v>
      </c>
      <c r="H496" t="s">
        <v>58</v>
      </c>
      <c r="M496">
        <v>0</v>
      </c>
      <c r="N496">
        <v>0</v>
      </c>
      <c r="O496">
        <v>0</v>
      </c>
      <c r="R496" t="str">
        <f t="shared" si="14"/>
        <v>yes</v>
      </c>
      <c r="S496" t="str">
        <f t="shared" si="15"/>
        <v>no</v>
      </c>
    </row>
    <row r="497" spans="1:19" x14ac:dyDescent="0.35">
      <c r="A497" s="1">
        <v>495</v>
      </c>
      <c r="B497" t="s">
        <v>75</v>
      </c>
      <c r="C497" t="s">
        <v>253</v>
      </c>
      <c r="D497" t="s">
        <v>472</v>
      </c>
      <c r="E497">
        <v>0</v>
      </c>
      <c r="F497">
        <v>0</v>
      </c>
      <c r="G497">
        <v>27</v>
      </c>
      <c r="H497" t="s">
        <v>58</v>
      </c>
      <c r="M497">
        <v>0</v>
      </c>
      <c r="N497">
        <v>0</v>
      </c>
      <c r="O497">
        <v>0</v>
      </c>
      <c r="R497" t="str">
        <f t="shared" si="14"/>
        <v>yes</v>
      </c>
      <c r="S497" t="str">
        <f t="shared" si="15"/>
        <v>no</v>
      </c>
    </row>
    <row r="498" spans="1:19" x14ac:dyDescent="0.35">
      <c r="A498" s="1">
        <v>496</v>
      </c>
      <c r="B498" t="s">
        <v>75</v>
      </c>
      <c r="C498" t="s">
        <v>253</v>
      </c>
      <c r="D498" t="s">
        <v>473</v>
      </c>
      <c r="E498">
        <v>6.8994444444444447</v>
      </c>
      <c r="F498">
        <v>14.49670227399969</v>
      </c>
      <c r="G498">
        <v>27</v>
      </c>
      <c r="H498" t="s">
        <v>58</v>
      </c>
      <c r="M498">
        <v>35.892848992443817</v>
      </c>
      <c r="N498">
        <v>-22.093960103554931</v>
      </c>
      <c r="O498">
        <v>57.986809095998758</v>
      </c>
      <c r="P498">
        <v>0.47593199570765998</v>
      </c>
      <c r="R498" t="str">
        <f t="shared" si="14"/>
        <v>yes</v>
      </c>
      <c r="S498" t="str">
        <f t="shared" si="15"/>
        <v>no</v>
      </c>
    </row>
    <row r="499" spans="1:19" x14ac:dyDescent="0.35">
      <c r="A499" s="1">
        <v>497</v>
      </c>
      <c r="B499" t="s">
        <v>75</v>
      </c>
      <c r="C499" t="s">
        <v>253</v>
      </c>
      <c r="D499" t="s">
        <v>474</v>
      </c>
      <c r="E499">
        <v>28.42468518518519</v>
      </c>
      <c r="F499">
        <v>61.249085088427343</v>
      </c>
      <c r="G499">
        <v>27</v>
      </c>
      <c r="H499" t="s">
        <v>58</v>
      </c>
      <c r="M499">
        <v>150.92285536203991</v>
      </c>
      <c r="N499">
        <v>-94.073484991669488</v>
      </c>
      <c r="O499">
        <v>244.9963403537094</v>
      </c>
      <c r="P499">
        <v>0.46408342498745131</v>
      </c>
      <c r="R499" t="str">
        <f t="shared" si="14"/>
        <v>yes</v>
      </c>
      <c r="S499" t="str">
        <f t="shared" si="15"/>
        <v>no</v>
      </c>
    </row>
    <row r="500" spans="1:19" x14ac:dyDescent="0.35">
      <c r="A500" s="1">
        <v>498</v>
      </c>
      <c r="B500" t="s">
        <v>75</v>
      </c>
      <c r="C500" t="s">
        <v>253</v>
      </c>
      <c r="D500" t="s">
        <v>475</v>
      </c>
      <c r="E500">
        <v>0</v>
      </c>
      <c r="F500">
        <v>0</v>
      </c>
      <c r="G500">
        <v>27</v>
      </c>
      <c r="H500" t="s">
        <v>58</v>
      </c>
      <c r="M500">
        <v>0</v>
      </c>
      <c r="N500">
        <v>0</v>
      </c>
      <c r="O500">
        <v>0</v>
      </c>
      <c r="R500" t="str">
        <f t="shared" si="14"/>
        <v>yes</v>
      </c>
      <c r="S500" t="str">
        <f t="shared" si="15"/>
        <v>no</v>
      </c>
    </row>
    <row r="501" spans="1:19" x14ac:dyDescent="0.35">
      <c r="A501" s="1">
        <v>499</v>
      </c>
      <c r="B501" t="s">
        <v>75</v>
      </c>
      <c r="C501" t="s">
        <v>253</v>
      </c>
      <c r="D501" t="s">
        <v>476</v>
      </c>
      <c r="E501">
        <v>0</v>
      </c>
      <c r="F501">
        <v>0</v>
      </c>
      <c r="G501">
        <v>27</v>
      </c>
      <c r="H501" t="s">
        <v>58</v>
      </c>
      <c r="M501">
        <v>0</v>
      </c>
      <c r="N501">
        <v>0</v>
      </c>
      <c r="O501">
        <v>0</v>
      </c>
      <c r="R501" t="str">
        <f t="shared" si="14"/>
        <v>yes</v>
      </c>
      <c r="S501" t="str">
        <f t="shared" si="15"/>
        <v>no</v>
      </c>
    </row>
    <row r="502" spans="1:19" x14ac:dyDescent="0.35">
      <c r="A502" s="1">
        <v>500</v>
      </c>
      <c r="B502" t="s">
        <v>75</v>
      </c>
      <c r="C502" t="s">
        <v>253</v>
      </c>
      <c r="D502" t="s">
        <v>477</v>
      </c>
      <c r="E502">
        <v>7.0059259259259257</v>
      </c>
      <c r="F502">
        <v>14.71136951269178</v>
      </c>
      <c r="G502">
        <v>27</v>
      </c>
      <c r="H502" t="s">
        <v>58</v>
      </c>
      <c r="M502">
        <v>36.428664951309493</v>
      </c>
      <c r="N502">
        <v>-22.416813099457631</v>
      </c>
      <c r="O502">
        <v>58.84547805076712</v>
      </c>
      <c r="P502">
        <v>0.47622527052167229</v>
      </c>
      <c r="R502" t="str">
        <f t="shared" si="14"/>
        <v>yes</v>
      </c>
      <c r="S502" t="str">
        <f t="shared" si="15"/>
        <v>no</v>
      </c>
    </row>
    <row r="503" spans="1:19" x14ac:dyDescent="0.35">
      <c r="A503" s="1">
        <v>501</v>
      </c>
      <c r="B503" t="s">
        <v>75</v>
      </c>
      <c r="C503" t="s">
        <v>253</v>
      </c>
      <c r="D503" t="s">
        <v>478</v>
      </c>
      <c r="E503">
        <v>33.348981481481481</v>
      </c>
      <c r="F503">
        <v>69.953413710480604</v>
      </c>
      <c r="G503">
        <v>27</v>
      </c>
      <c r="H503" t="s">
        <v>58</v>
      </c>
      <c r="M503">
        <v>173.25580890244271</v>
      </c>
      <c r="N503">
        <v>-106.55784593947971</v>
      </c>
      <c r="O503">
        <v>279.81365484192241</v>
      </c>
      <c r="P503">
        <v>0.47673129462279618</v>
      </c>
      <c r="R503" t="str">
        <f t="shared" si="14"/>
        <v>yes</v>
      </c>
      <c r="S503" t="str">
        <f t="shared" si="15"/>
        <v>no</v>
      </c>
    </row>
    <row r="504" spans="1:19" x14ac:dyDescent="0.35">
      <c r="A504" s="1">
        <v>502</v>
      </c>
      <c r="B504" t="s">
        <v>75</v>
      </c>
      <c r="C504" t="s">
        <v>253</v>
      </c>
      <c r="D504" t="s">
        <v>479</v>
      </c>
      <c r="E504">
        <v>0</v>
      </c>
      <c r="F504">
        <v>0</v>
      </c>
      <c r="G504">
        <v>27</v>
      </c>
      <c r="H504" t="s">
        <v>58</v>
      </c>
      <c r="M504">
        <v>0</v>
      </c>
      <c r="N504">
        <v>0</v>
      </c>
      <c r="O504">
        <v>0</v>
      </c>
      <c r="R504" t="str">
        <f t="shared" si="14"/>
        <v>yes</v>
      </c>
      <c r="S504" t="str">
        <f t="shared" si="15"/>
        <v>no</v>
      </c>
    </row>
    <row r="505" spans="1:19" x14ac:dyDescent="0.35">
      <c r="A505" s="1">
        <v>503</v>
      </c>
      <c r="B505" t="s">
        <v>75</v>
      </c>
      <c r="C505" t="s">
        <v>253</v>
      </c>
      <c r="D505" t="s">
        <v>480</v>
      </c>
      <c r="E505">
        <v>0</v>
      </c>
      <c r="F505">
        <v>0</v>
      </c>
      <c r="G505">
        <v>27</v>
      </c>
      <c r="H505" t="s">
        <v>58</v>
      </c>
      <c r="M505">
        <v>0</v>
      </c>
      <c r="N505">
        <v>0</v>
      </c>
      <c r="O505">
        <v>0</v>
      </c>
      <c r="R505" t="str">
        <f t="shared" si="14"/>
        <v>yes</v>
      </c>
      <c r="S505" t="str">
        <f t="shared" si="15"/>
        <v>no</v>
      </c>
    </row>
    <row r="506" spans="1:19" x14ac:dyDescent="0.35">
      <c r="A506" s="1">
        <v>504</v>
      </c>
      <c r="B506" t="s">
        <v>75</v>
      </c>
      <c r="C506" t="s">
        <v>253</v>
      </c>
      <c r="D506" t="s">
        <v>481</v>
      </c>
      <c r="E506">
        <v>7.5915851851851848</v>
      </c>
      <c r="F506">
        <v>15.95017640809688</v>
      </c>
      <c r="G506">
        <v>27</v>
      </c>
      <c r="H506" t="s">
        <v>58</v>
      </c>
      <c r="M506">
        <v>39.491938001378941</v>
      </c>
      <c r="N506">
        <v>-24.308767631008571</v>
      </c>
      <c r="O506">
        <v>63.800705632387519</v>
      </c>
      <c r="P506">
        <v>0.4759561895084386</v>
      </c>
      <c r="R506" t="str">
        <f t="shared" si="14"/>
        <v>yes</v>
      </c>
      <c r="S506" t="str">
        <f t="shared" si="15"/>
        <v>no</v>
      </c>
    </row>
    <row r="507" spans="1:19" x14ac:dyDescent="0.35">
      <c r="A507" s="1">
        <v>505</v>
      </c>
      <c r="B507" t="s">
        <v>75</v>
      </c>
      <c r="C507" t="s">
        <v>253</v>
      </c>
      <c r="D507" t="s">
        <v>482</v>
      </c>
      <c r="E507">
        <v>27.46812222222222</v>
      </c>
      <c r="F507">
        <v>59.999371201756553</v>
      </c>
      <c r="G507">
        <v>27</v>
      </c>
      <c r="H507" t="s">
        <v>58</v>
      </c>
      <c r="M507">
        <v>147.4668646257353</v>
      </c>
      <c r="N507">
        <v>-92.530620181290885</v>
      </c>
      <c r="O507">
        <v>239.99748480702621</v>
      </c>
      <c r="P507">
        <v>0.45780683483926338</v>
      </c>
      <c r="R507" t="str">
        <f t="shared" si="14"/>
        <v>yes</v>
      </c>
      <c r="S507" t="str">
        <f t="shared" si="15"/>
        <v>no</v>
      </c>
    </row>
    <row r="508" spans="1:19" x14ac:dyDescent="0.35">
      <c r="A508" s="1">
        <v>506</v>
      </c>
      <c r="B508" t="s">
        <v>75</v>
      </c>
      <c r="C508" t="s">
        <v>253</v>
      </c>
      <c r="D508" t="s">
        <v>483</v>
      </c>
      <c r="E508">
        <v>0</v>
      </c>
      <c r="F508">
        <v>0</v>
      </c>
      <c r="G508">
        <v>27</v>
      </c>
      <c r="H508" t="s">
        <v>58</v>
      </c>
      <c r="M508">
        <v>0</v>
      </c>
      <c r="N508">
        <v>0</v>
      </c>
      <c r="O508">
        <v>0</v>
      </c>
      <c r="R508" t="str">
        <f t="shared" si="14"/>
        <v>yes</v>
      </c>
      <c r="S508" t="str">
        <f t="shared" si="15"/>
        <v>no</v>
      </c>
    </row>
    <row r="509" spans="1:19" x14ac:dyDescent="0.35">
      <c r="A509" s="1">
        <v>507</v>
      </c>
      <c r="B509" t="s">
        <v>75</v>
      </c>
      <c r="C509" t="s">
        <v>253</v>
      </c>
      <c r="D509" t="s">
        <v>484</v>
      </c>
      <c r="E509">
        <v>0</v>
      </c>
      <c r="F509">
        <v>0</v>
      </c>
      <c r="G509">
        <v>27</v>
      </c>
      <c r="H509" t="s">
        <v>58</v>
      </c>
      <c r="M509">
        <v>0</v>
      </c>
      <c r="N509">
        <v>0</v>
      </c>
      <c r="O509">
        <v>0</v>
      </c>
      <c r="R509" t="str">
        <f t="shared" si="14"/>
        <v>yes</v>
      </c>
      <c r="S509" t="str">
        <f t="shared" si="15"/>
        <v>no</v>
      </c>
    </row>
    <row r="510" spans="1:19" x14ac:dyDescent="0.35">
      <c r="A510" s="1">
        <v>508</v>
      </c>
      <c r="B510" t="s">
        <v>75</v>
      </c>
      <c r="C510" t="s">
        <v>253</v>
      </c>
      <c r="D510" t="s">
        <v>485</v>
      </c>
      <c r="E510">
        <v>6.7397222222222224</v>
      </c>
      <c r="F510">
        <v>14.1589983156461</v>
      </c>
      <c r="G510">
        <v>27</v>
      </c>
      <c r="H510" t="s">
        <v>58</v>
      </c>
      <c r="M510">
        <v>35.057718853514423</v>
      </c>
      <c r="N510">
        <v>-21.57827440906998</v>
      </c>
      <c r="O510">
        <v>56.6359932625844</v>
      </c>
      <c r="P510">
        <v>0.47600275612538462</v>
      </c>
      <c r="R510" t="str">
        <f t="shared" si="14"/>
        <v>yes</v>
      </c>
      <c r="S510" t="str">
        <f t="shared" si="15"/>
        <v>no</v>
      </c>
    </row>
    <row r="511" spans="1:19" x14ac:dyDescent="0.35">
      <c r="A511" s="1">
        <v>509</v>
      </c>
      <c r="B511" t="s">
        <v>75</v>
      </c>
      <c r="C511" t="s">
        <v>253</v>
      </c>
      <c r="D511" t="s">
        <v>486</v>
      </c>
      <c r="E511">
        <v>33.348981481481481</v>
      </c>
      <c r="F511">
        <v>69.953413710480604</v>
      </c>
      <c r="G511">
        <v>27</v>
      </c>
      <c r="H511" t="s">
        <v>58</v>
      </c>
      <c r="M511">
        <v>173.25580890244271</v>
      </c>
      <c r="N511">
        <v>-106.55784593947971</v>
      </c>
      <c r="O511">
        <v>279.81365484192241</v>
      </c>
      <c r="P511">
        <v>0.47673129462279618</v>
      </c>
      <c r="R511" t="str">
        <f t="shared" si="14"/>
        <v>yes</v>
      </c>
      <c r="S511" t="str">
        <f t="shared" si="15"/>
        <v>no</v>
      </c>
    </row>
    <row r="512" spans="1:19" x14ac:dyDescent="0.35">
      <c r="A512" s="1">
        <v>510</v>
      </c>
      <c r="B512" t="s">
        <v>75</v>
      </c>
      <c r="C512" t="s">
        <v>253</v>
      </c>
      <c r="D512" t="s">
        <v>487</v>
      </c>
      <c r="E512">
        <v>0</v>
      </c>
      <c r="F512">
        <v>0</v>
      </c>
      <c r="G512">
        <v>27</v>
      </c>
      <c r="H512" t="s">
        <v>58</v>
      </c>
      <c r="M512">
        <v>0</v>
      </c>
      <c r="N512">
        <v>0</v>
      </c>
      <c r="O512">
        <v>0</v>
      </c>
      <c r="R512" t="str">
        <f t="shared" si="14"/>
        <v>yes</v>
      </c>
      <c r="S512" t="str">
        <f t="shared" si="15"/>
        <v>no</v>
      </c>
    </row>
    <row r="513" spans="1:19" x14ac:dyDescent="0.35">
      <c r="A513" s="1">
        <v>511</v>
      </c>
      <c r="B513" t="s">
        <v>75</v>
      </c>
      <c r="C513" t="s">
        <v>253</v>
      </c>
      <c r="D513" t="s">
        <v>488</v>
      </c>
      <c r="E513">
        <v>0</v>
      </c>
      <c r="F513">
        <v>0</v>
      </c>
      <c r="G513">
        <v>27</v>
      </c>
      <c r="H513" t="s">
        <v>58</v>
      </c>
      <c r="M513">
        <v>0</v>
      </c>
      <c r="N513">
        <v>0</v>
      </c>
      <c r="O513">
        <v>0</v>
      </c>
      <c r="R513" t="str">
        <f t="shared" si="14"/>
        <v>yes</v>
      </c>
      <c r="S513" t="str">
        <f t="shared" si="15"/>
        <v>no</v>
      </c>
    </row>
    <row r="514" spans="1:19" x14ac:dyDescent="0.35">
      <c r="A514" s="1">
        <v>512</v>
      </c>
      <c r="B514" t="s">
        <v>75</v>
      </c>
      <c r="C514" t="s">
        <v>253</v>
      </c>
      <c r="D514" t="s">
        <v>489</v>
      </c>
      <c r="E514">
        <v>7.3786111111111108</v>
      </c>
      <c r="F514">
        <v>15.485414941003731</v>
      </c>
      <c r="G514">
        <v>27</v>
      </c>
      <c r="H514" t="s">
        <v>58</v>
      </c>
      <c r="M514">
        <v>38.34944099311857</v>
      </c>
      <c r="N514">
        <v>-23.592218770896348</v>
      </c>
      <c r="O514">
        <v>61.941659764014922</v>
      </c>
      <c r="P514">
        <v>0.476487787974821</v>
      </c>
      <c r="R514" t="str">
        <f t="shared" si="14"/>
        <v>yes</v>
      </c>
      <c r="S514" t="str">
        <f t="shared" si="15"/>
        <v>no</v>
      </c>
    </row>
    <row r="515" spans="1:19" x14ac:dyDescent="0.35">
      <c r="A515" s="1">
        <v>513</v>
      </c>
      <c r="B515" t="s">
        <v>75</v>
      </c>
      <c r="C515" t="s">
        <v>253</v>
      </c>
      <c r="D515" t="s">
        <v>490</v>
      </c>
      <c r="E515">
        <v>26.04213703703704</v>
      </c>
      <c r="F515">
        <v>58.450898794300763</v>
      </c>
      <c r="G515">
        <v>27</v>
      </c>
      <c r="H515" t="s">
        <v>58</v>
      </c>
      <c r="M515">
        <v>142.9439346256386</v>
      </c>
      <c r="N515">
        <v>-90.859660551564488</v>
      </c>
      <c r="O515">
        <v>233.80359517720311</v>
      </c>
      <c r="P515">
        <v>0.44553869271855012</v>
      </c>
      <c r="R515" t="str">
        <f t="shared" ref="R515:R578" si="16">IF(H515="yes","yes","no")</f>
        <v>yes</v>
      </c>
      <c r="S515" t="str">
        <f t="shared" ref="S515:S578" si="17">IF(I515,"yes","no")</f>
        <v>no</v>
      </c>
    </row>
    <row r="516" spans="1:19" x14ac:dyDescent="0.35">
      <c r="A516" s="1">
        <v>514</v>
      </c>
      <c r="B516" t="s">
        <v>75</v>
      </c>
      <c r="C516" t="s">
        <v>253</v>
      </c>
      <c r="D516" t="s">
        <v>491</v>
      </c>
      <c r="E516">
        <v>0</v>
      </c>
      <c r="F516">
        <v>0</v>
      </c>
      <c r="G516">
        <v>27</v>
      </c>
      <c r="H516" t="s">
        <v>58</v>
      </c>
      <c r="M516">
        <v>0</v>
      </c>
      <c r="N516">
        <v>0</v>
      </c>
      <c r="O516">
        <v>0</v>
      </c>
      <c r="R516" t="str">
        <f t="shared" si="16"/>
        <v>yes</v>
      </c>
      <c r="S516" t="str">
        <f t="shared" si="17"/>
        <v>no</v>
      </c>
    </row>
    <row r="517" spans="1:19" x14ac:dyDescent="0.35">
      <c r="A517" s="1">
        <v>515</v>
      </c>
      <c r="B517" t="s">
        <v>75</v>
      </c>
      <c r="C517" t="s">
        <v>253</v>
      </c>
      <c r="D517" t="s">
        <v>492</v>
      </c>
      <c r="E517">
        <v>0</v>
      </c>
      <c r="F517">
        <v>0</v>
      </c>
      <c r="G517">
        <v>27</v>
      </c>
      <c r="H517" t="s">
        <v>58</v>
      </c>
      <c r="M517">
        <v>0</v>
      </c>
      <c r="N517">
        <v>0</v>
      </c>
      <c r="O517">
        <v>0</v>
      </c>
      <c r="R517" t="str">
        <f t="shared" si="16"/>
        <v>yes</v>
      </c>
      <c r="S517" t="str">
        <f t="shared" si="17"/>
        <v>no</v>
      </c>
    </row>
    <row r="518" spans="1:19" x14ac:dyDescent="0.35">
      <c r="A518" s="1">
        <v>516</v>
      </c>
      <c r="B518" t="s">
        <v>75</v>
      </c>
      <c r="C518" t="s">
        <v>253</v>
      </c>
      <c r="D518" t="s">
        <v>493</v>
      </c>
      <c r="E518">
        <v>6.5090111111111124</v>
      </c>
      <c r="F518">
        <v>13.66561879815705</v>
      </c>
      <c r="G518">
        <v>27</v>
      </c>
      <c r="H518" t="s">
        <v>58</v>
      </c>
      <c r="M518">
        <v>33.840248707425211</v>
      </c>
      <c r="N518">
        <v>-20.822226485202989</v>
      </c>
      <c r="O518">
        <v>54.6624751926282</v>
      </c>
      <c r="P518">
        <v>0.47630562561784029</v>
      </c>
      <c r="R518" t="str">
        <f t="shared" si="16"/>
        <v>yes</v>
      </c>
      <c r="S518" t="str">
        <f t="shared" si="17"/>
        <v>no</v>
      </c>
    </row>
    <row r="519" spans="1:19" x14ac:dyDescent="0.35">
      <c r="A519" s="1">
        <v>517</v>
      </c>
      <c r="B519" t="s">
        <v>75</v>
      </c>
      <c r="C519" t="s">
        <v>253</v>
      </c>
      <c r="D519" t="s">
        <v>494</v>
      </c>
      <c r="E519">
        <v>0</v>
      </c>
      <c r="F519">
        <v>0</v>
      </c>
      <c r="G519">
        <v>27</v>
      </c>
      <c r="H519" t="s">
        <v>58</v>
      </c>
      <c r="M519">
        <v>0</v>
      </c>
      <c r="N519">
        <v>0</v>
      </c>
      <c r="O519">
        <v>0</v>
      </c>
      <c r="R519" t="str">
        <f t="shared" si="16"/>
        <v>yes</v>
      </c>
      <c r="S519" t="str">
        <f t="shared" si="17"/>
        <v>no</v>
      </c>
    </row>
    <row r="520" spans="1:19" x14ac:dyDescent="0.35">
      <c r="A520" s="1">
        <v>518</v>
      </c>
      <c r="B520" t="s">
        <v>75</v>
      </c>
      <c r="C520" t="s">
        <v>253</v>
      </c>
      <c r="D520" t="s">
        <v>495</v>
      </c>
      <c r="E520">
        <v>2.9957555555555562</v>
      </c>
      <c r="F520">
        <v>5.6045454517067581</v>
      </c>
      <c r="G520">
        <v>27</v>
      </c>
      <c r="H520" t="s">
        <v>58</v>
      </c>
      <c r="M520">
        <v>14.204846458969071</v>
      </c>
      <c r="N520">
        <v>-8.21333534785796</v>
      </c>
      <c r="O520">
        <v>22.418181806827029</v>
      </c>
      <c r="P520">
        <v>0.5345224838248489</v>
      </c>
      <c r="R520" t="str">
        <f t="shared" si="16"/>
        <v>yes</v>
      </c>
      <c r="S520" t="str">
        <f t="shared" si="17"/>
        <v>no</v>
      </c>
    </row>
    <row r="521" spans="1:19" x14ac:dyDescent="0.35">
      <c r="A521" s="1">
        <v>519</v>
      </c>
      <c r="B521" t="s">
        <v>75</v>
      </c>
      <c r="C521" t="s">
        <v>253</v>
      </c>
      <c r="D521" t="s">
        <v>496</v>
      </c>
      <c r="E521">
        <v>0</v>
      </c>
      <c r="F521">
        <v>0</v>
      </c>
      <c r="G521">
        <v>27</v>
      </c>
      <c r="H521" t="s">
        <v>58</v>
      </c>
      <c r="M521">
        <v>0</v>
      </c>
      <c r="N521">
        <v>0</v>
      </c>
      <c r="O521">
        <v>0</v>
      </c>
      <c r="R521" t="str">
        <f t="shared" si="16"/>
        <v>yes</v>
      </c>
      <c r="S521" t="str">
        <f t="shared" si="17"/>
        <v>no</v>
      </c>
    </row>
    <row r="522" spans="1:19" x14ac:dyDescent="0.35">
      <c r="A522" s="1">
        <v>520</v>
      </c>
      <c r="B522" t="s">
        <v>75</v>
      </c>
      <c r="C522" t="s">
        <v>253</v>
      </c>
      <c r="D522" t="s">
        <v>497</v>
      </c>
      <c r="E522">
        <v>9.8268814814814807</v>
      </c>
      <c r="F522">
        <v>18.48390085514934</v>
      </c>
      <c r="G522">
        <v>27</v>
      </c>
      <c r="H522" t="s">
        <v>58</v>
      </c>
      <c r="M522">
        <v>46.794683191780159</v>
      </c>
      <c r="N522">
        <v>-27.140920228817201</v>
      </c>
      <c r="O522">
        <v>73.93560342059736</v>
      </c>
      <c r="P522">
        <v>0.53164543342288362</v>
      </c>
      <c r="R522" t="str">
        <f t="shared" si="16"/>
        <v>yes</v>
      </c>
      <c r="S522" t="str">
        <f t="shared" si="17"/>
        <v>no</v>
      </c>
    </row>
    <row r="523" spans="1:19" x14ac:dyDescent="0.35">
      <c r="A523" s="1">
        <v>521</v>
      </c>
      <c r="B523" t="s">
        <v>75</v>
      </c>
      <c r="C523" t="s">
        <v>253</v>
      </c>
      <c r="D523" t="s">
        <v>498</v>
      </c>
      <c r="E523">
        <v>0</v>
      </c>
      <c r="F523">
        <v>0</v>
      </c>
      <c r="G523">
        <v>27</v>
      </c>
      <c r="H523" t="s">
        <v>58</v>
      </c>
      <c r="M523">
        <v>0</v>
      </c>
      <c r="N523">
        <v>0</v>
      </c>
      <c r="O523">
        <v>0</v>
      </c>
      <c r="R523" t="str">
        <f t="shared" si="16"/>
        <v>yes</v>
      </c>
      <c r="S523" t="str">
        <f t="shared" si="17"/>
        <v>no</v>
      </c>
    </row>
    <row r="524" spans="1:19" x14ac:dyDescent="0.35">
      <c r="A524" s="1">
        <v>522</v>
      </c>
      <c r="B524" t="s">
        <v>75</v>
      </c>
      <c r="C524" t="s">
        <v>253</v>
      </c>
      <c r="D524" t="s">
        <v>499</v>
      </c>
      <c r="E524">
        <v>3.994340740740741</v>
      </c>
      <c r="F524">
        <v>6.1556924987129253</v>
      </c>
      <c r="G524">
        <v>27</v>
      </c>
      <c r="H524" t="s">
        <v>58</v>
      </c>
      <c r="M524">
        <v>16.30572573816659</v>
      </c>
      <c r="N524">
        <v>-8.3170442566851097</v>
      </c>
      <c r="O524">
        <v>24.622769994851701</v>
      </c>
      <c r="P524">
        <v>0.64888568452305007</v>
      </c>
      <c r="R524" t="str">
        <f t="shared" si="16"/>
        <v>yes</v>
      </c>
      <c r="S524" t="str">
        <f t="shared" si="17"/>
        <v>no</v>
      </c>
    </row>
    <row r="525" spans="1:19" x14ac:dyDescent="0.35">
      <c r="A525" s="1">
        <v>523</v>
      </c>
      <c r="B525" t="s">
        <v>75</v>
      </c>
      <c r="C525" t="s">
        <v>253</v>
      </c>
      <c r="D525" t="s">
        <v>500</v>
      </c>
      <c r="E525">
        <v>0</v>
      </c>
      <c r="F525">
        <v>0</v>
      </c>
      <c r="G525">
        <v>27</v>
      </c>
      <c r="H525" t="s">
        <v>58</v>
      </c>
      <c r="M525">
        <v>0</v>
      </c>
      <c r="N525">
        <v>0</v>
      </c>
      <c r="O525">
        <v>0</v>
      </c>
      <c r="R525" t="str">
        <f t="shared" si="16"/>
        <v>yes</v>
      </c>
      <c r="S525" t="str">
        <f t="shared" si="17"/>
        <v>no</v>
      </c>
    </row>
    <row r="526" spans="1:19" x14ac:dyDescent="0.35">
      <c r="A526" s="1">
        <v>524</v>
      </c>
      <c r="B526" t="s">
        <v>75</v>
      </c>
      <c r="C526" t="s">
        <v>253</v>
      </c>
      <c r="D526" t="s">
        <v>501</v>
      </c>
      <c r="E526">
        <v>12.274311111111111</v>
      </c>
      <c r="F526">
        <v>19.193132126561679</v>
      </c>
      <c r="G526">
        <v>27</v>
      </c>
      <c r="H526" t="s">
        <v>58</v>
      </c>
      <c r="M526">
        <v>50.660575364234468</v>
      </c>
      <c r="N526">
        <v>-26.111953142012251</v>
      </c>
      <c r="O526">
        <v>76.772528506246715</v>
      </c>
      <c r="P526">
        <v>0.63951579294994265</v>
      </c>
      <c r="R526" t="str">
        <f t="shared" si="16"/>
        <v>yes</v>
      </c>
      <c r="S526" t="str">
        <f t="shared" si="17"/>
        <v>no</v>
      </c>
    </row>
    <row r="527" spans="1:19" x14ac:dyDescent="0.35">
      <c r="A527" s="1">
        <v>525</v>
      </c>
      <c r="B527" t="s">
        <v>75</v>
      </c>
      <c r="C527" t="s">
        <v>253</v>
      </c>
      <c r="D527" t="s">
        <v>502</v>
      </c>
      <c r="E527">
        <v>0</v>
      </c>
      <c r="F527">
        <v>0</v>
      </c>
      <c r="G527">
        <v>27</v>
      </c>
      <c r="H527" t="s">
        <v>58</v>
      </c>
      <c r="M527">
        <v>0</v>
      </c>
      <c r="N527">
        <v>0</v>
      </c>
      <c r="O527">
        <v>0</v>
      </c>
      <c r="R527" t="str">
        <f t="shared" si="16"/>
        <v>yes</v>
      </c>
      <c r="S527" t="str">
        <f t="shared" si="17"/>
        <v>no</v>
      </c>
    </row>
    <row r="528" spans="1:19" x14ac:dyDescent="0.35">
      <c r="A528" s="1">
        <v>526</v>
      </c>
      <c r="B528" t="s">
        <v>75</v>
      </c>
      <c r="C528" t="s">
        <v>253</v>
      </c>
      <c r="D528" t="s">
        <v>503</v>
      </c>
      <c r="E528">
        <v>2.9957555555555562</v>
      </c>
      <c r="F528">
        <v>5.6045454517067581</v>
      </c>
      <c r="G528">
        <v>27</v>
      </c>
      <c r="H528" t="s">
        <v>58</v>
      </c>
      <c r="M528">
        <v>14.204846458969071</v>
      </c>
      <c r="N528">
        <v>-8.21333534785796</v>
      </c>
      <c r="O528">
        <v>22.418181806827029</v>
      </c>
      <c r="P528">
        <v>0.5345224838248489</v>
      </c>
      <c r="R528" t="str">
        <f t="shared" si="16"/>
        <v>yes</v>
      </c>
      <c r="S528" t="str">
        <f t="shared" si="17"/>
        <v>no</v>
      </c>
    </row>
    <row r="529" spans="1:19" x14ac:dyDescent="0.35">
      <c r="A529" s="1">
        <v>527</v>
      </c>
      <c r="B529" t="s">
        <v>75</v>
      </c>
      <c r="C529" t="s">
        <v>253</v>
      </c>
      <c r="D529" t="s">
        <v>504</v>
      </c>
      <c r="E529">
        <v>0</v>
      </c>
      <c r="F529">
        <v>0</v>
      </c>
      <c r="G529">
        <v>27</v>
      </c>
      <c r="H529" t="s">
        <v>58</v>
      </c>
      <c r="M529">
        <v>0</v>
      </c>
      <c r="N529">
        <v>0</v>
      </c>
      <c r="O529">
        <v>0</v>
      </c>
      <c r="R529" t="str">
        <f t="shared" si="16"/>
        <v>yes</v>
      </c>
      <c r="S529" t="str">
        <f t="shared" si="17"/>
        <v>no</v>
      </c>
    </row>
    <row r="530" spans="1:19" x14ac:dyDescent="0.35">
      <c r="A530" s="1">
        <v>528</v>
      </c>
      <c r="B530" t="s">
        <v>75</v>
      </c>
      <c r="C530" t="s">
        <v>253</v>
      </c>
      <c r="D530" t="s">
        <v>505</v>
      </c>
      <c r="E530">
        <v>8.8330481481481478</v>
      </c>
      <c r="F530">
        <v>16.592909238997471</v>
      </c>
      <c r="G530">
        <v>27</v>
      </c>
      <c r="H530" t="s">
        <v>58</v>
      </c>
      <c r="M530">
        <v>42.018866626143087</v>
      </c>
      <c r="N530">
        <v>-24.352770329846791</v>
      </c>
      <c r="O530">
        <v>66.371636955989885</v>
      </c>
      <c r="P530">
        <v>0.53233872498912271</v>
      </c>
      <c r="R530" t="str">
        <f t="shared" si="16"/>
        <v>yes</v>
      </c>
      <c r="S530" t="str">
        <f t="shared" si="17"/>
        <v>no</v>
      </c>
    </row>
    <row r="531" spans="1:19" x14ac:dyDescent="0.35">
      <c r="A531" s="1">
        <v>529</v>
      </c>
      <c r="B531" t="s">
        <v>75</v>
      </c>
      <c r="C531" t="s">
        <v>253</v>
      </c>
      <c r="D531" t="s">
        <v>506</v>
      </c>
      <c r="E531">
        <v>0</v>
      </c>
      <c r="F531">
        <v>0</v>
      </c>
      <c r="G531">
        <v>27</v>
      </c>
      <c r="H531" t="s">
        <v>58</v>
      </c>
      <c r="M531">
        <v>0</v>
      </c>
      <c r="N531">
        <v>0</v>
      </c>
      <c r="O531">
        <v>0</v>
      </c>
      <c r="R531" t="str">
        <f t="shared" si="16"/>
        <v>yes</v>
      </c>
      <c r="S531" t="str">
        <f t="shared" si="17"/>
        <v>no</v>
      </c>
    </row>
    <row r="532" spans="1:19" x14ac:dyDescent="0.35">
      <c r="A532" s="1">
        <v>530</v>
      </c>
      <c r="B532" t="s">
        <v>75</v>
      </c>
      <c r="C532" t="s">
        <v>253</v>
      </c>
      <c r="D532" t="s">
        <v>507</v>
      </c>
      <c r="E532">
        <v>3.994340740740741</v>
      </c>
      <c r="F532">
        <v>6.1556924987129253</v>
      </c>
      <c r="G532">
        <v>27</v>
      </c>
      <c r="H532" t="s">
        <v>58</v>
      </c>
      <c r="M532">
        <v>16.30572573816659</v>
      </c>
      <c r="N532">
        <v>-8.3170442566851097</v>
      </c>
      <c r="O532">
        <v>24.622769994851701</v>
      </c>
      <c r="P532">
        <v>0.64888568452305007</v>
      </c>
      <c r="R532" t="str">
        <f t="shared" si="16"/>
        <v>yes</v>
      </c>
      <c r="S532" t="str">
        <f t="shared" si="17"/>
        <v>no</v>
      </c>
    </row>
    <row r="533" spans="1:19" x14ac:dyDescent="0.35">
      <c r="A533" s="1">
        <v>531</v>
      </c>
      <c r="B533" t="s">
        <v>75</v>
      </c>
      <c r="C533" t="s">
        <v>253</v>
      </c>
      <c r="D533" t="s">
        <v>508</v>
      </c>
      <c r="E533">
        <v>0</v>
      </c>
      <c r="F533">
        <v>0</v>
      </c>
      <c r="G533">
        <v>27</v>
      </c>
      <c r="H533" t="s">
        <v>58</v>
      </c>
      <c r="M533">
        <v>0</v>
      </c>
      <c r="N533">
        <v>0</v>
      </c>
      <c r="O533">
        <v>0</v>
      </c>
      <c r="R533" t="str">
        <f t="shared" si="16"/>
        <v>yes</v>
      </c>
      <c r="S533" t="str">
        <f t="shared" si="17"/>
        <v>no</v>
      </c>
    </row>
    <row r="534" spans="1:19" x14ac:dyDescent="0.35">
      <c r="A534" s="1">
        <v>532</v>
      </c>
      <c r="B534" t="s">
        <v>75</v>
      </c>
      <c r="C534" t="s">
        <v>253</v>
      </c>
      <c r="D534" t="s">
        <v>509</v>
      </c>
      <c r="E534">
        <v>10.517344444444451</v>
      </c>
      <c r="F534">
        <v>16.325647163267561</v>
      </c>
      <c r="G534">
        <v>27</v>
      </c>
      <c r="H534" t="s">
        <v>58</v>
      </c>
      <c r="M534">
        <v>43.16863877097957</v>
      </c>
      <c r="N534">
        <v>-22.133949882090668</v>
      </c>
      <c r="O534">
        <v>65.302588653070245</v>
      </c>
      <c r="P534">
        <v>0.64422220689102627</v>
      </c>
      <c r="R534" t="str">
        <f t="shared" si="16"/>
        <v>yes</v>
      </c>
      <c r="S534" t="str">
        <f t="shared" si="17"/>
        <v>no</v>
      </c>
    </row>
    <row r="535" spans="1:19" x14ac:dyDescent="0.35">
      <c r="A535" s="1">
        <v>533</v>
      </c>
      <c r="B535" t="s">
        <v>75</v>
      </c>
      <c r="C535" t="s">
        <v>253</v>
      </c>
      <c r="D535" t="s">
        <v>510</v>
      </c>
      <c r="E535">
        <v>0</v>
      </c>
      <c r="F535">
        <v>0</v>
      </c>
      <c r="G535">
        <v>27</v>
      </c>
      <c r="H535" t="s">
        <v>58</v>
      </c>
      <c r="M535">
        <v>0</v>
      </c>
      <c r="N535">
        <v>0</v>
      </c>
      <c r="O535">
        <v>0</v>
      </c>
      <c r="R535" t="str">
        <f t="shared" si="16"/>
        <v>yes</v>
      </c>
      <c r="S535" t="str">
        <f t="shared" si="17"/>
        <v>no</v>
      </c>
    </row>
    <row r="536" spans="1:19" x14ac:dyDescent="0.35">
      <c r="A536" s="1">
        <v>534</v>
      </c>
      <c r="B536" t="s">
        <v>75</v>
      </c>
      <c r="C536" t="s">
        <v>253</v>
      </c>
      <c r="D536" t="s">
        <v>511</v>
      </c>
      <c r="E536">
        <v>2.9957555555555562</v>
      </c>
      <c r="F536">
        <v>5.6045454517067581</v>
      </c>
      <c r="G536">
        <v>27</v>
      </c>
      <c r="H536" t="s">
        <v>58</v>
      </c>
      <c r="M536">
        <v>14.204846458969071</v>
      </c>
      <c r="N536">
        <v>-8.21333534785796</v>
      </c>
      <c r="O536">
        <v>22.418181806827029</v>
      </c>
      <c r="P536">
        <v>0.5345224838248489</v>
      </c>
      <c r="R536" t="str">
        <f t="shared" si="16"/>
        <v>yes</v>
      </c>
      <c r="S536" t="str">
        <f t="shared" si="17"/>
        <v>no</v>
      </c>
    </row>
    <row r="537" spans="1:19" x14ac:dyDescent="0.35">
      <c r="A537" s="1">
        <v>535</v>
      </c>
      <c r="B537" t="s">
        <v>75</v>
      </c>
      <c r="C537" t="s">
        <v>253</v>
      </c>
      <c r="D537" t="s">
        <v>512</v>
      </c>
      <c r="E537">
        <v>0</v>
      </c>
      <c r="F537">
        <v>0</v>
      </c>
      <c r="G537">
        <v>27</v>
      </c>
      <c r="H537" t="s">
        <v>58</v>
      </c>
      <c r="M537">
        <v>0</v>
      </c>
      <c r="N537">
        <v>0</v>
      </c>
      <c r="O537">
        <v>0</v>
      </c>
      <c r="R537" t="str">
        <f t="shared" si="16"/>
        <v>yes</v>
      </c>
      <c r="S537" t="str">
        <f t="shared" si="17"/>
        <v>no</v>
      </c>
    </row>
    <row r="538" spans="1:19" x14ac:dyDescent="0.35">
      <c r="A538" s="1">
        <v>536</v>
      </c>
      <c r="B538" t="s">
        <v>75</v>
      </c>
      <c r="C538" t="s">
        <v>253</v>
      </c>
      <c r="D538" t="s">
        <v>513</v>
      </c>
      <c r="E538">
        <v>8.9750185185185192</v>
      </c>
      <c r="F538">
        <v>16.859798228792151</v>
      </c>
      <c r="G538">
        <v>27</v>
      </c>
      <c r="H538" t="s">
        <v>58</v>
      </c>
      <c r="M538">
        <v>42.69461497610282</v>
      </c>
      <c r="N538">
        <v>-24.744577939065781</v>
      </c>
      <c r="O538">
        <v>67.439192915168604</v>
      </c>
      <c r="P538">
        <v>0.53233249868859767</v>
      </c>
      <c r="R538" t="str">
        <f t="shared" si="16"/>
        <v>yes</v>
      </c>
      <c r="S538" t="str">
        <f t="shared" si="17"/>
        <v>no</v>
      </c>
    </row>
    <row r="539" spans="1:19" x14ac:dyDescent="0.35">
      <c r="A539" s="1">
        <v>537</v>
      </c>
      <c r="B539" t="s">
        <v>75</v>
      </c>
      <c r="C539" t="s">
        <v>253</v>
      </c>
      <c r="D539" t="s">
        <v>514</v>
      </c>
      <c r="E539">
        <v>0</v>
      </c>
      <c r="F539">
        <v>0</v>
      </c>
      <c r="G539">
        <v>27</v>
      </c>
      <c r="H539" t="s">
        <v>58</v>
      </c>
      <c r="M539">
        <v>0</v>
      </c>
      <c r="N539">
        <v>0</v>
      </c>
      <c r="O539">
        <v>0</v>
      </c>
      <c r="R539" t="str">
        <f t="shared" si="16"/>
        <v>yes</v>
      </c>
      <c r="S539" t="str">
        <f t="shared" si="17"/>
        <v>no</v>
      </c>
    </row>
    <row r="540" spans="1:19" x14ac:dyDescent="0.35">
      <c r="A540" s="1">
        <v>538</v>
      </c>
      <c r="B540" t="s">
        <v>75</v>
      </c>
      <c r="C540" t="s">
        <v>253</v>
      </c>
      <c r="D540" t="s">
        <v>515</v>
      </c>
      <c r="E540">
        <v>3.994340740740741</v>
      </c>
      <c r="F540">
        <v>6.1556924987129253</v>
      </c>
      <c r="G540">
        <v>27</v>
      </c>
      <c r="H540" t="s">
        <v>58</v>
      </c>
      <c r="M540">
        <v>16.30572573816659</v>
      </c>
      <c r="N540">
        <v>-8.3170442566851097</v>
      </c>
      <c r="O540">
        <v>24.622769994851701</v>
      </c>
      <c r="P540">
        <v>0.64888568452305007</v>
      </c>
      <c r="R540" t="str">
        <f t="shared" si="16"/>
        <v>yes</v>
      </c>
      <c r="S540" t="str">
        <f t="shared" si="17"/>
        <v>no</v>
      </c>
    </row>
    <row r="541" spans="1:19" x14ac:dyDescent="0.35">
      <c r="A541" s="1">
        <v>539</v>
      </c>
      <c r="B541" t="s">
        <v>75</v>
      </c>
      <c r="C541" t="s">
        <v>253</v>
      </c>
      <c r="D541" t="s">
        <v>516</v>
      </c>
      <c r="E541">
        <v>0</v>
      </c>
      <c r="F541">
        <v>0</v>
      </c>
      <c r="G541">
        <v>27</v>
      </c>
      <c r="H541" t="s">
        <v>58</v>
      </c>
      <c r="M541">
        <v>0</v>
      </c>
      <c r="N541">
        <v>0</v>
      </c>
      <c r="O541">
        <v>0</v>
      </c>
      <c r="R541" t="str">
        <f t="shared" si="16"/>
        <v>yes</v>
      </c>
      <c r="S541" t="str">
        <f t="shared" si="17"/>
        <v>no</v>
      </c>
    </row>
    <row r="542" spans="1:19" x14ac:dyDescent="0.35">
      <c r="A542" s="1">
        <v>540</v>
      </c>
      <c r="B542" t="s">
        <v>75</v>
      </c>
      <c r="C542" t="s">
        <v>253</v>
      </c>
      <c r="D542" t="s">
        <v>517</v>
      </c>
      <c r="E542">
        <v>11.475688888888889</v>
      </c>
      <c r="F542">
        <v>17.900032867119279</v>
      </c>
      <c r="G542">
        <v>27</v>
      </c>
      <c r="H542" t="s">
        <v>58</v>
      </c>
      <c r="M542">
        <v>47.275754623127447</v>
      </c>
      <c r="N542">
        <v>-24.324376845349668</v>
      </c>
      <c r="O542">
        <v>71.600131468477116</v>
      </c>
      <c r="P542">
        <v>0.64109876077203631</v>
      </c>
      <c r="R542" t="str">
        <f t="shared" si="16"/>
        <v>yes</v>
      </c>
      <c r="S542" t="str">
        <f t="shared" si="17"/>
        <v>no</v>
      </c>
    </row>
    <row r="543" spans="1:19" x14ac:dyDescent="0.35">
      <c r="A543" s="1">
        <v>541</v>
      </c>
      <c r="B543" t="s">
        <v>75</v>
      </c>
      <c r="C543" t="s">
        <v>253</v>
      </c>
      <c r="D543" t="s">
        <v>518</v>
      </c>
      <c r="E543">
        <v>25.486829629629629</v>
      </c>
      <c r="F543">
        <v>61.154450554155098</v>
      </c>
      <c r="G543">
        <v>27</v>
      </c>
      <c r="H543" t="s">
        <v>58</v>
      </c>
      <c r="M543">
        <v>147.79573073793981</v>
      </c>
      <c r="N543">
        <v>-96.82207147868057</v>
      </c>
      <c r="O543">
        <v>244.61780221662039</v>
      </c>
      <c r="P543">
        <v>0.41676164855834752</v>
      </c>
      <c r="R543" t="str">
        <f t="shared" si="16"/>
        <v>yes</v>
      </c>
      <c r="S543" t="str">
        <f t="shared" si="17"/>
        <v>no</v>
      </c>
    </row>
    <row r="544" spans="1:19" x14ac:dyDescent="0.35">
      <c r="A544" s="1">
        <v>542</v>
      </c>
      <c r="B544" t="s">
        <v>75</v>
      </c>
      <c r="C544" t="s">
        <v>253</v>
      </c>
      <c r="D544" t="s">
        <v>519</v>
      </c>
      <c r="E544">
        <v>0</v>
      </c>
      <c r="F544">
        <v>0</v>
      </c>
      <c r="G544">
        <v>27</v>
      </c>
      <c r="H544" t="s">
        <v>58</v>
      </c>
      <c r="M544">
        <v>0</v>
      </c>
      <c r="N544">
        <v>0</v>
      </c>
      <c r="O544">
        <v>0</v>
      </c>
      <c r="R544" t="str">
        <f t="shared" si="16"/>
        <v>yes</v>
      </c>
      <c r="S544" t="str">
        <f t="shared" si="17"/>
        <v>no</v>
      </c>
    </row>
    <row r="545" spans="1:19" x14ac:dyDescent="0.35">
      <c r="A545" s="1">
        <v>543</v>
      </c>
      <c r="B545" t="s">
        <v>75</v>
      </c>
      <c r="C545" t="s">
        <v>253</v>
      </c>
      <c r="D545" t="s">
        <v>520</v>
      </c>
      <c r="E545">
        <v>0</v>
      </c>
      <c r="F545">
        <v>0</v>
      </c>
      <c r="G545">
        <v>27</v>
      </c>
      <c r="H545" t="s">
        <v>58</v>
      </c>
      <c r="M545">
        <v>0</v>
      </c>
      <c r="N545">
        <v>0</v>
      </c>
      <c r="O545">
        <v>0</v>
      </c>
      <c r="R545" t="str">
        <f t="shared" si="16"/>
        <v>yes</v>
      </c>
      <c r="S545" t="str">
        <f t="shared" si="17"/>
        <v>no</v>
      </c>
    </row>
    <row r="546" spans="1:19" x14ac:dyDescent="0.35">
      <c r="A546" s="1">
        <v>544</v>
      </c>
      <c r="B546" t="s">
        <v>75</v>
      </c>
      <c r="C546" t="s">
        <v>253</v>
      </c>
      <c r="D546" t="s">
        <v>521</v>
      </c>
      <c r="E546">
        <v>5.4450185185185189</v>
      </c>
      <c r="F546">
        <v>13.064752988041761</v>
      </c>
      <c r="G546">
        <v>27</v>
      </c>
      <c r="H546" t="s">
        <v>58</v>
      </c>
      <c r="M546">
        <v>31.574524494602041</v>
      </c>
      <c r="N546">
        <v>-20.684487457565002</v>
      </c>
      <c r="O546">
        <v>52.259011952167043</v>
      </c>
      <c r="P546">
        <v>0.41677163919611598</v>
      </c>
      <c r="R546" t="str">
        <f t="shared" si="16"/>
        <v>yes</v>
      </c>
      <c r="S546" t="str">
        <f t="shared" si="17"/>
        <v>no</v>
      </c>
    </row>
    <row r="547" spans="1:19" x14ac:dyDescent="0.35">
      <c r="A547" s="1">
        <v>545</v>
      </c>
      <c r="B547" t="s">
        <v>75</v>
      </c>
      <c r="C547" t="s">
        <v>253</v>
      </c>
      <c r="D547" t="s">
        <v>522</v>
      </c>
      <c r="E547">
        <v>22.87661111111111</v>
      </c>
      <c r="F547">
        <v>57.463096555662837</v>
      </c>
      <c r="G547">
        <v>27</v>
      </c>
      <c r="H547" t="s">
        <v>58</v>
      </c>
      <c r="M547">
        <v>137.80280422243681</v>
      </c>
      <c r="N547">
        <v>-92.049582000214571</v>
      </c>
      <c r="O547">
        <v>229.85238622265129</v>
      </c>
      <c r="P547">
        <v>0.39810961264419847</v>
      </c>
      <c r="R547" t="str">
        <f t="shared" si="16"/>
        <v>yes</v>
      </c>
      <c r="S547" t="str">
        <f t="shared" si="17"/>
        <v>no</v>
      </c>
    </row>
    <row r="548" spans="1:19" x14ac:dyDescent="0.35">
      <c r="A548" s="1">
        <v>546</v>
      </c>
      <c r="B548" t="s">
        <v>75</v>
      </c>
      <c r="C548" t="s">
        <v>253</v>
      </c>
      <c r="D548" t="s">
        <v>523</v>
      </c>
      <c r="E548">
        <v>0</v>
      </c>
      <c r="F548">
        <v>0</v>
      </c>
      <c r="G548">
        <v>27</v>
      </c>
      <c r="H548" t="s">
        <v>58</v>
      </c>
      <c r="M548">
        <v>0</v>
      </c>
      <c r="N548">
        <v>0</v>
      </c>
      <c r="O548">
        <v>0</v>
      </c>
      <c r="R548" t="str">
        <f t="shared" si="16"/>
        <v>yes</v>
      </c>
      <c r="S548" t="str">
        <f t="shared" si="17"/>
        <v>no</v>
      </c>
    </row>
    <row r="549" spans="1:19" x14ac:dyDescent="0.35">
      <c r="A549" s="1">
        <v>547</v>
      </c>
      <c r="B549" t="s">
        <v>75</v>
      </c>
      <c r="C549" t="s">
        <v>253</v>
      </c>
      <c r="D549" t="s">
        <v>524</v>
      </c>
      <c r="E549">
        <v>0</v>
      </c>
      <c r="F549">
        <v>0</v>
      </c>
      <c r="G549">
        <v>27</v>
      </c>
      <c r="H549" t="s">
        <v>58</v>
      </c>
      <c r="M549">
        <v>0</v>
      </c>
      <c r="N549">
        <v>0</v>
      </c>
      <c r="O549">
        <v>0</v>
      </c>
      <c r="R549" t="str">
        <f t="shared" si="16"/>
        <v>yes</v>
      </c>
      <c r="S549" t="str">
        <f t="shared" si="17"/>
        <v>no</v>
      </c>
    </row>
    <row r="550" spans="1:19" x14ac:dyDescent="0.35">
      <c r="A550" s="1">
        <v>548</v>
      </c>
      <c r="B550" t="s">
        <v>75</v>
      </c>
      <c r="C550" t="s">
        <v>253</v>
      </c>
      <c r="D550" t="s">
        <v>525</v>
      </c>
      <c r="E550">
        <v>5.2852962962962966</v>
      </c>
      <c r="F550">
        <v>12.68878324454411</v>
      </c>
      <c r="G550">
        <v>27</v>
      </c>
      <c r="H550" t="s">
        <v>58</v>
      </c>
      <c r="M550">
        <v>30.662862785384519</v>
      </c>
      <c r="N550">
        <v>-20.092270192791919</v>
      </c>
      <c r="O550">
        <v>50.755132978176441</v>
      </c>
      <c r="P550">
        <v>0.41653294838721872</v>
      </c>
      <c r="R550" t="str">
        <f t="shared" si="16"/>
        <v>yes</v>
      </c>
      <c r="S550" t="str">
        <f t="shared" si="17"/>
        <v>no</v>
      </c>
    </row>
    <row r="551" spans="1:19" x14ac:dyDescent="0.35">
      <c r="A551" s="1">
        <v>549</v>
      </c>
      <c r="B551" t="s">
        <v>75</v>
      </c>
      <c r="C551" t="s">
        <v>253</v>
      </c>
      <c r="D551" t="s">
        <v>526</v>
      </c>
      <c r="E551">
        <v>31.976118518518511</v>
      </c>
      <c r="F551">
        <v>67.194963591180169</v>
      </c>
      <c r="G551">
        <v>27</v>
      </c>
      <c r="H551" t="s">
        <v>58</v>
      </c>
      <c r="M551">
        <v>166.36604570087891</v>
      </c>
      <c r="N551">
        <v>-102.41380866384181</v>
      </c>
      <c r="O551">
        <v>268.77985436472068</v>
      </c>
      <c r="P551">
        <v>0.47587076187828481</v>
      </c>
      <c r="R551" t="str">
        <f t="shared" si="16"/>
        <v>yes</v>
      </c>
      <c r="S551" t="str">
        <f t="shared" si="17"/>
        <v>no</v>
      </c>
    </row>
    <row r="552" spans="1:19" x14ac:dyDescent="0.35">
      <c r="A552" s="1">
        <v>550</v>
      </c>
      <c r="B552" t="s">
        <v>75</v>
      </c>
      <c r="C552" t="s">
        <v>253</v>
      </c>
      <c r="D552" t="s">
        <v>527</v>
      </c>
      <c r="E552">
        <v>0</v>
      </c>
      <c r="F552">
        <v>0</v>
      </c>
      <c r="G552">
        <v>27</v>
      </c>
      <c r="H552" t="s">
        <v>58</v>
      </c>
      <c r="M552">
        <v>0</v>
      </c>
      <c r="N552">
        <v>0</v>
      </c>
      <c r="O552">
        <v>0</v>
      </c>
      <c r="R552" t="str">
        <f t="shared" si="16"/>
        <v>yes</v>
      </c>
      <c r="S552" t="str">
        <f t="shared" si="17"/>
        <v>no</v>
      </c>
    </row>
    <row r="553" spans="1:19" x14ac:dyDescent="0.35">
      <c r="A553" s="1">
        <v>551</v>
      </c>
      <c r="B553" t="s">
        <v>75</v>
      </c>
      <c r="C553" t="s">
        <v>253</v>
      </c>
      <c r="D553" t="s">
        <v>528</v>
      </c>
      <c r="E553">
        <v>0</v>
      </c>
      <c r="F553">
        <v>0</v>
      </c>
      <c r="G553">
        <v>27</v>
      </c>
      <c r="H553" t="s">
        <v>58</v>
      </c>
      <c r="M553">
        <v>0</v>
      </c>
      <c r="N553">
        <v>0</v>
      </c>
      <c r="O553">
        <v>0</v>
      </c>
      <c r="R553" t="str">
        <f t="shared" si="16"/>
        <v>yes</v>
      </c>
      <c r="S553" t="str">
        <f t="shared" si="17"/>
        <v>no</v>
      </c>
    </row>
    <row r="554" spans="1:19" x14ac:dyDescent="0.35">
      <c r="A554" s="1">
        <v>552</v>
      </c>
      <c r="B554" t="s">
        <v>75</v>
      </c>
      <c r="C554" t="s">
        <v>253</v>
      </c>
      <c r="D554" t="s">
        <v>529</v>
      </c>
      <c r="E554">
        <v>6.420274074074074</v>
      </c>
      <c r="F554">
        <v>13.48091334804419</v>
      </c>
      <c r="G554">
        <v>27</v>
      </c>
      <c r="H554" t="s">
        <v>58</v>
      </c>
      <c r="M554">
        <v>33.382100770162452</v>
      </c>
      <c r="N554">
        <v>-20.541552622014311</v>
      </c>
      <c r="O554">
        <v>53.92365339217676</v>
      </c>
      <c r="P554">
        <v>0.47624919086105738</v>
      </c>
      <c r="R554" t="str">
        <f t="shared" si="16"/>
        <v>yes</v>
      </c>
      <c r="S554" t="str">
        <f t="shared" si="17"/>
        <v>no</v>
      </c>
    </row>
    <row r="555" spans="1:19" x14ac:dyDescent="0.35">
      <c r="A555" s="1">
        <v>553</v>
      </c>
      <c r="B555" t="s">
        <v>75</v>
      </c>
      <c r="C555" t="s">
        <v>253</v>
      </c>
      <c r="D555" t="s">
        <v>530</v>
      </c>
      <c r="E555">
        <v>25.697714814814809</v>
      </c>
      <c r="F555">
        <v>58.136291991247887</v>
      </c>
      <c r="G555">
        <v>27</v>
      </c>
      <c r="H555" t="s">
        <v>58</v>
      </c>
      <c r="M555">
        <v>141.97029879731059</v>
      </c>
      <c r="N555">
        <v>-90.574869167680959</v>
      </c>
      <c r="O555">
        <v>232.54516796499149</v>
      </c>
      <c r="P555">
        <v>0.44202534999451742</v>
      </c>
      <c r="R555" t="str">
        <f t="shared" si="16"/>
        <v>yes</v>
      </c>
      <c r="S555" t="str">
        <f t="shared" si="17"/>
        <v>no</v>
      </c>
    </row>
    <row r="556" spans="1:19" x14ac:dyDescent="0.35">
      <c r="A556" s="1">
        <v>554</v>
      </c>
      <c r="B556" t="s">
        <v>75</v>
      </c>
      <c r="C556" t="s">
        <v>253</v>
      </c>
      <c r="D556" t="s">
        <v>531</v>
      </c>
      <c r="E556">
        <v>0</v>
      </c>
      <c r="F556">
        <v>0</v>
      </c>
      <c r="G556">
        <v>27</v>
      </c>
      <c r="H556" t="s">
        <v>58</v>
      </c>
      <c r="M556">
        <v>0</v>
      </c>
      <c r="N556">
        <v>0</v>
      </c>
      <c r="O556">
        <v>0</v>
      </c>
      <c r="R556" t="str">
        <f t="shared" si="16"/>
        <v>yes</v>
      </c>
      <c r="S556" t="str">
        <f t="shared" si="17"/>
        <v>no</v>
      </c>
    </row>
    <row r="557" spans="1:19" x14ac:dyDescent="0.35">
      <c r="A557" s="1">
        <v>555</v>
      </c>
      <c r="B557" t="s">
        <v>75</v>
      </c>
      <c r="C557" t="s">
        <v>253</v>
      </c>
      <c r="D557" t="s">
        <v>532</v>
      </c>
      <c r="E557">
        <v>0</v>
      </c>
      <c r="F557">
        <v>0</v>
      </c>
      <c r="G557">
        <v>27</v>
      </c>
      <c r="H557" t="s">
        <v>58</v>
      </c>
      <c r="M557">
        <v>0</v>
      </c>
      <c r="N557">
        <v>0</v>
      </c>
      <c r="O557">
        <v>0</v>
      </c>
      <c r="R557" t="str">
        <f t="shared" si="16"/>
        <v>yes</v>
      </c>
      <c r="S557" t="str">
        <f t="shared" si="17"/>
        <v>no</v>
      </c>
    </row>
    <row r="558" spans="1:19" x14ac:dyDescent="0.35">
      <c r="A558" s="1">
        <v>556</v>
      </c>
      <c r="B558" t="s">
        <v>75</v>
      </c>
      <c r="C558" t="s">
        <v>253</v>
      </c>
      <c r="D558" t="s">
        <v>533</v>
      </c>
      <c r="E558">
        <v>6.0475777777777768</v>
      </c>
      <c r="F558">
        <v>12.785266130903359</v>
      </c>
      <c r="G558">
        <v>27</v>
      </c>
      <c r="H558" t="s">
        <v>58</v>
      </c>
      <c r="M558">
        <v>31.61811003958449</v>
      </c>
      <c r="N558">
        <v>-19.52295448402894</v>
      </c>
      <c r="O558">
        <v>51.141064523613437</v>
      </c>
      <c r="P558">
        <v>0.47301148962086392</v>
      </c>
      <c r="R558" t="str">
        <f t="shared" si="16"/>
        <v>yes</v>
      </c>
      <c r="S558" t="str">
        <f t="shared" si="17"/>
        <v>no</v>
      </c>
    </row>
    <row r="559" spans="1:19" x14ac:dyDescent="0.35">
      <c r="A559" s="1">
        <v>557</v>
      </c>
      <c r="B559" t="s">
        <v>75</v>
      </c>
      <c r="C559" t="s">
        <v>253</v>
      </c>
      <c r="D559" t="s">
        <v>534</v>
      </c>
      <c r="E559">
        <v>32.000933333333329</v>
      </c>
      <c r="F559">
        <v>67.216216624782092</v>
      </c>
      <c r="G559">
        <v>27</v>
      </c>
      <c r="H559" t="s">
        <v>58</v>
      </c>
      <c r="M559">
        <v>166.43336658289749</v>
      </c>
      <c r="N559">
        <v>-102.43149991623081</v>
      </c>
      <c r="O559">
        <v>268.86486649912842</v>
      </c>
      <c r="P559">
        <v>0.47608947572831462</v>
      </c>
      <c r="R559" t="str">
        <f t="shared" si="16"/>
        <v>yes</v>
      </c>
      <c r="S559" t="str">
        <f t="shared" si="17"/>
        <v>no</v>
      </c>
    </row>
    <row r="560" spans="1:19" x14ac:dyDescent="0.35">
      <c r="A560" s="1">
        <v>558</v>
      </c>
      <c r="B560" t="s">
        <v>75</v>
      </c>
      <c r="C560" t="s">
        <v>253</v>
      </c>
      <c r="D560" t="s">
        <v>535</v>
      </c>
      <c r="E560">
        <v>0</v>
      </c>
      <c r="F560">
        <v>0</v>
      </c>
      <c r="G560">
        <v>27</v>
      </c>
      <c r="H560" t="s">
        <v>58</v>
      </c>
      <c r="M560">
        <v>0</v>
      </c>
      <c r="N560">
        <v>0</v>
      </c>
      <c r="O560">
        <v>0</v>
      </c>
      <c r="R560" t="str">
        <f t="shared" si="16"/>
        <v>yes</v>
      </c>
      <c r="S560" t="str">
        <f t="shared" si="17"/>
        <v>no</v>
      </c>
    </row>
    <row r="561" spans="1:19" x14ac:dyDescent="0.35">
      <c r="A561" s="1">
        <v>559</v>
      </c>
      <c r="B561" t="s">
        <v>75</v>
      </c>
      <c r="C561" t="s">
        <v>253</v>
      </c>
      <c r="D561" t="s">
        <v>536</v>
      </c>
      <c r="E561">
        <v>0</v>
      </c>
      <c r="F561">
        <v>0</v>
      </c>
      <c r="G561">
        <v>27</v>
      </c>
      <c r="H561" t="s">
        <v>58</v>
      </c>
      <c r="M561">
        <v>0</v>
      </c>
      <c r="N561">
        <v>0</v>
      </c>
      <c r="O561">
        <v>0</v>
      </c>
      <c r="R561" t="str">
        <f t="shared" si="16"/>
        <v>yes</v>
      </c>
      <c r="S561" t="str">
        <f t="shared" si="17"/>
        <v>no</v>
      </c>
    </row>
    <row r="562" spans="1:19" x14ac:dyDescent="0.35">
      <c r="A562" s="1">
        <v>560</v>
      </c>
      <c r="B562" t="s">
        <v>75</v>
      </c>
      <c r="C562" t="s">
        <v>253</v>
      </c>
      <c r="D562" t="s">
        <v>537</v>
      </c>
      <c r="E562">
        <v>5.6039037037037032</v>
      </c>
      <c r="F562">
        <v>11.84162933400891</v>
      </c>
      <c r="G562">
        <v>27</v>
      </c>
      <c r="H562" t="s">
        <v>58</v>
      </c>
      <c r="M562">
        <v>29.287162371721529</v>
      </c>
      <c r="N562">
        <v>-18.07935496431412</v>
      </c>
      <c r="O562">
        <v>47.366517336035642</v>
      </c>
      <c r="P562">
        <v>0.47323755419445612</v>
      </c>
      <c r="R562" t="str">
        <f t="shared" si="16"/>
        <v>yes</v>
      </c>
      <c r="S562" t="str">
        <f t="shared" si="17"/>
        <v>no</v>
      </c>
    </row>
    <row r="563" spans="1:19" x14ac:dyDescent="0.35">
      <c r="A563" s="1">
        <v>561</v>
      </c>
      <c r="B563" t="s">
        <v>75</v>
      </c>
      <c r="C563" t="s">
        <v>253</v>
      </c>
      <c r="D563" t="s">
        <v>538</v>
      </c>
      <c r="E563">
        <v>24.256166666666669</v>
      </c>
      <c r="F563">
        <v>56.157718622894087</v>
      </c>
      <c r="G563">
        <v>27</v>
      </c>
      <c r="H563" t="s">
        <v>58</v>
      </c>
      <c r="M563">
        <v>136.5716039124548</v>
      </c>
      <c r="N563">
        <v>-88.059270579121502</v>
      </c>
      <c r="O563">
        <v>224.63087449157629</v>
      </c>
      <c r="P563">
        <v>0.43192934580462178</v>
      </c>
      <c r="R563" t="str">
        <f t="shared" si="16"/>
        <v>yes</v>
      </c>
      <c r="S563" t="str">
        <f t="shared" si="17"/>
        <v>no</v>
      </c>
    </row>
    <row r="564" spans="1:19" x14ac:dyDescent="0.35">
      <c r="A564" s="1">
        <v>562</v>
      </c>
      <c r="B564" t="s">
        <v>75</v>
      </c>
      <c r="C564" t="s">
        <v>253</v>
      </c>
      <c r="D564" t="s">
        <v>539</v>
      </c>
      <c r="E564">
        <v>0</v>
      </c>
      <c r="F564">
        <v>0</v>
      </c>
      <c r="G564">
        <v>27</v>
      </c>
      <c r="H564" t="s">
        <v>58</v>
      </c>
      <c r="M564">
        <v>0</v>
      </c>
      <c r="N564">
        <v>0</v>
      </c>
      <c r="O564">
        <v>0</v>
      </c>
      <c r="R564" t="str">
        <f t="shared" si="16"/>
        <v>yes</v>
      </c>
      <c r="S564" t="str">
        <f t="shared" si="17"/>
        <v>no</v>
      </c>
    </row>
    <row r="565" spans="1:19" x14ac:dyDescent="0.35">
      <c r="A565" s="1">
        <v>563</v>
      </c>
      <c r="B565" t="s">
        <v>75</v>
      </c>
      <c r="C565" t="s">
        <v>253</v>
      </c>
      <c r="D565" t="s">
        <v>540</v>
      </c>
      <c r="E565">
        <v>0</v>
      </c>
      <c r="F565">
        <v>0</v>
      </c>
      <c r="G565">
        <v>27</v>
      </c>
      <c r="H565" t="s">
        <v>58</v>
      </c>
      <c r="M565">
        <v>0</v>
      </c>
      <c r="N565">
        <v>0</v>
      </c>
      <c r="O565">
        <v>0</v>
      </c>
      <c r="R565" t="str">
        <f t="shared" si="16"/>
        <v>yes</v>
      </c>
      <c r="S565" t="str">
        <f t="shared" si="17"/>
        <v>no</v>
      </c>
    </row>
    <row r="566" spans="1:19" x14ac:dyDescent="0.35">
      <c r="A566" s="1">
        <v>564</v>
      </c>
      <c r="B566" t="s">
        <v>75</v>
      </c>
      <c r="C566" t="s">
        <v>253</v>
      </c>
      <c r="D566" t="s">
        <v>541</v>
      </c>
      <c r="E566">
        <v>7.2188888888888876</v>
      </c>
      <c r="F566">
        <v>15.17478169550299</v>
      </c>
      <c r="G566">
        <v>27</v>
      </c>
      <c r="H566" t="s">
        <v>58</v>
      </c>
      <c r="M566">
        <v>37.568452279894871</v>
      </c>
      <c r="N566">
        <v>-23.130674502117088</v>
      </c>
      <c r="O566">
        <v>60.699126782011959</v>
      </c>
      <c r="P566">
        <v>0.47571616078194973</v>
      </c>
      <c r="R566" t="str">
        <f t="shared" si="16"/>
        <v>yes</v>
      </c>
      <c r="S566" t="str">
        <f t="shared" si="17"/>
        <v>no</v>
      </c>
    </row>
    <row r="567" spans="1:19" x14ac:dyDescent="0.35">
      <c r="A567" s="1">
        <v>565</v>
      </c>
      <c r="B567" t="s">
        <v>75</v>
      </c>
      <c r="C567" t="s">
        <v>542</v>
      </c>
      <c r="D567" t="s">
        <v>543</v>
      </c>
      <c r="E567">
        <v>1</v>
      </c>
      <c r="F567">
        <v>0</v>
      </c>
      <c r="G567">
        <v>27</v>
      </c>
      <c r="H567" t="s">
        <v>58</v>
      </c>
      <c r="I567">
        <v>1</v>
      </c>
      <c r="J567">
        <v>1</v>
      </c>
      <c r="K567">
        <v>1</v>
      </c>
      <c r="L567">
        <v>0</v>
      </c>
      <c r="M567">
        <v>1</v>
      </c>
      <c r="N567">
        <v>1</v>
      </c>
      <c r="O567">
        <v>0</v>
      </c>
      <c r="P567" t="s">
        <v>21</v>
      </c>
      <c r="R567" t="str">
        <f t="shared" si="16"/>
        <v>yes</v>
      </c>
      <c r="S567" t="str">
        <f t="shared" si="17"/>
        <v>yes</v>
      </c>
    </row>
    <row r="568" spans="1:19" x14ac:dyDescent="0.35">
      <c r="A568" s="1">
        <v>566</v>
      </c>
      <c r="B568" t="s">
        <v>75</v>
      </c>
      <c r="C568" t="s">
        <v>542</v>
      </c>
      <c r="D568" t="s">
        <v>544</v>
      </c>
      <c r="E568">
        <v>2</v>
      </c>
      <c r="F568">
        <v>0</v>
      </c>
      <c r="G568">
        <v>27</v>
      </c>
      <c r="H568" t="s">
        <v>58</v>
      </c>
      <c r="M568">
        <v>2</v>
      </c>
      <c r="N568">
        <v>2</v>
      </c>
      <c r="O568">
        <v>0</v>
      </c>
      <c r="P568" t="s">
        <v>21</v>
      </c>
      <c r="R568" t="str">
        <f t="shared" si="16"/>
        <v>yes</v>
      </c>
      <c r="S568" t="str">
        <f t="shared" si="17"/>
        <v>no</v>
      </c>
    </row>
    <row r="569" spans="1:19" x14ac:dyDescent="0.35">
      <c r="A569" s="1">
        <v>567</v>
      </c>
      <c r="B569" t="s">
        <v>75</v>
      </c>
      <c r="C569" t="s">
        <v>542</v>
      </c>
      <c r="D569" t="s">
        <v>545</v>
      </c>
      <c r="E569">
        <v>1</v>
      </c>
      <c r="F569">
        <v>0</v>
      </c>
      <c r="G569">
        <v>27</v>
      </c>
      <c r="H569" t="s">
        <v>58</v>
      </c>
      <c r="I569">
        <v>1</v>
      </c>
      <c r="J569">
        <v>1</v>
      </c>
      <c r="K569">
        <v>1</v>
      </c>
      <c r="L569">
        <v>0</v>
      </c>
      <c r="M569">
        <v>1</v>
      </c>
      <c r="N569">
        <v>1</v>
      </c>
      <c r="O569">
        <v>0</v>
      </c>
      <c r="P569" t="s">
        <v>21</v>
      </c>
      <c r="R569" t="str">
        <f t="shared" si="16"/>
        <v>yes</v>
      </c>
      <c r="S569" t="str">
        <f t="shared" si="17"/>
        <v>yes</v>
      </c>
    </row>
    <row r="570" spans="1:19" x14ac:dyDescent="0.35">
      <c r="A570" s="1">
        <v>568</v>
      </c>
      <c r="B570" t="s">
        <v>75</v>
      </c>
      <c r="C570" t="s">
        <v>542</v>
      </c>
      <c r="D570" t="s">
        <v>546</v>
      </c>
      <c r="E570">
        <v>1</v>
      </c>
      <c r="F570">
        <v>0</v>
      </c>
      <c r="G570">
        <v>27</v>
      </c>
      <c r="H570" t="s">
        <v>58</v>
      </c>
      <c r="M570">
        <v>1</v>
      </c>
      <c r="N570">
        <v>1</v>
      </c>
      <c r="O570">
        <v>0</v>
      </c>
      <c r="P570" t="s">
        <v>21</v>
      </c>
      <c r="R570" t="str">
        <f t="shared" si="16"/>
        <v>yes</v>
      </c>
      <c r="S570" t="str">
        <f t="shared" si="17"/>
        <v>no</v>
      </c>
    </row>
    <row r="571" spans="1:19" x14ac:dyDescent="0.35">
      <c r="A571" s="1">
        <v>569</v>
      </c>
      <c r="B571" t="s">
        <v>75</v>
      </c>
      <c r="C571" t="s">
        <v>542</v>
      </c>
      <c r="D571" t="s">
        <v>547</v>
      </c>
      <c r="E571">
        <v>1</v>
      </c>
      <c r="F571">
        <v>0</v>
      </c>
      <c r="G571">
        <v>27</v>
      </c>
      <c r="H571" t="s">
        <v>58</v>
      </c>
      <c r="I571">
        <v>1</v>
      </c>
      <c r="J571">
        <v>1</v>
      </c>
      <c r="K571">
        <v>1</v>
      </c>
      <c r="L571">
        <v>0</v>
      </c>
      <c r="M571">
        <v>1</v>
      </c>
      <c r="N571">
        <v>1</v>
      </c>
      <c r="O571">
        <v>0</v>
      </c>
      <c r="P571" t="s">
        <v>21</v>
      </c>
      <c r="R571" t="str">
        <f t="shared" si="16"/>
        <v>yes</v>
      </c>
      <c r="S571" t="str">
        <f t="shared" si="17"/>
        <v>yes</v>
      </c>
    </row>
    <row r="572" spans="1:19" x14ac:dyDescent="0.35">
      <c r="A572" s="1">
        <v>570</v>
      </c>
      <c r="B572" t="s">
        <v>75</v>
      </c>
      <c r="C572" t="s">
        <v>542</v>
      </c>
      <c r="D572" t="s">
        <v>548</v>
      </c>
      <c r="E572">
        <v>28.29933333333333</v>
      </c>
      <c r="F572">
        <v>2.1468475912436729</v>
      </c>
      <c r="G572">
        <v>27</v>
      </c>
      <c r="H572" t="s">
        <v>58</v>
      </c>
      <c r="I572">
        <v>-55</v>
      </c>
      <c r="J572">
        <v>85</v>
      </c>
      <c r="K572">
        <v>15</v>
      </c>
      <c r="L572">
        <v>140</v>
      </c>
      <c r="M572">
        <v>32.593028515820677</v>
      </c>
      <c r="N572">
        <v>24.005638150845979</v>
      </c>
      <c r="O572">
        <v>8.587390364974695</v>
      </c>
      <c r="P572">
        <v>13.18180827030179</v>
      </c>
      <c r="Q572">
        <v>16.302973784796912</v>
      </c>
      <c r="R572" t="str">
        <f t="shared" si="16"/>
        <v>yes</v>
      </c>
      <c r="S572" t="str">
        <f t="shared" si="17"/>
        <v>yes</v>
      </c>
    </row>
    <row r="573" spans="1:19" x14ac:dyDescent="0.35">
      <c r="A573" s="1">
        <v>571</v>
      </c>
      <c r="B573" t="s">
        <v>75</v>
      </c>
      <c r="C573" t="s">
        <v>549</v>
      </c>
      <c r="D573" t="s">
        <v>550</v>
      </c>
      <c r="E573">
        <v>4.6775308641975304E-3</v>
      </c>
      <c r="F573">
        <v>1.3966631255037359E-3</v>
      </c>
      <c r="G573">
        <v>27</v>
      </c>
      <c r="H573" t="s">
        <v>58</v>
      </c>
      <c r="M573">
        <v>7.4708571152050027E-3</v>
      </c>
      <c r="N573">
        <v>1.8842046131900591E-3</v>
      </c>
      <c r="O573">
        <v>5.5866525020149436E-3</v>
      </c>
      <c r="P573">
        <v>3.3490759359100859</v>
      </c>
      <c r="R573" t="str">
        <f t="shared" si="16"/>
        <v>yes</v>
      </c>
      <c r="S573" t="str">
        <f t="shared" si="17"/>
        <v>no</v>
      </c>
    </row>
    <row r="574" spans="1:19" x14ac:dyDescent="0.35">
      <c r="A574" s="1">
        <v>572</v>
      </c>
      <c r="B574" t="s">
        <v>75</v>
      </c>
      <c r="C574" t="s">
        <v>549</v>
      </c>
      <c r="D574" t="s">
        <v>551</v>
      </c>
      <c r="E574">
        <v>0.99525296296296284</v>
      </c>
      <c r="F574">
        <v>2.237203723286548E-3</v>
      </c>
      <c r="G574">
        <v>27</v>
      </c>
      <c r="H574" t="s">
        <v>58</v>
      </c>
      <c r="I574">
        <v>0.85</v>
      </c>
      <c r="J574">
        <v>1.2</v>
      </c>
      <c r="K574">
        <v>1.0249999999999999</v>
      </c>
      <c r="L574">
        <v>0.35</v>
      </c>
      <c r="M574">
        <v>0.99972737040953596</v>
      </c>
      <c r="N574">
        <v>0.99077855551638971</v>
      </c>
      <c r="O574">
        <v>8.9488148931462508E-3</v>
      </c>
      <c r="P574">
        <v>444.86469989460488</v>
      </c>
      <c r="Q574">
        <v>39.111324145061843</v>
      </c>
      <c r="R574" t="str">
        <f t="shared" si="16"/>
        <v>yes</v>
      </c>
      <c r="S574" t="str">
        <f t="shared" si="17"/>
        <v>yes</v>
      </c>
    </row>
    <row r="575" spans="1:19" x14ac:dyDescent="0.35">
      <c r="A575" s="1">
        <v>573</v>
      </c>
      <c r="B575" t="s">
        <v>75</v>
      </c>
      <c r="C575" t="s">
        <v>549</v>
      </c>
      <c r="D575" t="s">
        <v>552</v>
      </c>
      <c r="E575">
        <v>1.8481481481481489E-3</v>
      </c>
      <c r="F575">
        <v>1.27750025110093E-3</v>
      </c>
      <c r="G575">
        <v>27</v>
      </c>
      <c r="H575" t="s">
        <v>58</v>
      </c>
      <c r="M575">
        <v>4.403148650350009E-3</v>
      </c>
      <c r="N575">
        <v>-7.0685235405371105E-4</v>
      </c>
      <c r="O575">
        <v>5.1100010044037199E-3</v>
      </c>
      <c r="P575">
        <v>1.446691025348483</v>
      </c>
      <c r="R575" t="str">
        <f t="shared" si="16"/>
        <v>yes</v>
      </c>
      <c r="S575" t="str">
        <f t="shared" si="17"/>
        <v>no</v>
      </c>
    </row>
    <row r="576" spans="1:19" x14ac:dyDescent="0.35">
      <c r="A576" s="1">
        <v>574</v>
      </c>
      <c r="B576" t="s">
        <v>75</v>
      </c>
      <c r="C576" t="s">
        <v>549</v>
      </c>
      <c r="D576" t="s">
        <v>553</v>
      </c>
      <c r="E576">
        <v>1.497544444444445</v>
      </c>
      <c r="F576">
        <v>4.6376250328895672E-3</v>
      </c>
      <c r="G576">
        <v>27</v>
      </c>
      <c r="H576" t="s">
        <v>58</v>
      </c>
      <c r="I576">
        <v>1.35</v>
      </c>
      <c r="J576">
        <v>1.65</v>
      </c>
      <c r="K576">
        <v>1.5</v>
      </c>
      <c r="L576">
        <v>0.29999999999999982</v>
      </c>
      <c r="M576">
        <v>1.5068196945102239</v>
      </c>
      <c r="N576">
        <v>1.4882691943786659</v>
      </c>
      <c r="O576">
        <v>1.8550500131558231E-2</v>
      </c>
      <c r="P576">
        <v>322.91192880494032</v>
      </c>
      <c r="Q576">
        <v>16.17207071897958</v>
      </c>
      <c r="R576" t="str">
        <f t="shared" si="16"/>
        <v>yes</v>
      </c>
      <c r="S576" t="str">
        <f t="shared" si="17"/>
        <v>yes</v>
      </c>
    </row>
    <row r="577" spans="1:19" x14ac:dyDescent="0.35">
      <c r="A577" s="1">
        <v>575</v>
      </c>
      <c r="B577" t="s">
        <v>75</v>
      </c>
      <c r="C577" t="s">
        <v>549</v>
      </c>
      <c r="D577" t="s">
        <v>554</v>
      </c>
      <c r="E577">
        <v>2.1720370370370369E-2</v>
      </c>
      <c r="F577">
        <v>3.193214390002432E-3</v>
      </c>
      <c r="G577">
        <v>27</v>
      </c>
      <c r="H577" t="s">
        <v>58</v>
      </c>
      <c r="M577">
        <v>2.8106799150375231E-2</v>
      </c>
      <c r="N577">
        <v>1.53339415903655E-2</v>
      </c>
      <c r="O577">
        <v>1.277285756000973E-2</v>
      </c>
      <c r="P577">
        <v>6.8020394867235412</v>
      </c>
      <c r="R577" t="str">
        <f t="shared" si="16"/>
        <v>yes</v>
      </c>
      <c r="S577" t="str">
        <f t="shared" si="17"/>
        <v>no</v>
      </c>
    </row>
    <row r="578" spans="1:19" x14ac:dyDescent="0.35">
      <c r="A578" s="1">
        <v>576</v>
      </c>
      <c r="B578" t="s">
        <v>75</v>
      </c>
      <c r="C578" t="s">
        <v>549</v>
      </c>
      <c r="D578" t="s">
        <v>555</v>
      </c>
      <c r="E578">
        <v>35.89856839506173</v>
      </c>
      <c r="F578">
        <v>8.7284565501618394E-2</v>
      </c>
      <c r="G578">
        <v>27</v>
      </c>
      <c r="H578" t="s">
        <v>58</v>
      </c>
      <c r="I578">
        <v>34.5</v>
      </c>
      <c r="J578">
        <v>37</v>
      </c>
      <c r="K578">
        <v>35.75</v>
      </c>
      <c r="L578">
        <v>2.5</v>
      </c>
      <c r="M578">
        <v>36.073137526064968</v>
      </c>
      <c r="N578">
        <v>35.723999264058492</v>
      </c>
      <c r="O578">
        <v>0.34913826200647691</v>
      </c>
      <c r="P578">
        <v>411.28197395215437</v>
      </c>
      <c r="Q578">
        <v>7.1604870392395501</v>
      </c>
      <c r="R578" t="str">
        <f t="shared" si="16"/>
        <v>yes</v>
      </c>
      <c r="S578" t="str">
        <f t="shared" si="17"/>
        <v>yes</v>
      </c>
    </row>
    <row r="579" spans="1:19" x14ac:dyDescent="0.35">
      <c r="A579" s="1">
        <v>577</v>
      </c>
      <c r="B579" t="s">
        <v>75</v>
      </c>
      <c r="C579" t="s">
        <v>549</v>
      </c>
      <c r="D579" t="s">
        <v>556</v>
      </c>
      <c r="E579">
        <v>4.5845679012345682E-3</v>
      </c>
      <c r="F579">
        <v>2.3699709057824368E-3</v>
      </c>
      <c r="G579">
        <v>27</v>
      </c>
      <c r="H579" t="s">
        <v>58</v>
      </c>
      <c r="M579">
        <v>9.3245097127994427E-3</v>
      </c>
      <c r="N579">
        <v>-1.553739103303054E-4</v>
      </c>
      <c r="O579">
        <v>9.4798836231297472E-3</v>
      </c>
      <c r="P579">
        <v>1.934440583236186</v>
      </c>
      <c r="R579" t="str">
        <f t="shared" ref="R579:R642" si="18">IF(H579="yes","yes","no")</f>
        <v>yes</v>
      </c>
      <c r="S579" t="str">
        <f t="shared" ref="S579:S642" si="19">IF(I579,"yes","no")</f>
        <v>no</v>
      </c>
    </row>
    <row r="580" spans="1:19" x14ac:dyDescent="0.35">
      <c r="A580" s="1">
        <v>578</v>
      </c>
      <c r="B580" t="s">
        <v>75</v>
      </c>
      <c r="C580" t="s">
        <v>549</v>
      </c>
      <c r="D580" t="s">
        <v>557</v>
      </c>
      <c r="E580">
        <v>0.99522888888888894</v>
      </c>
      <c r="F580">
        <v>2.1439713576673308E-3</v>
      </c>
      <c r="G580">
        <v>27</v>
      </c>
      <c r="H580" t="s">
        <v>58</v>
      </c>
      <c r="I580">
        <v>0.85</v>
      </c>
      <c r="J580">
        <v>1.2</v>
      </c>
      <c r="K580">
        <v>1.0249999999999999</v>
      </c>
      <c r="L580">
        <v>0.35</v>
      </c>
      <c r="M580">
        <v>0.99951683160422355</v>
      </c>
      <c r="N580">
        <v>0.99094094617355433</v>
      </c>
      <c r="O580">
        <v>8.5758854306692278E-3</v>
      </c>
      <c r="P580">
        <v>464.19878014215232</v>
      </c>
      <c r="Q580">
        <v>40.812112385308232</v>
      </c>
      <c r="R580" t="str">
        <f t="shared" si="18"/>
        <v>yes</v>
      </c>
      <c r="S580" t="str">
        <f t="shared" si="19"/>
        <v>yes</v>
      </c>
    </row>
    <row r="581" spans="1:19" x14ac:dyDescent="0.35">
      <c r="A581" s="1">
        <v>579</v>
      </c>
      <c r="B581" t="s">
        <v>75</v>
      </c>
      <c r="C581" t="s">
        <v>549</v>
      </c>
      <c r="D581" t="s">
        <v>558</v>
      </c>
      <c r="E581">
        <v>2.643703703703705E-3</v>
      </c>
      <c r="F581">
        <v>1.3299016780139641E-3</v>
      </c>
      <c r="G581">
        <v>27</v>
      </c>
      <c r="H581" t="s">
        <v>58</v>
      </c>
      <c r="M581">
        <v>5.3035070597316344E-3</v>
      </c>
      <c r="N581">
        <v>-1.6099652324223172E-5</v>
      </c>
      <c r="O581">
        <v>5.3196067120558563E-3</v>
      </c>
      <c r="P581">
        <v>1.9878941033082489</v>
      </c>
      <c r="R581" t="str">
        <f t="shared" si="18"/>
        <v>yes</v>
      </c>
      <c r="S581" t="str">
        <f t="shared" si="19"/>
        <v>no</v>
      </c>
    </row>
    <row r="582" spans="1:19" x14ac:dyDescent="0.35">
      <c r="A582" s="1">
        <v>580</v>
      </c>
      <c r="B582" t="s">
        <v>75</v>
      </c>
      <c r="C582" t="s">
        <v>549</v>
      </c>
      <c r="D582" t="s">
        <v>559</v>
      </c>
      <c r="E582">
        <v>1.4969088888888891</v>
      </c>
      <c r="F582">
        <v>7.1472665977290366E-3</v>
      </c>
      <c r="G582">
        <v>27</v>
      </c>
      <c r="H582" t="s">
        <v>58</v>
      </c>
      <c r="I582">
        <v>1.35</v>
      </c>
      <c r="J582">
        <v>1.65</v>
      </c>
      <c r="K582">
        <v>1.5</v>
      </c>
      <c r="L582">
        <v>0.29999999999999982</v>
      </c>
      <c r="M582">
        <v>1.5112034220843471</v>
      </c>
      <c r="N582">
        <v>1.482614355693431</v>
      </c>
      <c r="O582">
        <v>2.858906639091607E-2</v>
      </c>
      <c r="P582">
        <v>209.4379534358653</v>
      </c>
      <c r="Q582">
        <v>10.493522100299231</v>
      </c>
      <c r="R582" t="str">
        <f t="shared" si="18"/>
        <v>yes</v>
      </c>
      <c r="S582" t="str">
        <f t="shared" si="19"/>
        <v>yes</v>
      </c>
    </row>
    <row r="583" spans="1:19" x14ac:dyDescent="0.35">
      <c r="A583" s="1">
        <v>581</v>
      </c>
      <c r="B583" t="s">
        <v>75</v>
      </c>
      <c r="C583" t="s">
        <v>549</v>
      </c>
      <c r="D583" t="s">
        <v>560</v>
      </c>
      <c r="E583">
        <v>2.1917654320987651E-2</v>
      </c>
      <c r="F583">
        <v>3.9155160672609112E-3</v>
      </c>
      <c r="G583">
        <v>27</v>
      </c>
      <c r="H583" t="s">
        <v>58</v>
      </c>
      <c r="M583">
        <v>2.974868645550947E-2</v>
      </c>
      <c r="N583">
        <v>1.4086622186465831E-2</v>
      </c>
      <c r="O583">
        <v>1.5662064269043641E-2</v>
      </c>
      <c r="P583">
        <v>5.5976412673285463</v>
      </c>
      <c r="R583" t="str">
        <f t="shared" si="18"/>
        <v>yes</v>
      </c>
      <c r="S583" t="str">
        <f t="shared" si="19"/>
        <v>no</v>
      </c>
    </row>
    <row r="584" spans="1:19" x14ac:dyDescent="0.35">
      <c r="A584" s="1">
        <v>582</v>
      </c>
      <c r="B584" t="s">
        <v>75</v>
      </c>
      <c r="C584" t="s">
        <v>549</v>
      </c>
      <c r="D584" t="s">
        <v>561</v>
      </c>
      <c r="E584">
        <v>35.89494469135802</v>
      </c>
      <c r="F584">
        <v>6.3291736168726506E-2</v>
      </c>
      <c r="G584">
        <v>27</v>
      </c>
      <c r="H584" t="s">
        <v>58</v>
      </c>
      <c r="I584">
        <v>34.5</v>
      </c>
      <c r="J584">
        <v>37</v>
      </c>
      <c r="K584">
        <v>35.75</v>
      </c>
      <c r="L584">
        <v>2.5</v>
      </c>
      <c r="M584">
        <v>36.021528163695471</v>
      </c>
      <c r="N584">
        <v>35.768361219020569</v>
      </c>
      <c r="O584">
        <v>0.25316694467490208</v>
      </c>
      <c r="P584">
        <v>567.1347772111568</v>
      </c>
      <c r="Q584">
        <v>9.8749068651529992</v>
      </c>
      <c r="R584" t="str">
        <f t="shared" si="18"/>
        <v>yes</v>
      </c>
      <c r="S584" t="str">
        <f t="shared" si="19"/>
        <v>yes</v>
      </c>
    </row>
    <row r="585" spans="1:19" x14ac:dyDescent="0.35">
      <c r="A585" s="1">
        <v>583</v>
      </c>
      <c r="B585" t="s">
        <v>75</v>
      </c>
      <c r="C585" t="s">
        <v>549</v>
      </c>
      <c r="D585" t="s">
        <v>562</v>
      </c>
      <c r="E585">
        <v>5.8138271604938263E-3</v>
      </c>
      <c r="F585">
        <v>3.5205127361423549E-3</v>
      </c>
      <c r="G585">
        <v>27</v>
      </c>
      <c r="H585" t="s">
        <v>58</v>
      </c>
      <c r="M585">
        <v>1.285485263277854E-2</v>
      </c>
      <c r="N585">
        <v>-1.227198311790884E-3</v>
      </c>
      <c r="O585">
        <v>1.408205094456942E-2</v>
      </c>
      <c r="P585">
        <v>1.6514148921569869</v>
      </c>
      <c r="R585" t="str">
        <f t="shared" si="18"/>
        <v>yes</v>
      </c>
      <c r="S585" t="str">
        <f t="shared" si="19"/>
        <v>no</v>
      </c>
    </row>
    <row r="586" spans="1:19" x14ac:dyDescent="0.35">
      <c r="A586" s="1">
        <v>584</v>
      </c>
      <c r="B586" t="s">
        <v>75</v>
      </c>
      <c r="C586" t="s">
        <v>549</v>
      </c>
      <c r="D586" t="s">
        <v>563</v>
      </c>
      <c r="E586">
        <v>0.99558530864197514</v>
      </c>
      <c r="F586">
        <v>1.558686464027664E-3</v>
      </c>
      <c r="G586">
        <v>27</v>
      </c>
      <c r="H586" t="s">
        <v>58</v>
      </c>
      <c r="I586">
        <v>0.85</v>
      </c>
      <c r="J586">
        <v>1.2</v>
      </c>
      <c r="K586">
        <v>1.0249999999999999</v>
      </c>
      <c r="L586">
        <v>0.35</v>
      </c>
      <c r="M586">
        <v>0.9987026815700305</v>
      </c>
      <c r="N586">
        <v>0.99246793571391978</v>
      </c>
      <c r="O586">
        <v>6.2347458561107238E-3</v>
      </c>
      <c r="P586">
        <v>638.73353084068685</v>
      </c>
      <c r="Q586">
        <v>56.137011528218459</v>
      </c>
      <c r="R586" t="str">
        <f t="shared" si="18"/>
        <v>yes</v>
      </c>
      <c r="S586" t="str">
        <f t="shared" si="19"/>
        <v>yes</v>
      </c>
    </row>
    <row r="587" spans="1:19" x14ac:dyDescent="0.35">
      <c r="A587" s="1">
        <v>585</v>
      </c>
      <c r="B587" t="s">
        <v>75</v>
      </c>
      <c r="C587" t="s">
        <v>549</v>
      </c>
      <c r="D587" t="s">
        <v>564</v>
      </c>
      <c r="E587">
        <v>2.6119753086419769E-3</v>
      </c>
      <c r="F587">
        <v>1.6350463303674569E-3</v>
      </c>
      <c r="G587">
        <v>27</v>
      </c>
      <c r="H587" t="s">
        <v>58</v>
      </c>
      <c r="M587">
        <v>5.8820679693768908E-3</v>
      </c>
      <c r="N587">
        <v>-6.58117352092937E-4</v>
      </c>
      <c r="O587">
        <v>6.5401853214698278E-3</v>
      </c>
      <c r="P587">
        <v>1.5974931475213709</v>
      </c>
      <c r="R587" t="str">
        <f t="shared" si="18"/>
        <v>yes</v>
      </c>
      <c r="S587" t="str">
        <f t="shared" si="19"/>
        <v>no</v>
      </c>
    </row>
    <row r="588" spans="1:19" x14ac:dyDescent="0.35">
      <c r="A588" s="1">
        <v>586</v>
      </c>
      <c r="B588" t="s">
        <v>75</v>
      </c>
      <c r="C588" t="s">
        <v>549</v>
      </c>
      <c r="D588" t="s">
        <v>565</v>
      </c>
      <c r="E588">
        <v>1.4967538271604941</v>
      </c>
      <c r="F588">
        <v>5.880707863323972E-3</v>
      </c>
      <c r="G588">
        <v>27</v>
      </c>
      <c r="H588" t="s">
        <v>58</v>
      </c>
      <c r="I588">
        <v>1.35</v>
      </c>
      <c r="J588">
        <v>1.65</v>
      </c>
      <c r="K588">
        <v>1.5</v>
      </c>
      <c r="L588">
        <v>0.29999999999999982</v>
      </c>
      <c r="M588">
        <v>1.508515242887142</v>
      </c>
      <c r="N588">
        <v>1.484992411433846</v>
      </c>
      <c r="O588">
        <v>2.3522831453295812E-2</v>
      </c>
      <c r="P588">
        <v>254.51933031655119</v>
      </c>
      <c r="Q588">
        <v>12.753566703721219</v>
      </c>
      <c r="R588" t="str">
        <f t="shared" si="18"/>
        <v>yes</v>
      </c>
      <c r="S588" t="str">
        <f t="shared" si="19"/>
        <v>yes</v>
      </c>
    </row>
    <row r="589" spans="1:19" x14ac:dyDescent="0.35">
      <c r="A589" s="1">
        <v>587</v>
      </c>
      <c r="B589" t="s">
        <v>75</v>
      </c>
      <c r="C589" t="s">
        <v>549</v>
      </c>
      <c r="D589" t="s">
        <v>566</v>
      </c>
      <c r="E589">
        <v>2.2630123456790129E-2</v>
      </c>
      <c r="F589">
        <v>3.513420596591421E-3</v>
      </c>
      <c r="G589">
        <v>27</v>
      </c>
      <c r="H589" t="s">
        <v>58</v>
      </c>
      <c r="M589">
        <v>2.9656964649972969E-2</v>
      </c>
      <c r="N589">
        <v>1.560328226360729E-2</v>
      </c>
      <c r="O589">
        <v>1.4053682386365691E-2</v>
      </c>
      <c r="P589">
        <v>6.4410516289296416</v>
      </c>
      <c r="R589" t="str">
        <f t="shared" si="18"/>
        <v>yes</v>
      </c>
      <c r="S589" t="str">
        <f t="shared" si="19"/>
        <v>no</v>
      </c>
    </row>
    <row r="590" spans="1:19" x14ac:dyDescent="0.35">
      <c r="A590" s="1">
        <v>588</v>
      </c>
      <c r="B590" t="s">
        <v>75</v>
      </c>
      <c r="C590" t="s">
        <v>549</v>
      </c>
      <c r="D590" t="s">
        <v>567</v>
      </c>
      <c r="E590">
        <v>35.94529716049383</v>
      </c>
      <c r="F590">
        <v>6.7871260548677911E-2</v>
      </c>
      <c r="G590">
        <v>27</v>
      </c>
      <c r="H590" t="s">
        <v>58</v>
      </c>
      <c r="I590">
        <v>34.5</v>
      </c>
      <c r="J590">
        <v>37</v>
      </c>
      <c r="K590">
        <v>35.75</v>
      </c>
      <c r="L590">
        <v>2.5</v>
      </c>
      <c r="M590">
        <v>36.081039681591193</v>
      </c>
      <c r="N590">
        <v>35.809554639396467</v>
      </c>
      <c r="O590">
        <v>0.27148504219471192</v>
      </c>
      <c r="P590">
        <v>529.60998322277396</v>
      </c>
      <c r="Q590">
        <v>9.2086104626234757</v>
      </c>
      <c r="R590" t="str">
        <f t="shared" si="18"/>
        <v>yes</v>
      </c>
      <c r="S590" t="str">
        <f t="shared" si="19"/>
        <v>yes</v>
      </c>
    </row>
    <row r="591" spans="1:19" x14ac:dyDescent="0.35">
      <c r="A591" s="1">
        <v>589</v>
      </c>
      <c r="B591" t="s">
        <v>75</v>
      </c>
      <c r="C591" t="s">
        <v>549</v>
      </c>
      <c r="D591" t="s">
        <v>568</v>
      </c>
      <c r="E591">
        <v>1.799947654320988</v>
      </c>
      <c r="F591">
        <v>6.5136375466318223E-3</v>
      </c>
      <c r="G591">
        <v>27</v>
      </c>
      <c r="H591" t="s">
        <v>58</v>
      </c>
      <c r="I591">
        <v>1.62</v>
      </c>
      <c r="J591">
        <v>1.98</v>
      </c>
      <c r="K591">
        <v>1.8</v>
      </c>
      <c r="L591">
        <v>0.35999999999999988</v>
      </c>
      <c r="M591">
        <v>1.8129749294142521</v>
      </c>
      <c r="N591">
        <v>1.786920379227724</v>
      </c>
      <c r="O591">
        <v>2.6054550186527251E-2</v>
      </c>
      <c r="P591">
        <v>276.33524914995218</v>
      </c>
      <c r="Q591">
        <v>13.81716427352314</v>
      </c>
      <c r="R591" t="str">
        <f t="shared" si="18"/>
        <v>yes</v>
      </c>
      <c r="S591" t="str">
        <f t="shared" si="19"/>
        <v>yes</v>
      </c>
    </row>
    <row r="592" spans="1:19" x14ac:dyDescent="0.35">
      <c r="A592" s="1">
        <v>590</v>
      </c>
      <c r="B592" t="s">
        <v>75</v>
      </c>
      <c r="C592" t="s">
        <v>549</v>
      </c>
      <c r="D592" t="s">
        <v>569</v>
      </c>
      <c r="E592">
        <v>3.2916172839506173E-2</v>
      </c>
      <c r="F592">
        <v>7.9352712462982516E-3</v>
      </c>
      <c r="G592">
        <v>27</v>
      </c>
      <c r="H592" t="s">
        <v>58</v>
      </c>
      <c r="M592">
        <v>4.8786715332102673E-2</v>
      </c>
      <c r="N592">
        <v>1.704563034690967E-2</v>
      </c>
      <c r="O592">
        <v>3.1741084985192999E-2</v>
      </c>
      <c r="P592">
        <v>4.1480841445541436</v>
      </c>
      <c r="R592" t="str">
        <f t="shared" si="18"/>
        <v>yes</v>
      </c>
      <c r="S592" t="str">
        <f t="shared" si="19"/>
        <v>no</v>
      </c>
    </row>
    <row r="593" spans="1:19" x14ac:dyDescent="0.35">
      <c r="A593" s="1">
        <v>591</v>
      </c>
      <c r="B593" t="s">
        <v>75</v>
      </c>
      <c r="C593" t="s">
        <v>549</v>
      </c>
      <c r="D593" t="s">
        <v>570</v>
      </c>
      <c r="E593">
        <v>3.5999506172839507E-2</v>
      </c>
      <c r="F593">
        <v>1.0422607635500351E-2</v>
      </c>
      <c r="G593">
        <v>27</v>
      </c>
      <c r="H593" t="s">
        <v>58</v>
      </c>
      <c r="M593">
        <v>5.6844721443840208E-2</v>
      </c>
      <c r="N593">
        <v>1.5154290901838809E-2</v>
      </c>
      <c r="O593">
        <v>4.1690430542001403E-2</v>
      </c>
      <c r="P593">
        <v>3.4539826722654232</v>
      </c>
      <c r="R593" t="str">
        <f t="shared" si="18"/>
        <v>yes</v>
      </c>
      <c r="S593" t="str">
        <f t="shared" si="19"/>
        <v>no</v>
      </c>
    </row>
    <row r="594" spans="1:19" x14ac:dyDescent="0.35">
      <c r="A594" s="1">
        <v>592</v>
      </c>
      <c r="B594" t="s">
        <v>75</v>
      </c>
      <c r="C594" t="s">
        <v>549</v>
      </c>
      <c r="D594" t="s">
        <v>571</v>
      </c>
      <c r="E594">
        <v>3.3334691358024693E-2</v>
      </c>
      <c r="F594">
        <v>9.0997187580994267E-3</v>
      </c>
      <c r="G594">
        <v>27</v>
      </c>
      <c r="H594" t="s">
        <v>58</v>
      </c>
      <c r="M594">
        <v>5.1534128874223553E-2</v>
      </c>
      <c r="N594">
        <v>1.5135253841825839E-2</v>
      </c>
      <c r="O594">
        <v>3.6398875032397707E-2</v>
      </c>
      <c r="P594">
        <v>3.6632661123020238</v>
      </c>
      <c r="R594" t="str">
        <f t="shared" si="18"/>
        <v>yes</v>
      </c>
      <c r="S594" t="str">
        <f t="shared" si="19"/>
        <v>no</v>
      </c>
    </row>
    <row r="595" spans="1:19" x14ac:dyDescent="0.35">
      <c r="A595" s="1">
        <v>593</v>
      </c>
      <c r="B595" t="s">
        <v>75</v>
      </c>
      <c r="C595" t="s">
        <v>549</v>
      </c>
      <c r="D595" t="s">
        <v>572</v>
      </c>
      <c r="E595">
        <v>7.6275308641975306E-2</v>
      </c>
      <c r="F595">
        <v>8.0004822248534169E-3</v>
      </c>
      <c r="G595">
        <v>27</v>
      </c>
      <c r="H595" t="s">
        <v>58</v>
      </c>
      <c r="M595">
        <v>9.227627309168214E-2</v>
      </c>
      <c r="N595">
        <v>6.0274344192268473E-2</v>
      </c>
      <c r="O595">
        <v>3.2001928899413667E-2</v>
      </c>
      <c r="P595">
        <v>9.5338388984887477</v>
      </c>
      <c r="R595" t="str">
        <f t="shared" si="18"/>
        <v>yes</v>
      </c>
      <c r="S595" t="str">
        <f t="shared" si="19"/>
        <v>no</v>
      </c>
    </row>
    <row r="596" spans="1:19" x14ac:dyDescent="0.35">
      <c r="A596" s="1">
        <v>594</v>
      </c>
      <c r="B596" t="s">
        <v>75</v>
      </c>
      <c r="C596" t="s">
        <v>549</v>
      </c>
      <c r="D596" t="s">
        <v>573</v>
      </c>
      <c r="E596">
        <v>3.9761114814814809</v>
      </c>
      <c r="F596">
        <v>4.6033921112374528E-3</v>
      </c>
      <c r="G596">
        <v>27</v>
      </c>
      <c r="H596" t="s">
        <v>58</v>
      </c>
      <c r="I596">
        <v>3.6</v>
      </c>
      <c r="J596">
        <v>4.4000000000000004</v>
      </c>
      <c r="K596">
        <v>4</v>
      </c>
      <c r="L596">
        <v>0.80000000000000027</v>
      </c>
      <c r="M596">
        <v>3.9853182657039561</v>
      </c>
      <c r="N596">
        <v>3.9669046972590061</v>
      </c>
      <c r="O596">
        <v>1.8413568444949568E-2</v>
      </c>
      <c r="P596">
        <v>863.73512953096008</v>
      </c>
      <c r="Q596">
        <v>43.44622295193534</v>
      </c>
      <c r="R596" t="str">
        <f t="shared" si="18"/>
        <v>yes</v>
      </c>
      <c r="S596" t="str">
        <f t="shared" si="19"/>
        <v>yes</v>
      </c>
    </row>
    <row r="597" spans="1:19" x14ac:dyDescent="0.35">
      <c r="A597" s="1">
        <v>595</v>
      </c>
      <c r="B597" t="s">
        <v>75</v>
      </c>
      <c r="C597" t="s">
        <v>549</v>
      </c>
      <c r="D597" t="s">
        <v>574</v>
      </c>
      <c r="E597">
        <v>4.2539259259259263E-2</v>
      </c>
      <c r="F597">
        <v>1.071307583398415E-2</v>
      </c>
      <c r="G597">
        <v>27</v>
      </c>
      <c r="H597" t="s">
        <v>58</v>
      </c>
      <c r="M597">
        <v>6.3965410927227559E-2</v>
      </c>
      <c r="N597">
        <v>2.111310759129096E-2</v>
      </c>
      <c r="O597">
        <v>4.2852303335936592E-2</v>
      </c>
      <c r="P597">
        <v>3.9707792531735571</v>
      </c>
      <c r="R597" t="str">
        <f t="shared" si="18"/>
        <v>yes</v>
      </c>
      <c r="S597" t="str">
        <f t="shared" si="19"/>
        <v>no</v>
      </c>
    </row>
    <row r="598" spans="1:19" x14ac:dyDescent="0.35">
      <c r="A598" s="1">
        <v>596</v>
      </c>
      <c r="B598" t="s">
        <v>75</v>
      </c>
      <c r="C598" t="s">
        <v>549</v>
      </c>
      <c r="D598" t="s">
        <v>575</v>
      </c>
      <c r="E598">
        <v>4.718098765432098E-2</v>
      </c>
      <c r="F598">
        <v>7.2231946549665754E-3</v>
      </c>
      <c r="G598">
        <v>27</v>
      </c>
      <c r="H598" t="s">
        <v>58</v>
      </c>
      <c r="M598">
        <v>6.1627376964254132E-2</v>
      </c>
      <c r="N598">
        <v>3.2734598344387827E-2</v>
      </c>
      <c r="O598">
        <v>2.8892778619866308E-2</v>
      </c>
      <c r="P598">
        <v>6.5318726558033351</v>
      </c>
      <c r="R598" t="str">
        <f t="shared" si="18"/>
        <v>yes</v>
      </c>
      <c r="S598" t="str">
        <f t="shared" si="19"/>
        <v>no</v>
      </c>
    </row>
    <row r="599" spans="1:19" x14ac:dyDescent="0.35">
      <c r="A599" s="1">
        <v>597</v>
      </c>
      <c r="B599" t="s">
        <v>75</v>
      </c>
      <c r="C599" t="s">
        <v>549</v>
      </c>
      <c r="D599" t="s">
        <v>576</v>
      </c>
      <c r="E599">
        <v>4.69479012345679E-2</v>
      </c>
      <c r="F599">
        <v>1.268446751835093E-2</v>
      </c>
      <c r="G599">
        <v>27</v>
      </c>
      <c r="H599" t="s">
        <v>58</v>
      </c>
      <c r="M599">
        <v>7.2316836271269752E-2</v>
      </c>
      <c r="N599">
        <v>2.1578966197866041E-2</v>
      </c>
      <c r="O599">
        <v>5.0737870073403711E-2</v>
      </c>
      <c r="P599">
        <v>3.7012118298736012</v>
      </c>
      <c r="R599" t="str">
        <f t="shared" si="18"/>
        <v>yes</v>
      </c>
      <c r="S599" t="str">
        <f t="shared" si="19"/>
        <v>no</v>
      </c>
    </row>
    <row r="600" spans="1:19" x14ac:dyDescent="0.35">
      <c r="A600" s="1">
        <v>598</v>
      </c>
      <c r="B600" t="s">
        <v>75</v>
      </c>
      <c r="C600" t="s">
        <v>549</v>
      </c>
      <c r="D600" t="s">
        <v>577</v>
      </c>
      <c r="E600">
        <v>1.800395061728395</v>
      </c>
      <c r="F600">
        <v>3.2586170248524071E-3</v>
      </c>
      <c r="G600">
        <v>27</v>
      </c>
      <c r="H600" t="s">
        <v>58</v>
      </c>
      <c r="I600">
        <v>1.62</v>
      </c>
      <c r="J600">
        <v>1.98</v>
      </c>
      <c r="K600">
        <v>1.8</v>
      </c>
      <c r="L600">
        <v>0.35999999999999988</v>
      </c>
      <c r="M600">
        <v>1.8069122957781001</v>
      </c>
      <c r="N600">
        <v>1.79387782767869</v>
      </c>
      <c r="O600">
        <v>1.303446809940967E-2</v>
      </c>
      <c r="P600">
        <v>552.50280962671286</v>
      </c>
      <c r="Q600">
        <v>27.619078680802041</v>
      </c>
      <c r="R600" t="str">
        <f t="shared" si="18"/>
        <v>yes</v>
      </c>
      <c r="S600" t="str">
        <f t="shared" si="19"/>
        <v>yes</v>
      </c>
    </row>
    <row r="601" spans="1:19" x14ac:dyDescent="0.35">
      <c r="A601" s="1">
        <v>599</v>
      </c>
      <c r="B601" t="s">
        <v>75</v>
      </c>
      <c r="C601" t="s">
        <v>549</v>
      </c>
      <c r="D601" t="s">
        <v>578</v>
      </c>
      <c r="E601">
        <v>3.3527901234567913E-2</v>
      </c>
      <c r="F601">
        <v>1.24538252054601E-2</v>
      </c>
      <c r="G601">
        <v>27</v>
      </c>
      <c r="H601" t="s">
        <v>58</v>
      </c>
      <c r="M601">
        <v>5.843555164548811E-2</v>
      </c>
      <c r="N601">
        <v>8.620250823647712E-3</v>
      </c>
      <c r="O601">
        <v>4.9815300821840387E-2</v>
      </c>
      <c r="P601">
        <v>2.692176956190806</v>
      </c>
      <c r="R601" t="str">
        <f t="shared" si="18"/>
        <v>yes</v>
      </c>
      <c r="S601" t="str">
        <f t="shared" si="19"/>
        <v>no</v>
      </c>
    </row>
    <row r="602" spans="1:19" x14ac:dyDescent="0.35">
      <c r="A602" s="1">
        <v>600</v>
      </c>
      <c r="B602" t="s">
        <v>75</v>
      </c>
      <c r="C602" t="s">
        <v>549</v>
      </c>
      <c r="D602" t="s">
        <v>579</v>
      </c>
      <c r="E602">
        <v>3.1515185185185188E-2</v>
      </c>
      <c r="F602">
        <v>1.1393995823694479E-2</v>
      </c>
      <c r="G602">
        <v>27</v>
      </c>
      <c r="H602" t="s">
        <v>58</v>
      </c>
      <c r="M602">
        <v>5.4303176832574143E-2</v>
      </c>
      <c r="N602">
        <v>8.7271935377962288E-3</v>
      </c>
      <c r="O602">
        <v>4.5575983294777911E-2</v>
      </c>
      <c r="P602">
        <v>2.7659467032318479</v>
      </c>
      <c r="R602" t="str">
        <f t="shared" si="18"/>
        <v>yes</v>
      </c>
      <c r="S602" t="str">
        <f t="shared" si="19"/>
        <v>no</v>
      </c>
    </row>
    <row r="603" spans="1:19" x14ac:dyDescent="0.35">
      <c r="A603" s="1">
        <v>601</v>
      </c>
      <c r="B603" t="s">
        <v>75</v>
      </c>
      <c r="C603" t="s">
        <v>549</v>
      </c>
      <c r="D603" t="s">
        <v>580</v>
      </c>
      <c r="E603">
        <v>3.0126543209876538E-2</v>
      </c>
      <c r="F603">
        <v>9.2910335750879605E-3</v>
      </c>
      <c r="G603">
        <v>27</v>
      </c>
      <c r="H603" t="s">
        <v>58</v>
      </c>
      <c r="M603">
        <v>4.8708610360052459E-2</v>
      </c>
      <c r="N603">
        <v>1.1544476059700619E-2</v>
      </c>
      <c r="O603">
        <v>3.7164134300351842E-2</v>
      </c>
      <c r="P603">
        <v>3.2425394835139558</v>
      </c>
      <c r="R603" t="str">
        <f t="shared" si="18"/>
        <v>yes</v>
      </c>
      <c r="S603" t="str">
        <f t="shared" si="19"/>
        <v>no</v>
      </c>
    </row>
    <row r="604" spans="1:19" x14ac:dyDescent="0.35">
      <c r="A604" s="1">
        <v>602</v>
      </c>
      <c r="B604" t="s">
        <v>75</v>
      </c>
      <c r="C604" t="s">
        <v>549</v>
      </c>
      <c r="D604" t="s">
        <v>581</v>
      </c>
      <c r="E604">
        <v>7.5663456790123457E-2</v>
      </c>
      <c r="F604">
        <v>5.2286315280903424E-3</v>
      </c>
      <c r="G604">
        <v>27</v>
      </c>
      <c r="H604" t="s">
        <v>58</v>
      </c>
      <c r="M604">
        <v>8.6120719846304136E-2</v>
      </c>
      <c r="N604">
        <v>6.5206193733942777E-2</v>
      </c>
      <c r="O604">
        <v>2.0914526112361359E-2</v>
      </c>
      <c r="P604">
        <v>14.47098660206375</v>
      </c>
      <c r="R604" t="str">
        <f t="shared" si="18"/>
        <v>yes</v>
      </c>
      <c r="S604" t="str">
        <f t="shared" si="19"/>
        <v>no</v>
      </c>
    </row>
    <row r="605" spans="1:19" x14ac:dyDescent="0.35">
      <c r="A605" s="1">
        <v>603</v>
      </c>
      <c r="B605" t="s">
        <v>75</v>
      </c>
      <c r="C605" t="s">
        <v>549</v>
      </c>
      <c r="D605" t="s">
        <v>582</v>
      </c>
      <c r="E605">
        <v>3.9732519753086408</v>
      </c>
      <c r="F605">
        <v>1.1369659700281859E-2</v>
      </c>
      <c r="G605">
        <v>27</v>
      </c>
      <c r="H605" t="s">
        <v>58</v>
      </c>
      <c r="I605">
        <v>3.6</v>
      </c>
      <c r="J605">
        <v>4.4000000000000004</v>
      </c>
      <c r="K605">
        <v>4</v>
      </c>
      <c r="L605">
        <v>0.80000000000000027</v>
      </c>
      <c r="M605">
        <v>3.9959912947092051</v>
      </c>
      <c r="N605">
        <v>3.950512655908077</v>
      </c>
      <c r="O605">
        <v>4.547863880112768E-2</v>
      </c>
      <c r="P605">
        <v>349.46094078876803</v>
      </c>
      <c r="Q605">
        <v>17.590675998424199</v>
      </c>
      <c r="R605" t="str">
        <f t="shared" si="18"/>
        <v>yes</v>
      </c>
      <c r="S605" t="str">
        <f t="shared" si="19"/>
        <v>yes</v>
      </c>
    </row>
    <row r="606" spans="1:19" x14ac:dyDescent="0.35">
      <c r="A606" s="1">
        <v>604</v>
      </c>
      <c r="B606" t="s">
        <v>75</v>
      </c>
      <c r="C606" t="s">
        <v>549</v>
      </c>
      <c r="D606" t="s">
        <v>583</v>
      </c>
      <c r="E606">
        <v>4.2634567901234557E-2</v>
      </c>
      <c r="F606">
        <v>4.8514371210962217E-3</v>
      </c>
      <c r="G606">
        <v>27</v>
      </c>
      <c r="H606" t="s">
        <v>58</v>
      </c>
      <c r="M606">
        <v>5.2337442143426997E-2</v>
      </c>
      <c r="N606">
        <v>3.2931693659042111E-2</v>
      </c>
      <c r="O606">
        <v>1.940574848438489E-2</v>
      </c>
      <c r="P606">
        <v>8.7880285443338764</v>
      </c>
      <c r="R606" t="str">
        <f t="shared" si="18"/>
        <v>yes</v>
      </c>
      <c r="S606" t="str">
        <f t="shared" si="19"/>
        <v>no</v>
      </c>
    </row>
    <row r="607" spans="1:19" x14ac:dyDescent="0.35">
      <c r="A607" s="1">
        <v>605</v>
      </c>
      <c r="B607" t="s">
        <v>75</v>
      </c>
      <c r="C607" t="s">
        <v>549</v>
      </c>
      <c r="D607" t="s">
        <v>584</v>
      </c>
      <c r="E607">
        <v>4.7647654320987658E-2</v>
      </c>
      <c r="F607">
        <v>5.466649162595409E-3</v>
      </c>
      <c r="G607">
        <v>27</v>
      </c>
      <c r="H607" t="s">
        <v>58</v>
      </c>
      <c r="M607">
        <v>5.8580952646178477E-2</v>
      </c>
      <c r="N607">
        <v>3.6714355995796838E-2</v>
      </c>
      <c r="O607">
        <v>2.1866596650381639E-2</v>
      </c>
      <c r="P607">
        <v>8.7160622355296553</v>
      </c>
      <c r="R607" t="str">
        <f t="shared" si="18"/>
        <v>yes</v>
      </c>
      <c r="S607" t="str">
        <f t="shared" si="19"/>
        <v>no</v>
      </c>
    </row>
    <row r="608" spans="1:19" x14ac:dyDescent="0.35">
      <c r="A608" s="1">
        <v>606</v>
      </c>
      <c r="B608" t="s">
        <v>75</v>
      </c>
      <c r="C608" t="s">
        <v>549</v>
      </c>
      <c r="D608" t="s">
        <v>585</v>
      </c>
      <c r="E608">
        <v>4.2801604938271599E-2</v>
      </c>
      <c r="F608">
        <v>6.0145914059739217E-3</v>
      </c>
      <c r="G608">
        <v>27</v>
      </c>
      <c r="H608" t="s">
        <v>58</v>
      </c>
      <c r="M608">
        <v>5.4830787750219441E-2</v>
      </c>
      <c r="N608">
        <v>3.0772422126323761E-2</v>
      </c>
      <c r="O608">
        <v>2.405836562389568E-2</v>
      </c>
      <c r="P608">
        <v>7.116294698881692</v>
      </c>
      <c r="R608" t="str">
        <f t="shared" si="18"/>
        <v>yes</v>
      </c>
      <c r="S608" t="str">
        <f t="shared" si="19"/>
        <v>no</v>
      </c>
    </row>
    <row r="609" spans="1:19" x14ac:dyDescent="0.35">
      <c r="A609" s="1">
        <v>607</v>
      </c>
      <c r="B609" t="s">
        <v>75</v>
      </c>
      <c r="C609" t="s">
        <v>549</v>
      </c>
      <c r="D609" t="s">
        <v>586</v>
      </c>
      <c r="E609">
        <v>1.8020446913580239</v>
      </c>
      <c r="F609">
        <v>4.2860197251063693E-3</v>
      </c>
      <c r="G609">
        <v>27</v>
      </c>
      <c r="H609" t="s">
        <v>58</v>
      </c>
      <c r="I609">
        <v>1.62</v>
      </c>
      <c r="J609">
        <v>1.98</v>
      </c>
      <c r="K609">
        <v>1.8</v>
      </c>
      <c r="L609">
        <v>0.35999999999999988</v>
      </c>
      <c r="M609">
        <v>1.810616730808237</v>
      </c>
      <c r="N609">
        <v>1.793472651907811</v>
      </c>
      <c r="O609">
        <v>1.7144078900425349E-2</v>
      </c>
      <c r="P609">
        <v>420.44712972320752</v>
      </c>
      <c r="Q609">
        <v>20.99850345363658</v>
      </c>
      <c r="R609" t="str">
        <f t="shared" si="18"/>
        <v>yes</v>
      </c>
      <c r="S609" t="str">
        <f t="shared" si="19"/>
        <v>yes</v>
      </c>
    </row>
    <row r="610" spans="1:19" x14ac:dyDescent="0.35">
      <c r="A610" s="1">
        <v>608</v>
      </c>
      <c r="B610" t="s">
        <v>75</v>
      </c>
      <c r="C610" t="s">
        <v>549</v>
      </c>
      <c r="D610" t="s">
        <v>587</v>
      </c>
      <c r="E610">
        <v>3.667666666666667E-2</v>
      </c>
      <c r="F610">
        <v>8.2122493212115552E-3</v>
      </c>
      <c r="G610">
        <v>27</v>
      </c>
      <c r="H610" t="s">
        <v>58</v>
      </c>
      <c r="M610">
        <v>5.310116530908978E-2</v>
      </c>
      <c r="N610">
        <v>2.0252168024243559E-2</v>
      </c>
      <c r="O610">
        <v>3.2848997284846221E-2</v>
      </c>
      <c r="P610">
        <v>4.466092690577951</v>
      </c>
      <c r="R610" t="str">
        <f t="shared" si="18"/>
        <v>yes</v>
      </c>
      <c r="S610" t="str">
        <f t="shared" si="19"/>
        <v>no</v>
      </c>
    </row>
    <row r="611" spans="1:19" x14ac:dyDescent="0.35">
      <c r="A611" s="1">
        <v>609</v>
      </c>
      <c r="B611" t="s">
        <v>75</v>
      </c>
      <c r="C611" t="s">
        <v>549</v>
      </c>
      <c r="D611" t="s">
        <v>588</v>
      </c>
      <c r="E611">
        <v>4.0724938271604942E-2</v>
      </c>
      <c r="F611">
        <v>9.0419752243955931E-3</v>
      </c>
      <c r="G611">
        <v>27</v>
      </c>
      <c r="H611" t="s">
        <v>58</v>
      </c>
      <c r="M611">
        <v>5.8808888720396128E-2</v>
      </c>
      <c r="N611">
        <v>2.2640987822813759E-2</v>
      </c>
      <c r="O611">
        <v>3.6167900897582372E-2</v>
      </c>
      <c r="P611">
        <v>4.5039869343733114</v>
      </c>
      <c r="R611" t="str">
        <f t="shared" si="18"/>
        <v>yes</v>
      </c>
      <c r="S611" t="str">
        <f t="shared" si="19"/>
        <v>no</v>
      </c>
    </row>
    <row r="612" spans="1:19" x14ac:dyDescent="0.35">
      <c r="A612" s="1">
        <v>610</v>
      </c>
      <c r="B612" t="s">
        <v>75</v>
      </c>
      <c r="C612" t="s">
        <v>549</v>
      </c>
      <c r="D612" t="s">
        <v>589</v>
      </c>
      <c r="E612">
        <v>3.5900987654320989E-2</v>
      </c>
      <c r="F612">
        <v>8.110308071633994E-3</v>
      </c>
      <c r="G612">
        <v>27</v>
      </c>
      <c r="H612" t="s">
        <v>58</v>
      </c>
      <c r="M612">
        <v>5.2121603797588983E-2</v>
      </c>
      <c r="N612">
        <v>1.9680371511053001E-2</v>
      </c>
      <c r="O612">
        <v>3.2441232286535983E-2</v>
      </c>
      <c r="P612">
        <v>4.4265874165601176</v>
      </c>
      <c r="R612" t="str">
        <f t="shared" si="18"/>
        <v>yes</v>
      </c>
      <c r="S612" t="str">
        <f t="shared" si="19"/>
        <v>no</v>
      </c>
    </row>
    <row r="613" spans="1:19" x14ac:dyDescent="0.35">
      <c r="A613" s="1">
        <v>611</v>
      </c>
      <c r="B613" t="s">
        <v>75</v>
      </c>
      <c r="C613" t="s">
        <v>549</v>
      </c>
      <c r="D613" t="s">
        <v>590</v>
      </c>
      <c r="E613">
        <v>7.4074320987654332E-2</v>
      </c>
      <c r="F613">
        <v>6.6692044092886349E-3</v>
      </c>
      <c r="G613">
        <v>27</v>
      </c>
      <c r="H613" t="s">
        <v>58</v>
      </c>
      <c r="M613">
        <v>8.7412729806231604E-2</v>
      </c>
      <c r="N613">
        <v>6.0735912169077061E-2</v>
      </c>
      <c r="O613">
        <v>2.6676817637154539E-2</v>
      </c>
      <c r="P613">
        <v>11.106920172440089</v>
      </c>
      <c r="R613" t="str">
        <f t="shared" si="18"/>
        <v>yes</v>
      </c>
      <c r="S613" t="str">
        <f t="shared" si="19"/>
        <v>no</v>
      </c>
    </row>
    <row r="614" spans="1:19" x14ac:dyDescent="0.35">
      <c r="A614" s="1">
        <v>612</v>
      </c>
      <c r="B614" t="s">
        <v>75</v>
      </c>
      <c r="C614" t="s">
        <v>549</v>
      </c>
      <c r="D614" t="s">
        <v>591</v>
      </c>
      <c r="E614">
        <v>3.9671164197530859</v>
      </c>
      <c r="F614">
        <v>1.209730910158819E-2</v>
      </c>
      <c r="G614">
        <v>27</v>
      </c>
      <c r="H614" t="s">
        <v>58</v>
      </c>
      <c r="I614">
        <v>3.6</v>
      </c>
      <c r="J614">
        <v>4.4000000000000004</v>
      </c>
      <c r="K614">
        <v>4</v>
      </c>
      <c r="L614">
        <v>0.80000000000000027</v>
      </c>
      <c r="M614">
        <v>3.9913110379562622</v>
      </c>
      <c r="N614">
        <v>3.9429218015499101</v>
      </c>
      <c r="O614">
        <v>4.8389236406352509E-2</v>
      </c>
      <c r="P614">
        <v>327.93378977414608</v>
      </c>
      <c r="Q614">
        <v>16.53260227712493</v>
      </c>
      <c r="R614" t="str">
        <f t="shared" si="18"/>
        <v>yes</v>
      </c>
      <c r="S614" t="str">
        <f t="shared" si="19"/>
        <v>yes</v>
      </c>
    </row>
    <row r="615" spans="1:19" x14ac:dyDescent="0.35">
      <c r="A615" s="1">
        <v>613</v>
      </c>
      <c r="B615" t="s">
        <v>75</v>
      </c>
      <c r="C615" t="s">
        <v>549</v>
      </c>
      <c r="D615" t="s">
        <v>592</v>
      </c>
      <c r="E615">
        <v>4.0876419753086417E-2</v>
      </c>
      <c r="F615">
        <v>6.0567917665836054E-3</v>
      </c>
      <c r="G615">
        <v>27</v>
      </c>
      <c r="H615" t="s">
        <v>58</v>
      </c>
      <c r="M615">
        <v>5.2990003286253633E-2</v>
      </c>
      <c r="N615">
        <v>2.8762836219919211E-2</v>
      </c>
      <c r="O615">
        <v>2.4227167066334421E-2</v>
      </c>
      <c r="P615">
        <v>6.748856709687276</v>
      </c>
      <c r="R615" t="str">
        <f t="shared" si="18"/>
        <v>yes</v>
      </c>
      <c r="S615" t="str">
        <f t="shared" si="19"/>
        <v>no</v>
      </c>
    </row>
    <row r="616" spans="1:19" x14ac:dyDescent="0.35">
      <c r="A616" s="1">
        <v>614</v>
      </c>
      <c r="B616" t="s">
        <v>75</v>
      </c>
      <c r="C616" t="s">
        <v>549</v>
      </c>
      <c r="D616" t="s">
        <v>593</v>
      </c>
      <c r="E616">
        <v>4.1708641975308637E-2</v>
      </c>
      <c r="F616">
        <v>7.0838247147738641E-3</v>
      </c>
      <c r="G616">
        <v>27</v>
      </c>
      <c r="H616" t="s">
        <v>58</v>
      </c>
      <c r="M616">
        <v>5.5876291404856372E-2</v>
      </c>
      <c r="N616">
        <v>2.7540992545760909E-2</v>
      </c>
      <c r="O616">
        <v>2.833529885909546E-2</v>
      </c>
      <c r="P616">
        <v>5.8878704167145806</v>
      </c>
      <c r="R616" t="str">
        <f t="shared" si="18"/>
        <v>yes</v>
      </c>
      <c r="S616" t="str">
        <f t="shared" si="19"/>
        <v>no</v>
      </c>
    </row>
    <row r="617" spans="1:19" x14ac:dyDescent="0.35">
      <c r="A617" s="1">
        <v>615</v>
      </c>
      <c r="B617" t="s">
        <v>75</v>
      </c>
      <c r="C617" t="s">
        <v>549</v>
      </c>
      <c r="D617" t="s">
        <v>594</v>
      </c>
      <c r="E617">
        <v>3.8595555555555557E-2</v>
      </c>
      <c r="F617">
        <v>8.5576322690981751E-3</v>
      </c>
      <c r="G617">
        <v>27</v>
      </c>
      <c r="H617" t="s">
        <v>58</v>
      </c>
      <c r="M617">
        <v>5.5710820093751903E-2</v>
      </c>
      <c r="N617">
        <v>2.148029101735921E-2</v>
      </c>
      <c r="O617">
        <v>3.4230529076392693E-2</v>
      </c>
      <c r="P617">
        <v>4.5100740884748083</v>
      </c>
      <c r="R617" t="str">
        <f t="shared" si="18"/>
        <v>yes</v>
      </c>
      <c r="S617" t="str">
        <f t="shared" si="19"/>
        <v>no</v>
      </c>
    </row>
    <row r="618" spans="1:19" x14ac:dyDescent="0.35">
      <c r="A618" s="1">
        <v>616</v>
      </c>
      <c r="B618" t="s">
        <v>75</v>
      </c>
      <c r="C618" t="s">
        <v>549</v>
      </c>
      <c r="D618" t="s">
        <v>595</v>
      </c>
      <c r="E618">
        <v>4.0469135802469148E-3</v>
      </c>
      <c r="F618">
        <v>1.8223572305863501E-3</v>
      </c>
      <c r="G618">
        <v>27</v>
      </c>
      <c r="H618" t="s">
        <v>58</v>
      </c>
      <c r="M618">
        <v>7.691628041419615E-3</v>
      </c>
      <c r="N618">
        <v>4.0219911907421468E-4</v>
      </c>
      <c r="O618">
        <v>7.2894289223454003E-3</v>
      </c>
      <c r="P618">
        <v>2.220702676908636</v>
      </c>
      <c r="R618" t="str">
        <f t="shared" si="18"/>
        <v>yes</v>
      </c>
      <c r="S618" t="str">
        <f t="shared" si="19"/>
        <v>no</v>
      </c>
    </row>
    <row r="619" spans="1:19" x14ac:dyDescent="0.35">
      <c r="A619" s="1">
        <v>617</v>
      </c>
      <c r="B619" t="s">
        <v>75</v>
      </c>
      <c r="C619" t="s">
        <v>549</v>
      </c>
      <c r="D619" t="s">
        <v>596</v>
      </c>
      <c r="E619">
        <v>0.9974518518518517</v>
      </c>
      <c r="F619">
        <v>1.412828434517948E-3</v>
      </c>
      <c r="G619">
        <v>27</v>
      </c>
      <c r="H619" t="s">
        <v>58</v>
      </c>
      <c r="I619">
        <v>0.85</v>
      </c>
      <c r="J619">
        <v>1.2</v>
      </c>
      <c r="K619">
        <v>1.0249999999999999</v>
      </c>
      <c r="L619">
        <v>0.35</v>
      </c>
      <c r="M619">
        <v>1.0002775087208871</v>
      </c>
      <c r="N619">
        <v>0.99462619498281579</v>
      </c>
      <c r="O619">
        <v>5.651313738071706E-3</v>
      </c>
      <c r="P619">
        <v>705.99644477864626</v>
      </c>
      <c r="Q619">
        <v>61.932502108690933</v>
      </c>
      <c r="R619" t="str">
        <f t="shared" si="18"/>
        <v>yes</v>
      </c>
      <c r="S619" t="str">
        <f t="shared" si="19"/>
        <v>yes</v>
      </c>
    </row>
    <row r="620" spans="1:19" x14ac:dyDescent="0.35">
      <c r="A620" s="1">
        <v>618</v>
      </c>
      <c r="B620" t="s">
        <v>75</v>
      </c>
      <c r="C620" t="s">
        <v>549</v>
      </c>
      <c r="D620" t="s">
        <v>597</v>
      </c>
      <c r="E620">
        <v>2.6583950617283959E-3</v>
      </c>
      <c r="F620">
        <v>1.5968625331720381E-3</v>
      </c>
      <c r="G620">
        <v>27</v>
      </c>
      <c r="H620" t="s">
        <v>58</v>
      </c>
      <c r="M620">
        <v>5.8521201280724716E-3</v>
      </c>
      <c r="N620">
        <v>-5.3533000461568033E-4</v>
      </c>
      <c r="O620">
        <v>6.3874501326881524E-3</v>
      </c>
      <c r="P620">
        <v>1.664761372068583</v>
      </c>
      <c r="R620" t="str">
        <f t="shared" si="18"/>
        <v>yes</v>
      </c>
      <c r="S620" t="str">
        <f t="shared" si="19"/>
        <v>no</v>
      </c>
    </row>
    <row r="621" spans="1:19" x14ac:dyDescent="0.35">
      <c r="A621" s="1">
        <v>619</v>
      </c>
      <c r="B621" t="s">
        <v>75</v>
      </c>
      <c r="C621" t="s">
        <v>549</v>
      </c>
      <c r="D621" t="s">
        <v>598</v>
      </c>
      <c r="E621">
        <v>1.5006543209876539</v>
      </c>
      <c r="F621">
        <v>4.0023803250270936E-3</v>
      </c>
      <c r="G621">
        <v>27</v>
      </c>
      <c r="H621" t="s">
        <v>58</v>
      </c>
      <c r="I621">
        <v>1.35</v>
      </c>
      <c r="J621">
        <v>1.65</v>
      </c>
      <c r="K621">
        <v>1.5</v>
      </c>
      <c r="L621">
        <v>0.29999999999999982</v>
      </c>
      <c r="M621">
        <v>1.5086590816377079</v>
      </c>
      <c r="N621">
        <v>1.4926495603376</v>
      </c>
      <c r="O621">
        <v>1.600952130010835E-2</v>
      </c>
      <c r="P621">
        <v>374.94046020663848</v>
      </c>
      <c r="Q621">
        <v>18.738848862268568</v>
      </c>
      <c r="R621" t="str">
        <f t="shared" si="18"/>
        <v>yes</v>
      </c>
      <c r="S621" t="str">
        <f t="shared" si="19"/>
        <v>yes</v>
      </c>
    </row>
    <row r="622" spans="1:19" x14ac:dyDescent="0.35">
      <c r="A622" s="1">
        <v>620</v>
      </c>
      <c r="B622" t="s">
        <v>75</v>
      </c>
      <c r="C622" t="s">
        <v>549</v>
      </c>
      <c r="D622" t="s">
        <v>599</v>
      </c>
      <c r="E622">
        <v>2.0639876543209871E-2</v>
      </c>
      <c r="F622">
        <v>3.598848100880118E-3</v>
      </c>
      <c r="G622">
        <v>27</v>
      </c>
      <c r="H622" t="s">
        <v>58</v>
      </c>
      <c r="M622">
        <v>2.7837572744970111E-2</v>
      </c>
      <c r="N622">
        <v>1.344218034144963E-2</v>
      </c>
      <c r="O622">
        <v>1.439539240352047E-2</v>
      </c>
      <c r="P622">
        <v>5.7351341219881649</v>
      </c>
      <c r="R622" t="str">
        <f t="shared" si="18"/>
        <v>yes</v>
      </c>
      <c r="S622" t="str">
        <f t="shared" si="19"/>
        <v>no</v>
      </c>
    </row>
    <row r="623" spans="1:19" x14ac:dyDescent="0.35">
      <c r="A623" s="1">
        <v>621</v>
      </c>
      <c r="B623" t="s">
        <v>75</v>
      </c>
      <c r="C623" t="s">
        <v>549</v>
      </c>
      <c r="D623" t="s">
        <v>600</v>
      </c>
      <c r="E623">
        <v>35.868230370370377</v>
      </c>
      <c r="F623">
        <v>6.9430197378496136E-2</v>
      </c>
      <c r="G623">
        <v>27</v>
      </c>
      <c r="H623" t="s">
        <v>58</v>
      </c>
      <c r="I623">
        <v>34.5</v>
      </c>
      <c r="J623">
        <v>37</v>
      </c>
      <c r="K623">
        <v>35.75</v>
      </c>
      <c r="L623">
        <v>2.5</v>
      </c>
      <c r="M623">
        <v>36.007090765127373</v>
      </c>
      <c r="N623">
        <v>35.729369975613388</v>
      </c>
      <c r="O623">
        <v>0.27772078951397822</v>
      </c>
      <c r="P623">
        <v>516.60850357137906</v>
      </c>
      <c r="Q623">
        <v>9.0018467986321582</v>
      </c>
      <c r="R623" t="str">
        <f t="shared" si="18"/>
        <v>yes</v>
      </c>
      <c r="S623" t="str">
        <f t="shared" si="19"/>
        <v>yes</v>
      </c>
    </row>
    <row r="624" spans="1:19" x14ac:dyDescent="0.35">
      <c r="A624" s="1">
        <v>622</v>
      </c>
      <c r="B624" t="s">
        <v>75</v>
      </c>
      <c r="C624" t="s">
        <v>549</v>
      </c>
      <c r="D624" t="s">
        <v>601</v>
      </c>
      <c r="E624">
        <v>3.6408641975308651E-3</v>
      </c>
      <c r="F624">
        <v>1.2424291702844671E-3</v>
      </c>
      <c r="G624">
        <v>27</v>
      </c>
      <c r="H624" t="s">
        <v>58</v>
      </c>
      <c r="M624">
        <v>6.1257225380997992E-3</v>
      </c>
      <c r="N624">
        <v>1.156005856961931E-3</v>
      </c>
      <c r="O624">
        <v>4.9697166811378682E-3</v>
      </c>
      <c r="P624">
        <v>2.930440048101294</v>
      </c>
      <c r="R624" t="str">
        <f t="shared" si="18"/>
        <v>yes</v>
      </c>
      <c r="S624" t="str">
        <f t="shared" si="19"/>
        <v>no</v>
      </c>
    </row>
    <row r="625" spans="1:19" x14ac:dyDescent="0.35">
      <c r="A625" s="1">
        <v>623</v>
      </c>
      <c r="B625" t="s">
        <v>75</v>
      </c>
      <c r="C625" t="s">
        <v>549</v>
      </c>
      <c r="D625" t="s">
        <v>602</v>
      </c>
      <c r="E625">
        <v>0.99686024691358033</v>
      </c>
      <c r="F625">
        <v>1.8905065745510709E-3</v>
      </c>
      <c r="G625">
        <v>27</v>
      </c>
      <c r="H625" t="s">
        <v>58</v>
      </c>
      <c r="I625">
        <v>0.85</v>
      </c>
      <c r="J625">
        <v>1.2</v>
      </c>
      <c r="K625">
        <v>1.0249999999999999</v>
      </c>
      <c r="L625">
        <v>0.35</v>
      </c>
      <c r="M625">
        <v>1.0006412600626819</v>
      </c>
      <c r="N625">
        <v>0.99307923376447815</v>
      </c>
      <c r="O625">
        <v>7.5620262982042394E-3</v>
      </c>
      <c r="P625">
        <v>527.29795301045158</v>
      </c>
      <c r="Q625">
        <v>46.283890877649398</v>
      </c>
      <c r="R625" t="str">
        <f t="shared" si="18"/>
        <v>yes</v>
      </c>
      <c r="S625" t="str">
        <f t="shared" si="19"/>
        <v>yes</v>
      </c>
    </row>
    <row r="626" spans="1:19" x14ac:dyDescent="0.35">
      <c r="A626" s="1">
        <v>624</v>
      </c>
      <c r="B626" t="s">
        <v>75</v>
      </c>
      <c r="C626" t="s">
        <v>549</v>
      </c>
      <c r="D626" t="s">
        <v>603</v>
      </c>
      <c r="E626">
        <v>2.6862962962962969E-3</v>
      </c>
      <c r="F626">
        <v>1.9987284302047281E-3</v>
      </c>
      <c r="G626">
        <v>27</v>
      </c>
      <c r="H626" t="s">
        <v>58</v>
      </c>
      <c r="M626">
        <v>6.6837531567057532E-3</v>
      </c>
      <c r="N626">
        <v>-1.311160564113159E-3</v>
      </c>
      <c r="O626">
        <v>7.9949137208189126E-3</v>
      </c>
      <c r="P626">
        <v>1.3440026447320521</v>
      </c>
      <c r="R626" t="str">
        <f t="shared" si="18"/>
        <v>yes</v>
      </c>
      <c r="S626" t="str">
        <f t="shared" si="19"/>
        <v>no</v>
      </c>
    </row>
    <row r="627" spans="1:19" x14ac:dyDescent="0.35">
      <c r="A627" s="1">
        <v>625</v>
      </c>
      <c r="B627" t="s">
        <v>75</v>
      </c>
      <c r="C627" t="s">
        <v>549</v>
      </c>
      <c r="D627" t="s">
        <v>604</v>
      </c>
      <c r="E627">
        <v>1.503118888888888</v>
      </c>
      <c r="F627">
        <v>3.6783462870456081E-3</v>
      </c>
      <c r="G627">
        <v>27</v>
      </c>
      <c r="H627" t="s">
        <v>58</v>
      </c>
      <c r="I627">
        <v>1.35</v>
      </c>
      <c r="J627">
        <v>1.65</v>
      </c>
      <c r="K627">
        <v>1.5</v>
      </c>
      <c r="L627">
        <v>0.29999999999999982</v>
      </c>
      <c r="M627">
        <v>1.5104755814629789</v>
      </c>
      <c r="N627">
        <v>1.4957621963147969</v>
      </c>
      <c r="O627">
        <v>1.471338514818221E-2</v>
      </c>
      <c r="P627">
        <v>408.63985377955538</v>
      </c>
      <c r="Q627">
        <v>20.38959742972974</v>
      </c>
      <c r="R627" t="str">
        <f t="shared" si="18"/>
        <v>yes</v>
      </c>
      <c r="S627" t="str">
        <f t="shared" si="19"/>
        <v>yes</v>
      </c>
    </row>
    <row r="628" spans="1:19" x14ac:dyDescent="0.35">
      <c r="A628" s="1">
        <v>626</v>
      </c>
      <c r="B628" t="s">
        <v>75</v>
      </c>
      <c r="C628" t="s">
        <v>549</v>
      </c>
      <c r="D628" t="s">
        <v>605</v>
      </c>
      <c r="E628">
        <v>2.0771481481481481E-2</v>
      </c>
      <c r="F628">
        <v>2.914616110418902E-3</v>
      </c>
      <c r="G628">
        <v>27</v>
      </c>
      <c r="H628" t="s">
        <v>58</v>
      </c>
      <c r="M628">
        <v>2.6600713702319281E-2</v>
      </c>
      <c r="N628">
        <v>1.494224926064368E-2</v>
      </c>
      <c r="O628">
        <v>1.165846444167561E-2</v>
      </c>
      <c r="P628">
        <v>7.1266611775147668</v>
      </c>
      <c r="R628" t="str">
        <f t="shared" si="18"/>
        <v>yes</v>
      </c>
      <c r="S628" t="str">
        <f t="shared" si="19"/>
        <v>no</v>
      </c>
    </row>
    <row r="629" spans="1:19" x14ac:dyDescent="0.35">
      <c r="A629" s="1">
        <v>627</v>
      </c>
      <c r="B629" t="s">
        <v>75</v>
      </c>
      <c r="C629" t="s">
        <v>549</v>
      </c>
      <c r="D629" t="s">
        <v>606</v>
      </c>
      <c r="E629">
        <v>35.901233086419751</v>
      </c>
      <c r="F629">
        <v>0.1022905074949224</v>
      </c>
      <c r="G629">
        <v>27</v>
      </c>
      <c r="H629" t="s">
        <v>58</v>
      </c>
      <c r="I629">
        <v>34.5</v>
      </c>
      <c r="J629">
        <v>37</v>
      </c>
      <c r="K629">
        <v>35.75</v>
      </c>
      <c r="L629">
        <v>2.5</v>
      </c>
      <c r="M629">
        <v>36.105814101409592</v>
      </c>
      <c r="N629">
        <v>35.696652071429909</v>
      </c>
      <c r="O629">
        <v>0.40916202997968298</v>
      </c>
      <c r="P629">
        <v>350.97326199307258</v>
      </c>
      <c r="Q629">
        <v>6.1100488726291093</v>
      </c>
      <c r="R629" t="str">
        <f t="shared" si="18"/>
        <v>yes</v>
      </c>
      <c r="S629" t="str">
        <f t="shared" si="19"/>
        <v>yes</v>
      </c>
    </row>
    <row r="630" spans="1:19" x14ac:dyDescent="0.35">
      <c r="A630" s="1">
        <v>628</v>
      </c>
      <c r="B630" t="s">
        <v>75</v>
      </c>
      <c r="C630" t="s">
        <v>549</v>
      </c>
      <c r="D630" t="s">
        <v>607</v>
      </c>
      <c r="E630">
        <v>2.948024691358026E-3</v>
      </c>
      <c r="F630">
        <v>1.2296666248018181E-3</v>
      </c>
      <c r="G630">
        <v>27</v>
      </c>
      <c r="H630" t="s">
        <v>58</v>
      </c>
      <c r="M630">
        <v>5.4073579409616634E-3</v>
      </c>
      <c r="N630">
        <v>4.8869144175438988E-4</v>
      </c>
      <c r="O630">
        <v>4.9186664992072731E-3</v>
      </c>
      <c r="P630">
        <v>2.3974178300831341</v>
      </c>
      <c r="R630" t="str">
        <f t="shared" si="18"/>
        <v>yes</v>
      </c>
      <c r="S630" t="str">
        <f t="shared" si="19"/>
        <v>no</v>
      </c>
    </row>
    <row r="631" spans="1:19" x14ac:dyDescent="0.35">
      <c r="A631" s="1">
        <v>629</v>
      </c>
      <c r="B631" t="s">
        <v>75</v>
      </c>
      <c r="C631" t="s">
        <v>549</v>
      </c>
      <c r="D631" t="s">
        <v>608</v>
      </c>
      <c r="E631">
        <v>0.99771728395061721</v>
      </c>
      <c r="F631">
        <v>2.5892977953418041E-3</v>
      </c>
      <c r="G631">
        <v>27</v>
      </c>
      <c r="H631" t="s">
        <v>58</v>
      </c>
      <c r="I631">
        <v>0.85</v>
      </c>
      <c r="J631">
        <v>1.2</v>
      </c>
      <c r="K631">
        <v>1.0249999999999999</v>
      </c>
      <c r="L631">
        <v>0.35</v>
      </c>
      <c r="M631">
        <v>1.002895879541301</v>
      </c>
      <c r="N631">
        <v>0.99253868835993364</v>
      </c>
      <c r="O631">
        <v>1.035719118136713E-2</v>
      </c>
      <c r="P631">
        <v>385.32349803314611</v>
      </c>
      <c r="Q631">
        <v>33.792945777582972</v>
      </c>
      <c r="R631" t="str">
        <f t="shared" si="18"/>
        <v>yes</v>
      </c>
      <c r="S631" t="str">
        <f t="shared" si="19"/>
        <v>yes</v>
      </c>
    </row>
    <row r="632" spans="1:19" x14ac:dyDescent="0.35">
      <c r="A632" s="1">
        <v>630</v>
      </c>
      <c r="B632" t="s">
        <v>75</v>
      </c>
      <c r="C632" t="s">
        <v>549</v>
      </c>
      <c r="D632" t="s">
        <v>609</v>
      </c>
      <c r="E632">
        <v>2.3750617283950629E-3</v>
      </c>
      <c r="F632">
        <v>1.188681209045802E-3</v>
      </c>
      <c r="G632">
        <v>27</v>
      </c>
      <c r="H632" t="s">
        <v>58</v>
      </c>
      <c r="M632">
        <v>4.7524241464866664E-3</v>
      </c>
      <c r="N632">
        <v>-2.3006896965409832E-6</v>
      </c>
      <c r="O632">
        <v>4.7547248361832078E-3</v>
      </c>
      <c r="P632">
        <v>1.9980645023417269</v>
      </c>
      <c r="R632" t="str">
        <f t="shared" si="18"/>
        <v>yes</v>
      </c>
      <c r="S632" t="str">
        <f t="shared" si="19"/>
        <v>no</v>
      </c>
    </row>
    <row r="633" spans="1:19" x14ac:dyDescent="0.35">
      <c r="A633" s="1">
        <v>631</v>
      </c>
      <c r="B633" t="s">
        <v>75</v>
      </c>
      <c r="C633" t="s">
        <v>549</v>
      </c>
      <c r="D633" t="s">
        <v>610</v>
      </c>
      <c r="E633">
        <v>1.5008838271604941</v>
      </c>
      <c r="F633">
        <v>2.9116046227212092E-3</v>
      </c>
      <c r="G633">
        <v>27</v>
      </c>
      <c r="H633" t="s">
        <v>58</v>
      </c>
      <c r="I633">
        <v>1.35</v>
      </c>
      <c r="J633">
        <v>1.65</v>
      </c>
      <c r="K633">
        <v>1.5</v>
      </c>
      <c r="L633">
        <v>0.29999999999999982</v>
      </c>
      <c r="M633">
        <v>1.506707036405937</v>
      </c>
      <c r="N633">
        <v>1.4950606179150521</v>
      </c>
      <c r="O633">
        <v>1.164641849088488E-2</v>
      </c>
      <c r="P633">
        <v>515.4833920265437</v>
      </c>
      <c r="Q633">
        <v>25.758991936859911</v>
      </c>
      <c r="R633" t="str">
        <f t="shared" si="18"/>
        <v>yes</v>
      </c>
      <c r="S633" t="str">
        <f t="shared" si="19"/>
        <v>yes</v>
      </c>
    </row>
    <row r="634" spans="1:19" x14ac:dyDescent="0.35">
      <c r="A634" s="1">
        <v>632</v>
      </c>
      <c r="B634" t="s">
        <v>75</v>
      </c>
      <c r="C634" t="s">
        <v>549</v>
      </c>
      <c r="D634" t="s">
        <v>611</v>
      </c>
      <c r="E634">
        <v>2.1942469135802469E-2</v>
      </c>
      <c r="F634">
        <v>3.1136241085679291E-3</v>
      </c>
      <c r="G634">
        <v>27</v>
      </c>
      <c r="H634" t="s">
        <v>58</v>
      </c>
      <c r="M634">
        <v>2.8169717352938332E-2</v>
      </c>
      <c r="N634">
        <v>1.571522091866661E-2</v>
      </c>
      <c r="O634">
        <v>1.245449643427172E-2</v>
      </c>
      <c r="P634">
        <v>7.0472441022736758</v>
      </c>
      <c r="R634" t="str">
        <f t="shared" si="18"/>
        <v>yes</v>
      </c>
      <c r="S634" t="str">
        <f t="shared" si="19"/>
        <v>no</v>
      </c>
    </row>
    <row r="635" spans="1:19" x14ac:dyDescent="0.35">
      <c r="A635" s="1">
        <v>633</v>
      </c>
      <c r="B635" t="s">
        <v>75</v>
      </c>
      <c r="C635" t="s">
        <v>549</v>
      </c>
      <c r="D635" t="s">
        <v>612</v>
      </c>
      <c r="E635">
        <v>35.927605679012338</v>
      </c>
      <c r="F635">
        <v>6.3208408834077537E-2</v>
      </c>
      <c r="G635">
        <v>27</v>
      </c>
      <c r="H635" t="s">
        <v>58</v>
      </c>
      <c r="I635">
        <v>34.5</v>
      </c>
      <c r="J635">
        <v>37</v>
      </c>
      <c r="K635">
        <v>35.75</v>
      </c>
      <c r="L635">
        <v>2.5</v>
      </c>
      <c r="M635">
        <v>36.054022496680503</v>
      </c>
      <c r="N635">
        <v>35.80118886134418</v>
      </c>
      <c r="O635">
        <v>0.25283363533631592</v>
      </c>
      <c r="P635">
        <v>568.39914722932713</v>
      </c>
      <c r="Q635">
        <v>9.8879249063303387</v>
      </c>
      <c r="R635" t="str">
        <f t="shared" si="18"/>
        <v>yes</v>
      </c>
      <c r="S635" t="str">
        <f t="shared" si="19"/>
        <v>yes</v>
      </c>
    </row>
    <row r="636" spans="1:19" x14ac:dyDescent="0.35">
      <c r="A636" s="1">
        <v>634</v>
      </c>
      <c r="B636" t="s">
        <v>75</v>
      </c>
      <c r="C636" t="s">
        <v>549</v>
      </c>
      <c r="D636" t="s">
        <v>613</v>
      </c>
      <c r="E636">
        <v>1.807033703703703</v>
      </c>
      <c r="F636">
        <v>5.4886431794932402E-3</v>
      </c>
      <c r="G636">
        <v>27</v>
      </c>
      <c r="H636" t="s">
        <v>58</v>
      </c>
      <c r="I636">
        <v>1.62</v>
      </c>
      <c r="J636">
        <v>1.98</v>
      </c>
      <c r="K636">
        <v>1.8</v>
      </c>
      <c r="L636">
        <v>0.35999999999999988</v>
      </c>
      <c r="M636">
        <v>1.81801099006269</v>
      </c>
      <c r="N636">
        <v>1.796056417344716</v>
      </c>
      <c r="O636">
        <v>2.1954572717973079E-2</v>
      </c>
      <c r="P636">
        <v>329.23140466758201</v>
      </c>
      <c r="Q636">
        <v>16.397495165336849</v>
      </c>
      <c r="R636" t="str">
        <f t="shared" si="18"/>
        <v>yes</v>
      </c>
      <c r="S636" t="str">
        <f t="shared" si="19"/>
        <v>yes</v>
      </c>
    </row>
    <row r="637" spans="1:19" x14ac:dyDescent="0.35">
      <c r="A637" s="1">
        <v>635</v>
      </c>
      <c r="B637" t="s">
        <v>75</v>
      </c>
      <c r="C637" t="s">
        <v>549</v>
      </c>
      <c r="D637" t="s">
        <v>614</v>
      </c>
      <c r="E637">
        <v>3.0390617283950611E-2</v>
      </c>
      <c r="F637">
        <v>6.8893267664819078E-3</v>
      </c>
      <c r="G637">
        <v>27</v>
      </c>
      <c r="H637" t="s">
        <v>58</v>
      </c>
      <c r="M637">
        <v>4.4169270816914429E-2</v>
      </c>
      <c r="N637">
        <v>1.6611963750986791E-2</v>
      </c>
      <c r="O637">
        <v>2.7557307065927631E-2</v>
      </c>
      <c r="P637">
        <v>4.4112608262113007</v>
      </c>
      <c r="R637" t="str">
        <f t="shared" si="18"/>
        <v>yes</v>
      </c>
      <c r="S637" t="str">
        <f t="shared" si="19"/>
        <v>no</v>
      </c>
    </row>
    <row r="638" spans="1:19" x14ac:dyDescent="0.35">
      <c r="A638" s="1">
        <v>636</v>
      </c>
      <c r="B638" t="s">
        <v>75</v>
      </c>
      <c r="C638" t="s">
        <v>549</v>
      </c>
      <c r="D638" t="s">
        <v>615</v>
      </c>
      <c r="E638">
        <v>3.4752962962962958E-2</v>
      </c>
      <c r="F638">
        <v>9.4855255433589115E-3</v>
      </c>
      <c r="G638">
        <v>27</v>
      </c>
      <c r="H638" t="s">
        <v>58</v>
      </c>
      <c r="M638">
        <v>5.3724014049680781E-2</v>
      </c>
      <c r="N638">
        <v>1.5781911876245131E-2</v>
      </c>
      <c r="O638">
        <v>3.7942102173435653E-2</v>
      </c>
      <c r="P638">
        <v>3.663788875387564</v>
      </c>
      <c r="R638" t="str">
        <f t="shared" si="18"/>
        <v>yes</v>
      </c>
      <c r="S638" t="str">
        <f t="shared" si="19"/>
        <v>no</v>
      </c>
    </row>
    <row r="639" spans="1:19" x14ac:dyDescent="0.35">
      <c r="A639" s="1">
        <v>637</v>
      </c>
      <c r="B639" t="s">
        <v>75</v>
      </c>
      <c r="C639" t="s">
        <v>549</v>
      </c>
      <c r="D639" t="s">
        <v>616</v>
      </c>
      <c r="E639">
        <v>3.131493827160494E-2</v>
      </c>
      <c r="F639">
        <v>8.7140761365570845E-3</v>
      </c>
      <c r="G639">
        <v>27</v>
      </c>
      <c r="H639" t="s">
        <v>58</v>
      </c>
      <c r="M639">
        <v>4.8743090544719113E-2</v>
      </c>
      <c r="N639">
        <v>1.388678599849077E-2</v>
      </c>
      <c r="O639">
        <v>3.4856304546228331E-2</v>
      </c>
      <c r="P639">
        <v>3.593603932404636</v>
      </c>
      <c r="R639" t="str">
        <f t="shared" si="18"/>
        <v>yes</v>
      </c>
      <c r="S639" t="str">
        <f t="shared" si="19"/>
        <v>no</v>
      </c>
    </row>
    <row r="640" spans="1:19" x14ac:dyDescent="0.35">
      <c r="A640" s="1">
        <v>638</v>
      </c>
      <c r="B640" t="s">
        <v>75</v>
      </c>
      <c r="C640" t="s">
        <v>549</v>
      </c>
      <c r="D640" t="s">
        <v>617</v>
      </c>
      <c r="E640">
        <v>7.4118518518518514E-2</v>
      </c>
      <c r="F640">
        <v>5.5317024092300321E-3</v>
      </c>
      <c r="G640">
        <v>27</v>
      </c>
      <c r="H640" t="s">
        <v>58</v>
      </c>
      <c r="M640">
        <v>8.5181923336978577E-2</v>
      </c>
      <c r="N640">
        <v>6.3055113700058452E-2</v>
      </c>
      <c r="O640">
        <v>2.2126809636920129E-2</v>
      </c>
      <c r="P640">
        <v>13.39886223721048</v>
      </c>
      <c r="R640" t="str">
        <f t="shared" si="18"/>
        <v>yes</v>
      </c>
      <c r="S640" t="str">
        <f t="shared" si="19"/>
        <v>no</v>
      </c>
    </row>
    <row r="641" spans="1:19" x14ac:dyDescent="0.35">
      <c r="A641" s="1">
        <v>639</v>
      </c>
      <c r="B641" t="s">
        <v>75</v>
      </c>
      <c r="C641" t="s">
        <v>549</v>
      </c>
      <c r="D641" t="s">
        <v>618</v>
      </c>
      <c r="E641">
        <v>3.981052345679013</v>
      </c>
      <c r="F641">
        <v>1.3721538567181229E-2</v>
      </c>
      <c r="G641">
        <v>27</v>
      </c>
      <c r="H641" t="s">
        <v>58</v>
      </c>
      <c r="I641">
        <v>3.6</v>
      </c>
      <c r="J641">
        <v>4.4000000000000004</v>
      </c>
      <c r="K641">
        <v>4</v>
      </c>
      <c r="L641">
        <v>0.80000000000000027</v>
      </c>
      <c r="M641">
        <v>4.0084954228133753</v>
      </c>
      <c r="N641">
        <v>3.9536092685446511</v>
      </c>
      <c r="O641">
        <v>5.4886154268724667E-2</v>
      </c>
      <c r="P641">
        <v>290.13162964106488</v>
      </c>
      <c r="Q641">
        <v>14.575624957856769</v>
      </c>
      <c r="R641" t="str">
        <f t="shared" si="18"/>
        <v>yes</v>
      </c>
      <c r="S641" t="str">
        <f t="shared" si="19"/>
        <v>yes</v>
      </c>
    </row>
    <row r="642" spans="1:19" x14ac:dyDescent="0.35">
      <c r="A642" s="1">
        <v>640</v>
      </c>
      <c r="B642" t="s">
        <v>75</v>
      </c>
      <c r="C642" t="s">
        <v>549</v>
      </c>
      <c r="D642" t="s">
        <v>619</v>
      </c>
      <c r="E642">
        <v>4.0701975308641967E-2</v>
      </c>
      <c r="F642">
        <v>5.1643713398811988E-3</v>
      </c>
      <c r="G642">
        <v>27</v>
      </c>
      <c r="H642" t="s">
        <v>58</v>
      </c>
      <c r="M642">
        <v>5.1030717988404362E-2</v>
      </c>
      <c r="N642">
        <v>3.037323262887957E-2</v>
      </c>
      <c r="O642">
        <v>2.0657485359524792E-2</v>
      </c>
      <c r="P642">
        <v>7.8813029950666316</v>
      </c>
      <c r="R642" t="str">
        <f t="shared" si="18"/>
        <v>yes</v>
      </c>
      <c r="S642" t="str">
        <f t="shared" si="19"/>
        <v>no</v>
      </c>
    </row>
    <row r="643" spans="1:19" x14ac:dyDescent="0.35">
      <c r="A643" s="1">
        <v>641</v>
      </c>
      <c r="B643" t="s">
        <v>75</v>
      </c>
      <c r="C643" t="s">
        <v>549</v>
      </c>
      <c r="D643" t="s">
        <v>620</v>
      </c>
      <c r="E643">
        <v>4.2556913580246908E-2</v>
      </c>
      <c r="F643">
        <v>6.0487718360555161E-3</v>
      </c>
      <c r="G643">
        <v>27</v>
      </c>
      <c r="H643" t="s">
        <v>58</v>
      </c>
      <c r="M643">
        <v>5.4654457252357937E-2</v>
      </c>
      <c r="N643">
        <v>3.0459369908135879E-2</v>
      </c>
      <c r="O643">
        <v>2.4195087344222072E-2</v>
      </c>
      <c r="P643">
        <v>7.0356288406472336</v>
      </c>
      <c r="R643" t="str">
        <f t="shared" ref="R643:R706" si="20">IF(H643="yes","yes","no")</f>
        <v>yes</v>
      </c>
      <c r="S643" t="str">
        <f t="shared" ref="S643:S706" si="21">IF(I643,"yes","no")</f>
        <v>no</v>
      </c>
    </row>
    <row r="644" spans="1:19" x14ac:dyDescent="0.35">
      <c r="A644" s="1">
        <v>642</v>
      </c>
      <c r="B644" t="s">
        <v>75</v>
      </c>
      <c r="C644" t="s">
        <v>549</v>
      </c>
      <c r="D644" t="s">
        <v>621</v>
      </c>
      <c r="E644">
        <v>4.2071975308641971E-2</v>
      </c>
      <c r="F644">
        <v>7.883371223462771E-3</v>
      </c>
      <c r="G644">
        <v>27</v>
      </c>
      <c r="H644" t="s">
        <v>58</v>
      </c>
      <c r="M644">
        <v>5.7838717755567509E-2</v>
      </c>
      <c r="N644">
        <v>2.6305232861716429E-2</v>
      </c>
      <c r="O644">
        <v>3.1533484893851077E-2</v>
      </c>
      <c r="P644">
        <v>5.3367999699704427</v>
      </c>
      <c r="R644" t="str">
        <f t="shared" si="20"/>
        <v>yes</v>
      </c>
      <c r="S644" t="str">
        <f t="shared" si="21"/>
        <v>no</v>
      </c>
    </row>
    <row r="645" spans="1:19" x14ac:dyDescent="0.35">
      <c r="A645" s="1">
        <v>643</v>
      </c>
      <c r="B645" t="s">
        <v>75</v>
      </c>
      <c r="C645" t="s">
        <v>549</v>
      </c>
      <c r="D645" t="s">
        <v>622</v>
      </c>
      <c r="E645">
        <v>1.805436296296296</v>
      </c>
      <c r="F645">
        <v>5.9682071489826211E-3</v>
      </c>
      <c r="G645">
        <v>27</v>
      </c>
      <c r="H645" t="s">
        <v>58</v>
      </c>
      <c r="I645">
        <v>1.62</v>
      </c>
      <c r="J645">
        <v>1.98</v>
      </c>
      <c r="K645">
        <v>1.8</v>
      </c>
      <c r="L645">
        <v>0.35999999999999988</v>
      </c>
      <c r="M645">
        <v>1.817372710594261</v>
      </c>
      <c r="N645">
        <v>1.793499881998331</v>
      </c>
      <c r="O645">
        <v>2.3872828595930429E-2</v>
      </c>
      <c r="P645">
        <v>302.50898657297148</v>
      </c>
      <c r="Q645">
        <v>15.079905531654029</v>
      </c>
      <c r="R645" t="str">
        <f t="shared" si="20"/>
        <v>yes</v>
      </c>
      <c r="S645" t="str">
        <f t="shared" si="21"/>
        <v>yes</v>
      </c>
    </row>
    <row r="646" spans="1:19" x14ac:dyDescent="0.35">
      <c r="A646" s="1">
        <v>644</v>
      </c>
      <c r="B646" t="s">
        <v>75</v>
      </c>
      <c r="C646" t="s">
        <v>549</v>
      </c>
      <c r="D646" t="s">
        <v>623</v>
      </c>
      <c r="E646">
        <v>3.5857407407407407E-2</v>
      </c>
      <c r="F646">
        <v>8.1104659757255011E-3</v>
      </c>
      <c r="G646">
        <v>27</v>
      </c>
      <c r="H646" t="s">
        <v>58</v>
      </c>
      <c r="M646">
        <v>5.207833935885841E-2</v>
      </c>
      <c r="N646">
        <v>1.9636475455956409E-2</v>
      </c>
      <c r="O646">
        <v>3.2441863902901998E-2</v>
      </c>
      <c r="P646">
        <v>4.4211279000156178</v>
      </c>
      <c r="R646" t="str">
        <f t="shared" si="20"/>
        <v>yes</v>
      </c>
      <c r="S646" t="str">
        <f t="shared" si="21"/>
        <v>no</v>
      </c>
    </row>
    <row r="647" spans="1:19" x14ac:dyDescent="0.35">
      <c r="A647" s="1">
        <v>645</v>
      </c>
      <c r="B647" t="s">
        <v>75</v>
      </c>
      <c r="C647" t="s">
        <v>549</v>
      </c>
      <c r="D647" t="s">
        <v>624</v>
      </c>
      <c r="E647">
        <v>3.8006296296296288E-2</v>
      </c>
      <c r="F647">
        <v>1.3958936317903641E-2</v>
      </c>
      <c r="G647">
        <v>27</v>
      </c>
      <c r="H647" t="s">
        <v>58</v>
      </c>
      <c r="M647">
        <v>6.5924168932103566E-2</v>
      </c>
      <c r="N647">
        <v>1.008842366048901E-2</v>
      </c>
      <c r="O647">
        <v>5.5835745271614563E-2</v>
      </c>
      <c r="P647">
        <v>2.722721519085209</v>
      </c>
      <c r="R647" t="str">
        <f t="shared" si="20"/>
        <v>yes</v>
      </c>
      <c r="S647" t="str">
        <f t="shared" si="21"/>
        <v>no</v>
      </c>
    </row>
    <row r="648" spans="1:19" x14ac:dyDescent="0.35">
      <c r="A648" s="1">
        <v>646</v>
      </c>
      <c r="B648" t="s">
        <v>75</v>
      </c>
      <c r="C648" t="s">
        <v>549</v>
      </c>
      <c r="D648" t="s">
        <v>625</v>
      </c>
      <c r="E648">
        <v>3.5210493827160488E-2</v>
      </c>
      <c r="F648">
        <v>1.135474243457847E-2</v>
      </c>
      <c r="G648">
        <v>27</v>
      </c>
      <c r="H648" t="s">
        <v>58</v>
      </c>
      <c r="M648">
        <v>5.7919978696317431E-2</v>
      </c>
      <c r="N648">
        <v>1.2501008958003551E-2</v>
      </c>
      <c r="O648">
        <v>4.5418969738313893E-2</v>
      </c>
      <c r="P648">
        <v>3.10095046453316</v>
      </c>
      <c r="R648" t="str">
        <f t="shared" si="20"/>
        <v>yes</v>
      </c>
      <c r="S648" t="str">
        <f t="shared" si="21"/>
        <v>no</v>
      </c>
    </row>
    <row r="649" spans="1:19" x14ac:dyDescent="0.35">
      <c r="A649" s="1">
        <v>647</v>
      </c>
      <c r="B649" t="s">
        <v>75</v>
      </c>
      <c r="C649" t="s">
        <v>549</v>
      </c>
      <c r="D649" t="s">
        <v>626</v>
      </c>
      <c r="E649">
        <v>7.7334197530864193E-2</v>
      </c>
      <c r="F649">
        <v>6.8799598174537901E-3</v>
      </c>
      <c r="G649">
        <v>27</v>
      </c>
      <c r="H649" t="s">
        <v>58</v>
      </c>
      <c r="M649">
        <v>9.1094117165771774E-2</v>
      </c>
      <c r="N649">
        <v>6.3574277895956613E-2</v>
      </c>
      <c r="O649">
        <v>2.7519839269815161E-2</v>
      </c>
      <c r="P649">
        <v>11.24050133762044</v>
      </c>
      <c r="R649" t="str">
        <f t="shared" si="20"/>
        <v>yes</v>
      </c>
      <c r="S649" t="str">
        <f t="shared" si="21"/>
        <v>no</v>
      </c>
    </row>
    <row r="650" spans="1:19" x14ac:dyDescent="0.35">
      <c r="A650" s="1">
        <v>648</v>
      </c>
      <c r="B650" t="s">
        <v>75</v>
      </c>
      <c r="C650" t="s">
        <v>549</v>
      </c>
      <c r="D650" t="s">
        <v>627</v>
      </c>
      <c r="E650">
        <v>3.9755804938271608</v>
      </c>
      <c r="F650">
        <v>9.8846700779517561E-3</v>
      </c>
      <c r="G650">
        <v>27</v>
      </c>
      <c r="H650" t="s">
        <v>58</v>
      </c>
      <c r="I650">
        <v>3.6</v>
      </c>
      <c r="J650">
        <v>4.4000000000000004</v>
      </c>
      <c r="K650">
        <v>4</v>
      </c>
      <c r="L650">
        <v>0.80000000000000027</v>
      </c>
      <c r="M650">
        <v>3.995349833983064</v>
      </c>
      <c r="N650">
        <v>3.9558111536712568</v>
      </c>
      <c r="O650">
        <v>3.9538680311807177E-2</v>
      </c>
      <c r="P650">
        <v>402.19657939771702</v>
      </c>
      <c r="Q650">
        <v>20.23335108028634</v>
      </c>
      <c r="R650" t="str">
        <f t="shared" si="20"/>
        <v>yes</v>
      </c>
      <c r="S650" t="str">
        <f t="shared" si="21"/>
        <v>yes</v>
      </c>
    </row>
    <row r="651" spans="1:19" x14ac:dyDescent="0.35">
      <c r="A651" s="1">
        <v>649</v>
      </c>
      <c r="B651" t="s">
        <v>75</v>
      </c>
      <c r="C651" t="s">
        <v>549</v>
      </c>
      <c r="D651" t="s">
        <v>628</v>
      </c>
      <c r="E651">
        <v>4.3471234567901237E-2</v>
      </c>
      <c r="F651">
        <v>7.5330383405706799E-3</v>
      </c>
      <c r="G651">
        <v>27</v>
      </c>
      <c r="H651" t="s">
        <v>58</v>
      </c>
      <c r="M651">
        <v>5.8537311249042601E-2</v>
      </c>
      <c r="N651">
        <v>2.8405157886759881E-2</v>
      </c>
      <c r="O651">
        <v>3.013215336228272E-2</v>
      </c>
      <c r="P651">
        <v>5.7707438356948533</v>
      </c>
      <c r="R651" t="str">
        <f t="shared" si="20"/>
        <v>yes</v>
      </c>
      <c r="S651" t="str">
        <f t="shared" si="21"/>
        <v>no</v>
      </c>
    </row>
    <row r="652" spans="1:19" x14ac:dyDescent="0.35">
      <c r="A652" s="1">
        <v>650</v>
      </c>
      <c r="B652" t="s">
        <v>75</v>
      </c>
      <c r="C652" t="s">
        <v>549</v>
      </c>
      <c r="D652" t="s">
        <v>629</v>
      </c>
      <c r="E652">
        <v>4.6341728395061732E-2</v>
      </c>
      <c r="F652">
        <v>6.7606316018905049E-3</v>
      </c>
      <c r="G652">
        <v>27</v>
      </c>
      <c r="H652" t="s">
        <v>58</v>
      </c>
      <c r="M652">
        <v>5.9862991598842737E-2</v>
      </c>
      <c r="N652">
        <v>3.282046519128072E-2</v>
      </c>
      <c r="O652">
        <v>2.704252640756202E-2</v>
      </c>
      <c r="P652">
        <v>6.8546448207742889</v>
      </c>
      <c r="R652" t="str">
        <f t="shared" si="20"/>
        <v>yes</v>
      </c>
      <c r="S652" t="str">
        <f t="shared" si="21"/>
        <v>no</v>
      </c>
    </row>
    <row r="653" spans="1:19" x14ac:dyDescent="0.35">
      <c r="A653" s="1">
        <v>651</v>
      </c>
      <c r="B653" t="s">
        <v>75</v>
      </c>
      <c r="C653" t="s">
        <v>549</v>
      </c>
      <c r="D653" t="s">
        <v>630</v>
      </c>
      <c r="E653">
        <v>4.5855432098765428E-2</v>
      </c>
      <c r="F653">
        <v>7.6665599200959793E-3</v>
      </c>
      <c r="G653">
        <v>27</v>
      </c>
      <c r="H653" t="s">
        <v>58</v>
      </c>
      <c r="M653">
        <v>6.1188551938957378E-2</v>
      </c>
      <c r="N653">
        <v>3.0522312258573471E-2</v>
      </c>
      <c r="O653">
        <v>3.066623968038391E-2</v>
      </c>
      <c r="P653">
        <v>5.9812265966338858</v>
      </c>
      <c r="R653" t="str">
        <f t="shared" si="20"/>
        <v>yes</v>
      </c>
      <c r="S653" t="str">
        <f t="shared" si="21"/>
        <v>no</v>
      </c>
    </row>
    <row r="654" spans="1:19" x14ac:dyDescent="0.35">
      <c r="A654" s="1">
        <v>652</v>
      </c>
      <c r="B654" t="s">
        <v>75</v>
      </c>
      <c r="C654" t="s">
        <v>549</v>
      </c>
      <c r="D654" t="s">
        <v>631</v>
      </c>
      <c r="E654">
        <v>1.802168518518519</v>
      </c>
      <c r="F654">
        <v>4.0303118133450978E-3</v>
      </c>
      <c r="G654">
        <v>27</v>
      </c>
      <c r="H654" t="s">
        <v>58</v>
      </c>
      <c r="I654">
        <v>1.62</v>
      </c>
      <c r="J654">
        <v>1.98</v>
      </c>
      <c r="K654">
        <v>1.8</v>
      </c>
      <c r="L654">
        <v>0.35999999999999988</v>
      </c>
      <c r="M654">
        <v>1.810229142145209</v>
      </c>
      <c r="N654">
        <v>1.794107894891829</v>
      </c>
      <c r="O654">
        <v>1.6121247253380488E-2</v>
      </c>
      <c r="P654">
        <v>447.15362036039249</v>
      </c>
      <c r="Q654">
        <v>22.330778403296989</v>
      </c>
      <c r="R654" t="str">
        <f t="shared" si="20"/>
        <v>yes</v>
      </c>
      <c r="S654" t="str">
        <f t="shared" si="21"/>
        <v>yes</v>
      </c>
    </row>
    <row r="655" spans="1:19" x14ac:dyDescent="0.35">
      <c r="A655" s="1">
        <v>653</v>
      </c>
      <c r="B655" t="s">
        <v>75</v>
      </c>
      <c r="C655" t="s">
        <v>549</v>
      </c>
      <c r="D655" t="s">
        <v>632</v>
      </c>
      <c r="E655">
        <v>3.3891851851851847E-2</v>
      </c>
      <c r="F655">
        <v>7.4338145140249532E-3</v>
      </c>
      <c r="G655">
        <v>27</v>
      </c>
      <c r="H655" t="s">
        <v>58</v>
      </c>
      <c r="M655">
        <v>4.8759480879901763E-2</v>
      </c>
      <c r="N655">
        <v>1.902422282380194E-2</v>
      </c>
      <c r="O655">
        <v>2.973525805609982E-2</v>
      </c>
      <c r="P655">
        <v>4.5591468266944277</v>
      </c>
      <c r="R655" t="str">
        <f t="shared" si="20"/>
        <v>yes</v>
      </c>
      <c r="S655" t="str">
        <f t="shared" si="21"/>
        <v>no</v>
      </c>
    </row>
    <row r="656" spans="1:19" x14ac:dyDescent="0.35">
      <c r="A656" s="1">
        <v>654</v>
      </c>
      <c r="B656" t="s">
        <v>75</v>
      </c>
      <c r="C656" t="s">
        <v>549</v>
      </c>
      <c r="D656" t="s">
        <v>633</v>
      </c>
      <c r="E656">
        <v>3.85037037037037E-2</v>
      </c>
      <c r="F656">
        <v>1.3453932863592911E-2</v>
      </c>
      <c r="G656">
        <v>27</v>
      </c>
      <c r="H656" t="s">
        <v>58</v>
      </c>
      <c r="M656">
        <v>6.5411569430889521E-2</v>
      </c>
      <c r="N656">
        <v>1.159583797651788E-2</v>
      </c>
      <c r="O656">
        <v>5.3815731454371643E-2</v>
      </c>
      <c r="P656">
        <v>2.8618920648769448</v>
      </c>
      <c r="R656" t="str">
        <f t="shared" si="20"/>
        <v>yes</v>
      </c>
      <c r="S656" t="str">
        <f t="shared" si="21"/>
        <v>no</v>
      </c>
    </row>
    <row r="657" spans="1:19" x14ac:dyDescent="0.35">
      <c r="A657" s="1">
        <v>655</v>
      </c>
      <c r="B657" t="s">
        <v>75</v>
      </c>
      <c r="C657" t="s">
        <v>549</v>
      </c>
      <c r="D657" t="s">
        <v>634</v>
      </c>
      <c r="E657">
        <v>3.3242345679012339E-2</v>
      </c>
      <c r="F657">
        <v>1.078382232405614E-2</v>
      </c>
      <c r="G657">
        <v>27</v>
      </c>
      <c r="H657" t="s">
        <v>58</v>
      </c>
      <c r="M657">
        <v>5.4809990327124622E-2</v>
      </c>
      <c r="N657">
        <v>1.1674701030900059E-2</v>
      </c>
      <c r="O657">
        <v>4.3135289296224573E-2</v>
      </c>
      <c r="P657">
        <v>3.082612517164399</v>
      </c>
      <c r="R657" t="str">
        <f t="shared" si="20"/>
        <v>yes</v>
      </c>
      <c r="S657" t="str">
        <f t="shared" si="21"/>
        <v>no</v>
      </c>
    </row>
    <row r="658" spans="1:19" x14ac:dyDescent="0.35">
      <c r="A658" s="1">
        <v>656</v>
      </c>
      <c r="B658" t="s">
        <v>75</v>
      </c>
      <c r="C658" t="s">
        <v>549</v>
      </c>
      <c r="D658" t="s">
        <v>635</v>
      </c>
      <c r="E658">
        <v>7.325098765432099E-2</v>
      </c>
      <c r="F658">
        <v>5.4360236300414573E-3</v>
      </c>
      <c r="G658">
        <v>27</v>
      </c>
      <c r="H658" t="s">
        <v>58</v>
      </c>
      <c r="M658">
        <v>8.4123034914403899E-2</v>
      </c>
      <c r="N658">
        <v>6.2378940394238067E-2</v>
      </c>
      <c r="O658">
        <v>2.1744094520165829E-2</v>
      </c>
      <c r="P658">
        <v>13.475104716158549</v>
      </c>
      <c r="R658" t="str">
        <f t="shared" si="20"/>
        <v>yes</v>
      </c>
      <c r="S658" t="str">
        <f t="shared" si="21"/>
        <v>no</v>
      </c>
    </row>
    <row r="659" spans="1:19" x14ac:dyDescent="0.35">
      <c r="A659" s="1">
        <v>657</v>
      </c>
      <c r="B659" t="s">
        <v>75</v>
      </c>
      <c r="C659" t="s">
        <v>549</v>
      </c>
      <c r="D659" t="s">
        <v>636</v>
      </c>
      <c r="E659">
        <v>3.972071481481481</v>
      </c>
      <c r="F659">
        <v>8.1843392628627078E-3</v>
      </c>
      <c r="G659">
        <v>27</v>
      </c>
      <c r="H659" t="s">
        <v>58</v>
      </c>
      <c r="I659">
        <v>3.6</v>
      </c>
      <c r="J659">
        <v>4.4000000000000004</v>
      </c>
      <c r="K659">
        <v>4</v>
      </c>
      <c r="L659">
        <v>0.80000000000000027</v>
      </c>
      <c r="M659">
        <v>3.9884401600072059</v>
      </c>
      <c r="N659">
        <v>3.9557028029557562</v>
      </c>
      <c r="O659">
        <v>3.2737357051450637E-2</v>
      </c>
      <c r="P659">
        <v>485.32585880269772</v>
      </c>
      <c r="Q659">
        <v>24.43691464594119</v>
      </c>
      <c r="R659" t="str">
        <f t="shared" si="20"/>
        <v>yes</v>
      </c>
      <c r="S659" t="str">
        <f t="shared" si="21"/>
        <v>yes</v>
      </c>
    </row>
    <row r="660" spans="1:19" x14ac:dyDescent="0.35">
      <c r="A660" s="1">
        <v>658</v>
      </c>
      <c r="B660" t="s">
        <v>75</v>
      </c>
      <c r="C660" t="s">
        <v>549</v>
      </c>
      <c r="D660" t="s">
        <v>637</v>
      </c>
      <c r="E660">
        <v>3.7637530864197542E-2</v>
      </c>
      <c r="F660">
        <v>2.4542840529136328E-3</v>
      </c>
      <c r="G660">
        <v>27</v>
      </c>
      <c r="H660" t="s">
        <v>58</v>
      </c>
      <c r="M660">
        <v>4.2546098970024808E-2</v>
      </c>
      <c r="N660">
        <v>3.2728962758370277E-2</v>
      </c>
      <c r="O660">
        <v>9.8171362116545313E-3</v>
      </c>
      <c r="P660">
        <v>15.335442048574491</v>
      </c>
      <c r="R660" t="str">
        <f t="shared" si="20"/>
        <v>yes</v>
      </c>
      <c r="S660" t="str">
        <f t="shared" si="21"/>
        <v>no</v>
      </c>
    </row>
    <row r="661" spans="1:19" x14ac:dyDescent="0.35">
      <c r="A661" s="1">
        <v>659</v>
      </c>
      <c r="B661" t="s">
        <v>75</v>
      </c>
      <c r="C661" t="s">
        <v>549</v>
      </c>
      <c r="D661" t="s">
        <v>638</v>
      </c>
      <c r="E661">
        <v>4.258864197530865E-2</v>
      </c>
      <c r="F661">
        <v>6.3624864309529006E-3</v>
      </c>
      <c r="G661">
        <v>27</v>
      </c>
      <c r="H661" t="s">
        <v>58</v>
      </c>
      <c r="M661">
        <v>5.5313614837214448E-2</v>
      </c>
      <c r="N661">
        <v>2.9863669113402849E-2</v>
      </c>
      <c r="O661">
        <v>2.5449945723811599E-2</v>
      </c>
      <c r="P661">
        <v>6.6937104601306334</v>
      </c>
      <c r="R661" t="str">
        <f t="shared" si="20"/>
        <v>yes</v>
      </c>
      <c r="S661" t="str">
        <f t="shared" si="21"/>
        <v>no</v>
      </c>
    </row>
    <row r="662" spans="1:19" x14ac:dyDescent="0.35">
      <c r="A662" s="1">
        <v>660</v>
      </c>
      <c r="B662" t="s">
        <v>75</v>
      </c>
      <c r="C662" t="s">
        <v>549</v>
      </c>
      <c r="D662" t="s">
        <v>639</v>
      </c>
      <c r="E662">
        <v>3.759666666666666E-2</v>
      </c>
      <c r="F662">
        <v>5.2276907615672408E-3</v>
      </c>
      <c r="G662">
        <v>27</v>
      </c>
      <c r="H662" t="s">
        <v>58</v>
      </c>
      <c r="M662">
        <v>4.805204818980114E-2</v>
      </c>
      <c r="N662">
        <v>2.714128514353218E-2</v>
      </c>
      <c r="O662">
        <v>2.091076304626896E-2</v>
      </c>
      <c r="P662">
        <v>7.1918306536164218</v>
      </c>
      <c r="R662" t="str">
        <f t="shared" si="20"/>
        <v>yes</v>
      </c>
      <c r="S662" t="str">
        <f t="shared" si="21"/>
        <v>no</v>
      </c>
    </row>
    <row r="663" spans="1:19" x14ac:dyDescent="0.35">
      <c r="A663" s="1">
        <v>661</v>
      </c>
      <c r="B663" t="s">
        <v>75</v>
      </c>
      <c r="C663" t="s">
        <v>549</v>
      </c>
      <c r="D663" t="s">
        <v>640</v>
      </c>
      <c r="E663">
        <v>3.6374074074074082E-3</v>
      </c>
      <c r="F663">
        <v>1.702360276821634E-3</v>
      </c>
      <c r="G663">
        <v>27</v>
      </c>
      <c r="H663" t="s">
        <v>58</v>
      </c>
      <c r="M663">
        <v>7.0421279610506761E-3</v>
      </c>
      <c r="N663">
        <v>2.3268685376414029E-4</v>
      </c>
      <c r="O663">
        <v>6.8094411072865358E-3</v>
      </c>
      <c r="P663">
        <v>2.1366848468754069</v>
      </c>
      <c r="R663" t="str">
        <f t="shared" si="20"/>
        <v>yes</v>
      </c>
      <c r="S663" t="str">
        <f t="shared" si="21"/>
        <v>no</v>
      </c>
    </row>
    <row r="664" spans="1:19" x14ac:dyDescent="0.35">
      <c r="A664" s="1">
        <v>662</v>
      </c>
      <c r="B664" t="s">
        <v>75</v>
      </c>
      <c r="C664" t="s">
        <v>549</v>
      </c>
      <c r="D664" t="s">
        <v>641</v>
      </c>
      <c r="E664">
        <v>0.99626691358024688</v>
      </c>
      <c r="F664">
        <v>1.695569188437275E-3</v>
      </c>
      <c r="G664">
        <v>27</v>
      </c>
      <c r="H664" t="s">
        <v>58</v>
      </c>
      <c r="I664">
        <v>0.85</v>
      </c>
      <c r="J664">
        <v>1.2</v>
      </c>
      <c r="K664">
        <v>1.0249999999999999</v>
      </c>
      <c r="L664">
        <v>0.35</v>
      </c>
      <c r="M664">
        <v>0.99965805195712143</v>
      </c>
      <c r="N664">
        <v>0.99287577520337233</v>
      </c>
      <c r="O664">
        <v>6.7822767537490947E-3</v>
      </c>
      <c r="P664">
        <v>587.57078176117273</v>
      </c>
      <c r="Q664">
        <v>51.605089663515663</v>
      </c>
      <c r="R664" t="str">
        <f t="shared" si="20"/>
        <v>yes</v>
      </c>
      <c r="S664" t="str">
        <f t="shared" si="21"/>
        <v>yes</v>
      </c>
    </row>
    <row r="665" spans="1:19" x14ac:dyDescent="0.35">
      <c r="A665" s="1">
        <v>663</v>
      </c>
      <c r="B665" t="s">
        <v>75</v>
      </c>
      <c r="C665" t="s">
        <v>549</v>
      </c>
      <c r="D665" t="s">
        <v>642</v>
      </c>
      <c r="E665">
        <v>2.1462962962962981E-3</v>
      </c>
      <c r="F665">
        <v>1.3384703474967031E-3</v>
      </c>
      <c r="G665">
        <v>27</v>
      </c>
      <c r="H665" t="s">
        <v>58</v>
      </c>
      <c r="M665">
        <v>4.8232369912897047E-3</v>
      </c>
      <c r="N665">
        <v>-5.3064439869710813E-4</v>
      </c>
      <c r="O665">
        <v>5.3538813899868132E-3</v>
      </c>
      <c r="P665">
        <v>1.603544150462836</v>
      </c>
      <c r="R665" t="str">
        <f t="shared" si="20"/>
        <v>yes</v>
      </c>
      <c r="S665" t="str">
        <f t="shared" si="21"/>
        <v>no</v>
      </c>
    </row>
    <row r="666" spans="1:19" x14ac:dyDescent="0.35">
      <c r="A666" s="1">
        <v>664</v>
      </c>
      <c r="B666" t="s">
        <v>75</v>
      </c>
      <c r="C666" t="s">
        <v>549</v>
      </c>
      <c r="D666" t="s">
        <v>643</v>
      </c>
      <c r="E666">
        <v>1.499985308641975</v>
      </c>
      <c r="F666">
        <v>3.087286291633158E-3</v>
      </c>
      <c r="G666">
        <v>27</v>
      </c>
      <c r="H666" t="s">
        <v>58</v>
      </c>
      <c r="I666">
        <v>1.35</v>
      </c>
      <c r="J666">
        <v>1.65</v>
      </c>
      <c r="K666">
        <v>1.5</v>
      </c>
      <c r="L666">
        <v>0.29999999999999982</v>
      </c>
      <c r="M666">
        <v>1.506159881225241</v>
      </c>
      <c r="N666">
        <v>1.493810736058709</v>
      </c>
      <c r="O666">
        <v>1.2349145166532519E-2</v>
      </c>
      <c r="P666">
        <v>485.85883100866897</v>
      </c>
      <c r="Q666">
        <v>24.29317948363191</v>
      </c>
      <c r="R666" t="str">
        <f t="shared" si="20"/>
        <v>yes</v>
      </c>
      <c r="S666" t="str">
        <f t="shared" si="21"/>
        <v>yes</v>
      </c>
    </row>
    <row r="667" spans="1:19" x14ac:dyDescent="0.35">
      <c r="A667" s="1">
        <v>665</v>
      </c>
      <c r="B667" t="s">
        <v>75</v>
      </c>
      <c r="C667" t="s">
        <v>549</v>
      </c>
      <c r="D667" t="s">
        <v>644</v>
      </c>
      <c r="E667">
        <v>2.1674074074074071E-2</v>
      </c>
      <c r="F667">
        <v>3.513417674383811E-3</v>
      </c>
      <c r="G667">
        <v>27</v>
      </c>
      <c r="H667" t="s">
        <v>58</v>
      </c>
      <c r="M667">
        <v>2.8700909422841689E-2</v>
      </c>
      <c r="N667">
        <v>1.464723872530645E-2</v>
      </c>
      <c r="O667">
        <v>1.405367069753524E-2</v>
      </c>
      <c r="P667">
        <v>6.1689432008323086</v>
      </c>
      <c r="R667" t="str">
        <f t="shared" si="20"/>
        <v>yes</v>
      </c>
      <c r="S667" t="str">
        <f t="shared" si="21"/>
        <v>no</v>
      </c>
    </row>
    <row r="668" spans="1:19" x14ac:dyDescent="0.35">
      <c r="A668" s="1">
        <v>666</v>
      </c>
      <c r="B668" t="s">
        <v>75</v>
      </c>
      <c r="C668" t="s">
        <v>549</v>
      </c>
      <c r="D668" t="s">
        <v>645</v>
      </c>
      <c r="E668">
        <v>35.83708037037038</v>
      </c>
      <c r="F668">
        <v>0.1059490486297669</v>
      </c>
      <c r="G668">
        <v>27</v>
      </c>
      <c r="H668" t="s">
        <v>58</v>
      </c>
      <c r="I668">
        <v>34.5</v>
      </c>
      <c r="J668">
        <v>37</v>
      </c>
      <c r="K668">
        <v>35.75</v>
      </c>
      <c r="L668">
        <v>2.5</v>
      </c>
      <c r="M668">
        <v>36.048978467629922</v>
      </c>
      <c r="N668">
        <v>35.625182273110838</v>
      </c>
      <c r="O668">
        <v>0.42379619451907052</v>
      </c>
      <c r="P668">
        <v>338.24825077572029</v>
      </c>
      <c r="Q668">
        <v>5.8990619366864134</v>
      </c>
      <c r="R668" t="str">
        <f t="shared" si="20"/>
        <v>yes</v>
      </c>
      <c r="S668" t="str">
        <f t="shared" si="21"/>
        <v>yes</v>
      </c>
    </row>
    <row r="669" spans="1:19" x14ac:dyDescent="0.35">
      <c r="A669" s="1">
        <v>667</v>
      </c>
      <c r="B669" t="s">
        <v>75</v>
      </c>
      <c r="C669" t="s">
        <v>549</v>
      </c>
      <c r="D669" t="s">
        <v>646</v>
      </c>
      <c r="E669">
        <v>3.2253086419753081E-3</v>
      </c>
      <c r="F669">
        <v>1.7998535259884231E-3</v>
      </c>
      <c r="G669">
        <v>27</v>
      </c>
      <c r="H669" t="s">
        <v>58</v>
      </c>
      <c r="M669">
        <v>6.8250156939521547E-3</v>
      </c>
      <c r="N669">
        <v>-3.7439841000153811E-4</v>
      </c>
      <c r="O669">
        <v>7.1994141039536923E-3</v>
      </c>
      <c r="P669">
        <v>1.7919839561411359</v>
      </c>
      <c r="R669" t="str">
        <f t="shared" si="20"/>
        <v>yes</v>
      </c>
      <c r="S669" t="str">
        <f t="shared" si="21"/>
        <v>no</v>
      </c>
    </row>
    <row r="670" spans="1:19" x14ac:dyDescent="0.35">
      <c r="A670" s="1">
        <v>668</v>
      </c>
      <c r="B670" t="s">
        <v>75</v>
      </c>
      <c r="C670" t="s">
        <v>549</v>
      </c>
      <c r="D670" t="s">
        <v>647</v>
      </c>
      <c r="E670">
        <v>0.99738037037037031</v>
      </c>
      <c r="F670">
        <v>1.1952187209498619E-3</v>
      </c>
      <c r="G670">
        <v>27</v>
      </c>
      <c r="H670" t="s">
        <v>58</v>
      </c>
      <c r="I670">
        <v>0.85</v>
      </c>
      <c r="J670">
        <v>1.2</v>
      </c>
      <c r="K670">
        <v>1.0249999999999999</v>
      </c>
      <c r="L670">
        <v>0.35</v>
      </c>
      <c r="M670">
        <v>0.99977080781227001</v>
      </c>
      <c r="N670">
        <v>0.9949899329284706</v>
      </c>
      <c r="O670">
        <v>4.7808748837994131E-3</v>
      </c>
      <c r="P670">
        <v>834.47519093219535</v>
      </c>
      <c r="Q670">
        <v>73.208357990295525</v>
      </c>
      <c r="R670" t="str">
        <f t="shared" si="20"/>
        <v>yes</v>
      </c>
      <c r="S670" t="str">
        <f t="shared" si="21"/>
        <v>yes</v>
      </c>
    </row>
    <row r="671" spans="1:19" x14ac:dyDescent="0.35">
      <c r="A671" s="1">
        <v>669</v>
      </c>
      <c r="B671" t="s">
        <v>75</v>
      </c>
      <c r="C671" t="s">
        <v>549</v>
      </c>
      <c r="D671" t="s">
        <v>648</v>
      </c>
      <c r="E671">
        <v>1.944814814814815E-3</v>
      </c>
      <c r="F671">
        <v>1.3204654586688621E-3</v>
      </c>
      <c r="G671">
        <v>27</v>
      </c>
      <c r="H671" t="s">
        <v>58</v>
      </c>
      <c r="M671">
        <v>4.5857457321525387E-3</v>
      </c>
      <c r="N671">
        <v>-6.9611610252290909E-4</v>
      </c>
      <c r="O671">
        <v>5.2818618346754474E-3</v>
      </c>
      <c r="P671">
        <v>1.47282520875279</v>
      </c>
      <c r="R671" t="str">
        <f t="shared" si="20"/>
        <v>yes</v>
      </c>
      <c r="S671" t="str">
        <f t="shared" si="21"/>
        <v>no</v>
      </c>
    </row>
    <row r="672" spans="1:19" x14ac:dyDescent="0.35">
      <c r="A672" s="1">
        <v>670</v>
      </c>
      <c r="B672" t="s">
        <v>75</v>
      </c>
      <c r="C672" t="s">
        <v>549</v>
      </c>
      <c r="D672" t="s">
        <v>649</v>
      </c>
      <c r="E672">
        <v>1.501698765432099</v>
      </c>
      <c r="F672">
        <v>2.8201116648276579E-3</v>
      </c>
      <c r="G672">
        <v>27</v>
      </c>
      <c r="H672" t="s">
        <v>58</v>
      </c>
      <c r="I672">
        <v>1.35</v>
      </c>
      <c r="J672">
        <v>1.65</v>
      </c>
      <c r="K672">
        <v>1.5</v>
      </c>
      <c r="L672">
        <v>0.29999999999999982</v>
      </c>
      <c r="M672">
        <v>1.5073389887617541</v>
      </c>
      <c r="N672">
        <v>1.4960585421024439</v>
      </c>
      <c r="O672">
        <v>1.1280446659310611E-2</v>
      </c>
      <c r="P672">
        <v>532.49620721095471</v>
      </c>
      <c r="Q672">
        <v>26.594691598704301</v>
      </c>
      <c r="R672" t="str">
        <f t="shared" si="20"/>
        <v>yes</v>
      </c>
      <c r="S672" t="str">
        <f t="shared" si="21"/>
        <v>yes</v>
      </c>
    </row>
    <row r="673" spans="1:19" x14ac:dyDescent="0.35">
      <c r="A673" s="1">
        <v>671</v>
      </c>
      <c r="B673" t="s">
        <v>75</v>
      </c>
      <c r="C673" t="s">
        <v>549</v>
      </c>
      <c r="D673" t="s">
        <v>650</v>
      </c>
      <c r="E673">
        <v>2.2871975308641979E-2</v>
      </c>
      <c r="F673">
        <v>2.526346695812589E-3</v>
      </c>
      <c r="G673">
        <v>27</v>
      </c>
      <c r="H673" t="s">
        <v>58</v>
      </c>
      <c r="M673">
        <v>2.792466870026716E-2</v>
      </c>
      <c r="N673">
        <v>1.7819281917016799E-2</v>
      </c>
      <c r="O673">
        <v>1.0105386783250349E-2</v>
      </c>
      <c r="P673">
        <v>9.0533794694735281</v>
      </c>
      <c r="R673" t="str">
        <f t="shared" si="20"/>
        <v>yes</v>
      </c>
      <c r="S673" t="str">
        <f t="shared" si="21"/>
        <v>no</v>
      </c>
    </row>
    <row r="674" spans="1:19" x14ac:dyDescent="0.35">
      <c r="A674" s="1">
        <v>672</v>
      </c>
      <c r="B674" t="s">
        <v>75</v>
      </c>
      <c r="C674" t="s">
        <v>549</v>
      </c>
      <c r="D674" t="s">
        <v>651</v>
      </c>
      <c r="E674">
        <v>35.929459135802468</v>
      </c>
      <c r="F674">
        <v>8.1653310808986232E-2</v>
      </c>
      <c r="G674">
        <v>27</v>
      </c>
      <c r="H674" t="s">
        <v>58</v>
      </c>
      <c r="I674">
        <v>34.5</v>
      </c>
      <c r="J674">
        <v>37</v>
      </c>
      <c r="K674">
        <v>35.75</v>
      </c>
      <c r="L674">
        <v>2.5</v>
      </c>
      <c r="M674">
        <v>36.092765757420437</v>
      </c>
      <c r="N674">
        <v>35.766152514184498</v>
      </c>
      <c r="O674">
        <v>0.32661324323593988</v>
      </c>
      <c r="P674">
        <v>440.02452294743091</v>
      </c>
      <c r="Q674">
        <v>7.6543130193714841</v>
      </c>
      <c r="R674" t="str">
        <f t="shared" si="20"/>
        <v>yes</v>
      </c>
      <c r="S674" t="str">
        <f t="shared" si="21"/>
        <v>yes</v>
      </c>
    </row>
    <row r="675" spans="1:19" x14ac:dyDescent="0.35">
      <c r="A675" s="1">
        <v>673</v>
      </c>
      <c r="B675" t="s">
        <v>75</v>
      </c>
      <c r="C675" t="s">
        <v>549</v>
      </c>
      <c r="D675" t="s">
        <v>652</v>
      </c>
      <c r="E675">
        <v>3.289382716049383E-3</v>
      </c>
      <c r="F675">
        <v>1.9462562013364581E-3</v>
      </c>
      <c r="G675">
        <v>27</v>
      </c>
      <c r="H675" t="s">
        <v>58</v>
      </c>
      <c r="M675">
        <v>7.1818951187222991E-3</v>
      </c>
      <c r="N675">
        <v>-6.031296866235332E-4</v>
      </c>
      <c r="O675">
        <v>7.7850248053458323E-3</v>
      </c>
      <c r="P675">
        <v>1.6901077637109769</v>
      </c>
      <c r="R675" t="str">
        <f t="shared" si="20"/>
        <v>yes</v>
      </c>
      <c r="S675" t="str">
        <f t="shared" si="21"/>
        <v>no</v>
      </c>
    </row>
    <row r="676" spans="1:19" x14ac:dyDescent="0.35">
      <c r="A676" s="1">
        <v>674</v>
      </c>
      <c r="B676" t="s">
        <v>75</v>
      </c>
      <c r="C676" t="s">
        <v>549</v>
      </c>
      <c r="D676" t="s">
        <v>653</v>
      </c>
      <c r="E676">
        <v>0.99525888888888903</v>
      </c>
      <c r="F676">
        <v>2.3795019180319851E-3</v>
      </c>
      <c r="G676">
        <v>27</v>
      </c>
      <c r="H676" t="s">
        <v>58</v>
      </c>
      <c r="I676">
        <v>0.85</v>
      </c>
      <c r="J676">
        <v>1.2</v>
      </c>
      <c r="K676">
        <v>1.0249999999999999</v>
      </c>
      <c r="L676">
        <v>0.35</v>
      </c>
      <c r="M676">
        <v>1.000017892724953</v>
      </c>
      <c r="N676">
        <v>0.99049988505282505</v>
      </c>
      <c r="O676">
        <v>9.5180076721279594E-3</v>
      </c>
      <c r="P676">
        <v>418.26353714900051</v>
      </c>
      <c r="Q676">
        <v>36.77240154207081</v>
      </c>
      <c r="R676" t="str">
        <f t="shared" si="20"/>
        <v>yes</v>
      </c>
      <c r="S676" t="str">
        <f t="shared" si="21"/>
        <v>yes</v>
      </c>
    </row>
    <row r="677" spans="1:19" x14ac:dyDescent="0.35">
      <c r="A677" s="1">
        <v>675</v>
      </c>
      <c r="B677" t="s">
        <v>75</v>
      </c>
      <c r="C677" t="s">
        <v>549</v>
      </c>
      <c r="D677" t="s">
        <v>654</v>
      </c>
      <c r="E677">
        <v>3.0592592592592598E-3</v>
      </c>
      <c r="F677">
        <v>1.3458925423131211E-3</v>
      </c>
      <c r="G677">
        <v>27</v>
      </c>
      <c r="H677" t="s">
        <v>58</v>
      </c>
      <c r="M677">
        <v>5.751044343885502E-3</v>
      </c>
      <c r="N677">
        <v>3.6747417463301769E-4</v>
      </c>
      <c r="O677">
        <v>5.3835701692524843E-3</v>
      </c>
      <c r="P677">
        <v>2.2730338144243349</v>
      </c>
      <c r="R677" t="str">
        <f t="shared" si="20"/>
        <v>yes</v>
      </c>
      <c r="S677" t="str">
        <f t="shared" si="21"/>
        <v>no</v>
      </c>
    </row>
    <row r="678" spans="1:19" x14ac:dyDescent="0.35">
      <c r="A678" s="1">
        <v>676</v>
      </c>
      <c r="B678" t="s">
        <v>75</v>
      </c>
      <c r="C678" t="s">
        <v>549</v>
      </c>
      <c r="D678" t="s">
        <v>655</v>
      </c>
      <c r="E678">
        <v>1.502216296296297</v>
      </c>
      <c r="F678">
        <v>3.9825507394544444E-3</v>
      </c>
      <c r="G678">
        <v>27</v>
      </c>
      <c r="H678" t="s">
        <v>58</v>
      </c>
      <c r="I678">
        <v>1.35</v>
      </c>
      <c r="J678">
        <v>1.65</v>
      </c>
      <c r="K678">
        <v>1.5</v>
      </c>
      <c r="L678">
        <v>0.29999999999999982</v>
      </c>
      <c r="M678">
        <v>1.5101813977752061</v>
      </c>
      <c r="N678">
        <v>1.494251194817388</v>
      </c>
      <c r="O678">
        <v>1.5930202957817659E-2</v>
      </c>
      <c r="P678">
        <v>377.19953732518678</v>
      </c>
      <c r="Q678">
        <v>18.832151780764121</v>
      </c>
      <c r="R678" t="str">
        <f t="shared" si="20"/>
        <v>yes</v>
      </c>
      <c r="S678" t="str">
        <f t="shared" si="21"/>
        <v>yes</v>
      </c>
    </row>
    <row r="679" spans="1:19" x14ac:dyDescent="0.35">
      <c r="A679" s="1">
        <v>677</v>
      </c>
      <c r="B679" t="s">
        <v>75</v>
      </c>
      <c r="C679" t="s">
        <v>549</v>
      </c>
      <c r="D679" t="s">
        <v>656</v>
      </c>
      <c r="E679">
        <v>2.2525925925925921E-2</v>
      </c>
      <c r="F679">
        <v>3.3311514503996378E-3</v>
      </c>
      <c r="G679">
        <v>27</v>
      </c>
      <c r="H679" t="s">
        <v>58</v>
      </c>
      <c r="M679">
        <v>2.9188228826725199E-2</v>
      </c>
      <c r="N679">
        <v>1.5863623025126641E-2</v>
      </c>
      <c r="O679">
        <v>1.3324605801598549E-2</v>
      </c>
      <c r="P679">
        <v>6.7622040790800702</v>
      </c>
      <c r="R679" t="str">
        <f t="shared" si="20"/>
        <v>yes</v>
      </c>
      <c r="S679" t="str">
        <f t="shared" si="21"/>
        <v>no</v>
      </c>
    </row>
    <row r="680" spans="1:19" x14ac:dyDescent="0.35">
      <c r="A680" s="1">
        <v>678</v>
      </c>
      <c r="B680" t="s">
        <v>75</v>
      </c>
      <c r="C680" t="s">
        <v>549</v>
      </c>
      <c r="D680" t="s">
        <v>657</v>
      </c>
      <c r="E680">
        <v>35.87713049382716</v>
      </c>
      <c r="F680">
        <v>0.1293140540739991</v>
      </c>
      <c r="G680">
        <v>27</v>
      </c>
      <c r="H680" t="s">
        <v>58</v>
      </c>
      <c r="I680">
        <v>34.5</v>
      </c>
      <c r="J680">
        <v>37</v>
      </c>
      <c r="K680">
        <v>35.75</v>
      </c>
      <c r="L680">
        <v>2.5</v>
      </c>
      <c r="M680">
        <v>36.135758601975162</v>
      </c>
      <c r="N680">
        <v>35.618502385679157</v>
      </c>
      <c r="O680">
        <v>0.51725621629599061</v>
      </c>
      <c r="P680">
        <v>277.44185077746238</v>
      </c>
      <c r="Q680">
        <v>4.8331946939220929</v>
      </c>
      <c r="R680" t="str">
        <f t="shared" si="20"/>
        <v>yes</v>
      </c>
      <c r="S680" t="str">
        <f t="shared" si="21"/>
        <v>yes</v>
      </c>
    </row>
    <row r="681" spans="1:19" x14ac:dyDescent="0.35">
      <c r="A681" s="1">
        <v>679</v>
      </c>
      <c r="B681" t="s">
        <v>75</v>
      </c>
      <c r="C681" t="s">
        <v>549</v>
      </c>
      <c r="D681" t="s">
        <v>658</v>
      </c>
      <c r="E681">
        <v>1.803112222222222</v>
      </c>
      <c r="F681">
        <v>3.6064915586428992E-3</v>
      </c>
      <c r="G681">
        <v>27</v>
      </c>
      <c r="H681" t="s">
        <v>58</v>
      </c>
      <c r="I681">
        <v>1.62</v>
      </c>
      <c r="J681">
        <v>1.98</v>
      </c>
      <c r="K681">
        <v>1.8</v>
      </c>
      <c r="L681">
        <v>0.35999999999999988</v>
      </c>
      <c r="M681">
        <v>1.810325205339508</v>
      </c>
      <c r="N681">
        <v>1.795899239104936</v>
      </c>
      <c r="O681">
        <v>1.44259662345716E-2</v>
      </c>
      <c r="P681">
        <v>499.96296758302191</v>
      </c>
      <c r="Q681">
        <v>24.95500087455256</v>
      </c>
      <c r="R681" t="str">
        <f t="shared" si="20"/>
        <v>yes</v>
      </c>
      <c r="S681" t="str">
        <f t="shared" si="21"/>
        <v>yes</v>
      </c>
    </row>
    <row r="682" spans="1:19" x14ac:dyDescent="0.35">
      <c r="A682" s="1">
        <v>680</v>
      </c>
      <c r="B682" t="s">
        <v>75</v>
      </c>
      <c r="C682" t="s">
        <v>549</v>
      </c>
      <c r="D682" t="s">
        <v>659</v>
      </c>
      <c r="E682">
        <v>3.5189135802469143E-2</v>
      </c>
      <c r="F682">
        <v>5.4453695417449903E-3</v>
      </c>
      <c r="G682">
        <v>27</v>
      </c>
      <c r="H682" t="s">
        <v>58</v>
      </c>
      <c r="M682">
        <v>4.6079874885959132E-2</v>
      </c>
      <c r="N682">
        <v>2.4298396718979161E-2</v>
      </c>
      <c r="O682">
        <v>2.1781478166979961E-2</v>
      </c>
      <c r="P682">
        <v>6.4622126253698928</v>
      </c>
      <c r="R682" t="str">
        <f t="shared" si="20"/>
        <v>yes</v>
      </c>
      <c r="S682" t="str">
        <f t="shared" si="21"/>
        <v>no</v>
      </c>
    </row>
    <row r="683" spans="1:19" x14ac:dyDescent="0.35">
      <c r="A683" s="1">
        <v>681</v>
      </c>
      <c r="B683" t="s">
        <v>75</v>
      </c>
      <c r="C683" t="s">
        <v>549</v>
      </c>
      <c r="D683" t="s">
        <v>660</v>
      </c>
      <c r="E683">
        <v>3.4660246913580252E-2</v>
      </c>
      <c r="F683">
        <v>5.5669053813910581E-3</v>
      </c>
      <c r="G683">
        <v>27</v>
      </c>
      <c r="H683" t="s">
        <v>58</v>
      </c>
      <c r="M683">
        <v>4.5794057676362368E-2</v>
      </c>
      <c r="N683">
        <v>2.3526436150798139E-2</v>
      </c>
      <c r="O683">
        <v>2.2267621525564229E-2</v>
      </c>
      <c r="P683">
        <v>6.2261246669364718</v>
      </c>
      <c r="R683" t="str">
        <f t="shared" si="20"/>
        <v>yes</v>
      </c>
      <c r="S683" t="str">
        <f t="shared" si="21"/>
        <v>no</v>
      </c>
    </row>
    <row r="684" spans="1:19" x14ac:dyDescent="0.35">
      <c r="A684" s="1">
        <v>682</v>
      </c>
      <c r="B684" t="s">
        <v>75</v>
      </c>
      <c r="C684" t="s">
        <v>549</v>
      </c>
      <c r="D684" t="s">
        <v>661</v>
      </c>
      <c r="E684">
        <v>3.5852592592592603E-2</v>
      </c>
      <c r="F684">
        <v>5.6081918190691686E-3</v>
      </c>
      <c r="G684">
        <v>27</v>
      </c>
      <c r="H684" t="s">
        <v>58</v>
      </c>
      <c r="M684">
        <v>4.706897623073094E-2</v>
      </c>
      <c r="N684">
        <v>2.4636208954454269E-2</v>
      </c>
      <c r="O684">
        <v>2.2432767276276671E-2</v>
      </c>
      <c r="P684">
        <v>6.3928969887737024</v>
      </c>
      <c r="R684" t="str">
        <f t="shared" si="20"/>
        <v>yes</v>
      </c>
      <c r="S684" t="str">
        <f t="shared" si="21"/>
        <v>no</v>
      </c>
    </row>
    <row r="685" spans="1:19" x14ac:dyDescent="0.35">
      <c r="A685" s="1">
        <v>683</v>
      </c>
      <c r="B685" t="s">
        <v>75</v>
      </c>
      <c r="C685" t="s">
        <v>549</v>
      </c>
      <c r="D685" t="s">
        <v>662</v>
      </c>
      <c r="E685">
        <v>7.5230987654320985E-2</v>
      </c>
      <c r="F685">
        <v>5.8511610726408826E-3</v>
      </c>
      <c r="G685">
        <v>27</v>
      </c>
      <c r="H685" t="s">
        <v>58</v>
      </c>
      <c r="M685">
        <v>8.6933309799602745E-2</v>
      </c>
      <c r="N685">
        <v>6.3528665509039225E-2</v>
      </c>
      <c r="O685">
        <v>2.340464429056352E-2</v>
      </c>
      <c r="P685">
        <v>12.85744602145536</v>
      </c>
      <c r="R685" t="str">
        <f t="shared" si="20"/>
        <v>yes</v>
      </c>
      <c r="S685" t="str">
        <f t="shared" si="21"/>
        <v>no</v>
      </c>
    </row>
    <row r="686" spans="1:19" x14ac:dyDescent="0.35">
      <c r="A686" s="1">
        <v>684</v>
      </c>
      <c r="B686" t="s">
        <v>75</v>
      </c>
      <c r="C686" t="s">
        <v>549</v>
      </c>
      <c r="D686" t="s">
        <v>663</v>
      </c>
      <c r="E686">
        <v>3.982198395061729</v>
      </c>
      <c r="F686">
        <v>1.0474769364809421E-2</v>
      </c>
      <c r="G686">
        <v>27</v>
      </c>
      <c r="H686" t="s">
        <v>58</v>
      </c>
      <c r="I686">
        <v>3.6</v>
      </c>
      <c r="J686">
        <v>4.4000000000000004</v>
      </c>
      <c r="K686">
        <v>4</v>
      </c>
      <c r="L686">
        <v>0.80000000000000027</v>
      </c>
      <c r="M686">
        <v>4.0031479337913476</v>
      </c>
      <c r="N686">
        <v>3.96124885633211</v>
      </c>
      <c r="O686">
        <v>4.1899077459237599E-2</v>
      </c>
      <c r="P686">
        <v>380.17050842571763</v>
      </c>
      <c r="Q686">
        <v>19.093499153490839</v>
      </c>
      <c r="R686" t="str">
        <f t="shared" si="20"/>
        <v>yes</v>
      </c>
      <c r="S686" t="str">
        <f t="shared" si="21"/>
        <v>yes</v>
      </c>
    </row>
    <row r="687" spans="1:19" x14ac:dyDescent="0.35">
      <c r="A687" s="1">
        <v>685</v>
      </c>
      <c r="B687" t="s">
        <v>75</v>
      </c>
      <c r="C687" t="s">
        <v>549</v>
      </c>
      <c r="D687" t="s">
        <v>664</v>
      </c>
      <c r="E687">
        <v>4.0143827160493827E-2</v>
      </c>
      <c r="F687">
        <v>6.5877669342178976E-3</v>
      </c>
      <c r="G687">
        <v>27</v>
      </c>
      <c r="H687" t="s">
        <v>58</v>
      </c>
      <c r="M687">
        <v>5.3319361028929618E-2</v>
      </c>
      <c r="N687">
        <v>2.6968293292058031E-2</v>
      </c>
      <c r="O687">
        <v>2.635106773687159E-2</v>
      </c>
      <c r="P687">
        <v>6.0936926824141997</v>
      </c>
      <c r="R687" t="str">
        <f t="shared" si="20"/>
        <v>yes</v>
      </c>
      <c r="S687" t="str">
        <f t="shared" si="21"/>
        <v>no</v>
      </c>
    </row>
    <row r="688" spans="1:19" x14ac:dyDescent="0.35">
      <c r="A688" s="1">
        <v>686</v>
      </c>
      <c r="B688" t="s">
        <v>75</v>
      </c>
      <c r="C688" t="s">
        <v>549</v>
      </c>
      <c r="D688" t="s">
        <v>665</v>
      </c>
      <c r="E688">
        <v>4.4425432098765441E-2</v>
      </c>
      <c r="F688">
        <v>5.5400531102547607E-3</v>
      </c>
      <c r="G688">
        <v>27</v>
      </c>
      <c r="H688" t="s">
        <v>58</v>
      </c>
      <c r="M688">
        <v>5.5505538319274961E-2</v>
      </c>
      <c r="N688">
        <v>3.3345325878255921E-2</v>
      </c>
      <c r="O688">
        <v>2.2160212441019039E-2</v>
      </c>
      <c r="P688">
        <v>8.0189541895425123</v>
      </c>
      <c r="R688" t="str">
        <f t="shared" si="20"/>
        <v>yes</v>
      </c>
      <c r="S688" t="str">
        <f t="shared" si="21"/>
        <v>no</v>
      </c>
    </row>
    <row r="689" spans="1:19" x14ac:dyDescent="0.35">
      <c r="A689" s="1">
        <v>687</v>
      </c>
      <c r="B689" t="s">
        <v>75</v>
      </c>
      <c r="C689" t="s">
        <v>549</v>
      </c>
      <c r="D689" t="s">
        <v>666</v>
      </c>
      <c r="E689">
        <v>4.1670123456790123E-2</v>
      </c>
      <c r="F689">
        <v>6.3893553571869131E-3</v>
      </c>
      <c r="G689">
        <v>27</v>
      </c>
      <c r="H689" t="s">
        <v>58</v>
      </c>
      <c r="M689">
        <v>5.4448834171163953E-2</v>
      </c>
      <c r="N689">
        <v>2.88914127424163E-2</v>
      </c>
      <c r="O689">
        <v>2.5557421428747649E-2</v>
      </c>
      <c r="P689">
        <v>6.5218040204820484</v>
      </c>
      <c r="R689" t="str">
        <f t="shared" si="20"/>
        <v>yes</v>
      </c>
      <c r="S689" t="str">
        <f t="shared" si="21"/>
        <v>no</v>
      </c>
    </row>
    <row r="690" spans="1:19" x14ac:dyDescent="0.35">
      <c r="A690" s="1">
        <v>688</v>
      </c>
      <c r="B690" t="s">
        <v>75</v>
      </c>
      <c r="C690" t="s">
        <v>549</v>
      </c>
      <c r="D690" t="s">
        <v>667</v>
      </c>
      <c r="E690">
        <v>1.7998422222222219</v>
      </c>
      <c r="F690">
        <v>5.9654366848561251E-3</v>
      </c>
      <c r="G690">
        <v>27</v>
      </c>
      <c r="H690" t="s">
        <v>58</v>
      </c>
      <c r="I690">
        <v>1.62</v>
      </c>
      <c r="J690">
        <v>1.98</v>
      </c>
      <c r="K690">
        <v>1.8</v>
      </c>
      <c r="L690">
        <v>0.35999999999999988</v>
      </c>
      <c r="M690">
        <v>1.811773095591934</v>
      </c>
      <c r="N690">
        <v>1.78791134885251</v>
      </c>
      <c r="O690">
        <v>2.386174673942465E-2</v>
      </c>
      <c r="P690">
        <v>301.71172997130401</v>
      </c>
      <c r="Q690">
        <v>15.086908931323279</v>
      </c>
      <c r="R690" t="str">
        <f t="shared" si="20"/>
        <v>yes</v>
      </c>
      <c r="S690" t="str">
        <f t="shared" si="21"/>
        <v>yes</v>
      </c>
    </row>
    <row r="691" spans="1:19" x14ac:dyDescent="0.35">
      <c r="A691" s="1">
        <v>689</v>
      </c>
      <c r="B691" t="s">
        <v>75</v>
      </c>
      <c r="C691" t="s">
        <v>549</v>
      </c>
      <c r="D691" t="s">
        <v>668</v>
      </c>
      <c r="E691">
        <v>3.9235432098765427E-2</v>
      </c>
      <c r="F691">
        <v>8.8094775679420523E-3</v>
      </c>
      <c r="G691">
        <v>27</v>
      </c>
      <c r="H691" t="s">
        <v>58</v>
      </c>
      <c r="M691">
        <v>5.6854387234649528E-2</v>
      </c>
      <c r="N691">
        <v>2.1616476962881319E-2</v>
      </c>
      <c r="O691">
        <v>3.5237910271768202E-2</v>
      </c>
      <c r="P691">
        <v>4.4537751298152246</v>
      </c>
      <c r="R691" t="str">
        <f t="shared" si="20"/>
        <v>yes</v>
      </c>
      <c r="S691" t="str">
        <f t="shared" si="21"/>
        <v>no</v>
      </c>
    </row>
    <row r="692" spans="1:19" x14ac:dyDescent="0.35">
      <c r="A692" s="1">
        <v>690</v>
      </c>
      <c r="B692" t="s">
        <v>75</v>
      </c>
      <c r="C692" t="s">
        <v>549</v>
      </c>
      <c r="D692" t="s">
        <v>669</v>
      </c>
      <c r="E692">
        <v>3.8480246913580249E-2</v>
      </c>
      <c r="F692">
        <v>9.0921823190708764E-3</v>
      </c>
      <c r="G692">
        <v>27</v>
      </c>
      <c r="H692" t="s">
        <v>58</v>
      </c>
      <c r="M692">
        <v>5.6664611551722012E-2</v>
      </c>
      <c r="N692">
        <v>2.02958822754385E-2</v>
      </c>
      <c r="O692">
        <v>3.6368729276283512E-2</v>
      </c>
      <c r="P692">
        <v>4.2322344144890094</v>
      </c>
      <c r="R692" t="str">
        <f t="shared" si="20"/>
        <v>yes</v>
      </c>
      <c r="S692" t="str">
        <f t="shared" si="21"/>
        <v>no</v>
      </c>
    </row>
    <row r="693" spans="1:19" x14ac:dyDescent="0.35">
      <c r="A693" s="1">
        <v>691</v>
      </c>
      <c r="B693" t="s">
        <v>75</v>
      </c>
      <c r="C693" t="s">
        <v>549</v>
      </c>
      <c r="D693" t="s">
        <v>670</v>
      </c>
      <c r="E693">
        <v>3.4513456790123458E-2</v>
      </c>
      <c r="F693">
        <v>1.2276012979763549E-2</v>
      </c>
      <c r="G693">
        <v>27</v>
      </c>
      <c r="H693" t="s">
        <v>58</v>
      </c>
      <c r="M693">
        <v>5.9065482749650552E-2</v>
      </c>
      <c r="N693">
        <v>9.9614308305963593E-3</v>
      </c>
      <c r="O693">
        <v>4.910405191905419E-2</v>
      </c>
      <c r="P693">
        <v>2.8114548955770351</v>
      </c>
      <c r="R693" t="str">
        <f t="shared" si="20"/>
        <v>yes</v>
      </c>
      <c r="S693" t="str">
        <f t="shared" si="21"/>
        <v>no</v>
      </c>
    </row>
    <row r="694" spans="1:19" x14ac:dyDescent="0.35">
      <c r="A694" s="1">
        <v>692</v>
      </c>
      <c r="B694" t="s">
        <v>75</v>
      </c>
      <c r="C694" t="s">
        <v>549</v>
      </c>
      <c r="D694" t="s">
        <v>671</v>
      </c>
      <c r="E694">
        <v>7.5673580246913577E-2</v>
      </c>
      <c r="F694">
        <v>5.7492927718309928E-3</v>
      </c>
      <c r="G694">
        <v>27</v>
      </c>
      <c r="H694" t="s">
        <v>58</v>
      </c>
      <c r="M694">
        <v>8.7172165790575559E-2</v>
      </c>
      <c r="N694">
        <v>6.4174994703251595E-2</v>
      </c>
      <c r="O694">
        <v>2.2997171087323961E-2</v>
      </c>
      <c r="P694">
        <v>13.16224155737569</v>
      </c>
      <c r="R694" t="str">
        <f t="shared" si="20"/>
        <v>yes</v>
      </c>
      <c r="S694" t="str">
        <f t="shared" si="21"/>
        <v>no</v>
      </c>
    </row>
    <row r="695" spans="1:19" x14ac:dyDescent="0.35">
      <c r="A695" s="1">
        <v>693</v>
      </c>
      <c r="B695" t="s">
        <v>75</v>
      </c>
      <c r="C695" t="s">
        <v>549</v>
      </c>
      <c r="D695" t="s">
        <v>672</v>
      </c>
      <c r="E695">
        <v>3.971753333333333</v>
      </c>
      <c r="F695">
        <v>1.5927551184885289E-2</v>
      </c>
      <c r="G695">
        <v>27</v>
      </c>
      <c r="H695" t="s">
        <v>58</v>
      </c>
      <c r="I695">
        <v>3.6</v>
      </c>
      <c r="J695">
        <v>4.4000000000000004</v>
      </c>
      <c r="K695">
        <v>4</v>
      </c>
      <c r="L695">
        <v>0.80000000000000027</v>
      </c>
      <c r="M695">
        <v>4.0036084357031037</v>
      </c>
      <c r="N695">
        <v>3.939898230963562</v>
      </c>
      <c r="O695">
        <v>6.3710204739541254E-2</v>
      </c>
      <c r="P695">
        <v>249.3637149383261</v>
      </c>
      <c r="Q695">
        <v>12.55685809315076</v>
      </c>
      <c r="R695" t="str">
        <f t="shared" si="20"/>
        <v>yes</v>
      </c>
      <c r="S695" t="str">
        <f t="shared" si="21"/>
        <v>yes</v>
      </c>
    </row>
    <row r="696" spans="1:19" x14ac:dyDescent="0.35">
      <c r="A696" s="1">
        <v>694</v>
      </c>
      <c r="B696" t="s">
        <v>75</v>
      </c>
      <c r="C696" t="s">
        <v>549</v>
      </c>
      <c r="D696" t="s">
        <v>673</v>
      </c>
      <c r="E696">
        <v>4.1895432098765437E-2</v>
      </c>
      <c r="F696">
        <v>3.4767125226853272E-3</v>
      </c>
      <c r="G696">
        <v>27</v>
      </c>
      <c r="H696" t="s">
        <v>58</v>
      </c>
      <c r="M696">
        <v>4.8848857144136087E-2</v>
      </c>
      <c r="N696">
        <v>3.4942007053394793E-2</v>
      </c>
      <c r="O696">
        <v>1.39068500907413E-2</v>
      </c>
      <c r="P696">
        <v>12.050300916570009</v>
      </c>
      <c r="R696" t="str">
        <f t="shared" si="20"/>
        <v>yes</v>
      </c>
      <c r="S696" t="str">
        <f t="shared" si="21"/>
        <v>no</v>
      </c>
    </row>
    <row r="697" spans="1:19" x14ac:dyDescent="0.35">
      <c r="A697" s="1">
        <v>695</v>
      </c>
      <c r="B697" t="s">
        <v>75</v>
      </c>
      <c r="C697" t="s">
        <v>549</v>
      </c>
      <c r="D697" t="s">
        <v>674</v>
      </c>
      <c r="E697">
        <v>4.3353580246913583E-2</v>
      </c>
      <c r="F697">
        <v>8.1030830369622567E-3</v>
      </c>
      <c r="G697">
        <v>27</v>
      </c>
      <c r="H697" t="s">
        <v>58</v>
      </c>
      <c r="M697">
        <v>5.9559746320838103E-2</v>
      </c>
      <c r="N697">
        <v>2.7147414172989069E-2</v>
      </c>
      <c r="O697">
        <v>3.2412332147849027E-2</v>
      </c>
      <c r="P697">
        <v>5.350257432776635</v>
      </c>
      <c r="R697" t="str">
        <f t="shared" si="20"/>
        <v>yes</v>
      </c>
      <c r="S697" t="str">
        <f t="shared" si="21"/>
        <v>no</v>
      </c>
    </row>
    <row r="698" spans="1:19" x14ac:dyDescent="0.35">
      <c r="A698" s="1">
        <v>696</v>
      </c>
      <c r="B698" t="s">
        <v>75</v>
      </c>
      <c r="C698" t="s">
        <v>549</v>
      </c>
      <c r="D698" t="s">
        <v>675</v>
      </c>
      <c r="E698">
        <v>4.2378518518518517E-2</v>
      </c>
      <c r="F698">
        <v>7.3898619626726709E-3</v>
      </c>
      <c r="G698">
        <v>27</v>
      </c>
      <c r="H698" t="s">
        <v>58</v>
      </c>
      <c r="M698">
        <v>5.715824244386386E-2</v>
      </c>
      <c r="N698">
        <v>2.759879459317317E-2</v>
      </c>
      <c r="O698">
        <v>2.9559447850690691E-2</v>
      </c>
      <c r="P698">
        <v>5.7346833719735129</v>
      </c>
      <c r="R698" t="str">
        <f t="shared" si="20"/>
        <v>yes</v>
      </c>
      <c r="S698" t="str">
        <f t="shared" si="21"/>
        <v>no</v>
      </c>
    </row>
    <row r="699" spans="1:19" x14ac:dyDescent="0.35">
      <c r="A699" s="1">
        <v>697</v>
      </c>
      <c r="B699" t="s">
        <v>75</v>
      </c>
      <c r="C699" t="s">
        <v>549</v>
      </c>
      <c r="D699" t="s">
        <v>676</v>
      </c>
      <c r="E699">
        <v>1.803731111111111</v>
      </c>
      <c r="F699">
        <v>6.6603210734496442E-3</v>
      </c>
      <c r="G699">
        <v>27</v>
      </c>
      <c r="H699" t="s">
        <v>58</v>
      </c>
      <c r="I699">
        <v>1.62</v>
      </c>
      <c r="J699">
        <v>1.98</v>
      </c>
      <c r="K699">
        <v>1.8</v>
      </c>
      <c r="L699">
        <v>0.35999999999999988</v>
      </c>
      <c r="M699">
        <v>1.8170517532580099</v>
      </c>
      <c r="N699">
        <v>1.790410468964212</v>
      </c>
      <c r="O699">
        <v>2.6641284293798421E-2</v>
      </c>
      <c r="P699">
        <v>270.81744126441748</v>
      </c>
      <c r="Q699">
        <v>13.512862068883109</v>
      </c>
      <c r="R699" t="str">
        <f t="shared" si="20"/>
        <v>yes</v>
      </c>
      <c r="S699" t="str">
        <f t="shared" si="21"/>
        <v>yes</v>
      </c>
    </row>
    <row r="700" spans="1:19" x14ac:dyDescent="0.35">
      <c r="A700" s="1">
        <v>698</v>
      </c>
      <c r="B700" t="s">
        <v>75</v>
      </c>
      <c r="C700" t="s">
        <v>549</v>
      </c>
      <c r="D700" t="s">
        <v>677</v>
      </c>
      <c r="E700">
        <v>3.6676543209876553E-2</v>
      </c>
      <c r="F700">
        <v>6.928925507550034E-3</v>
      </c>
      <c r="G700">
        <v>27</v>
      </c>
      <c r="H700" t="s">
        <v>58</v>
      </c>
      <c r="M700">
        <v>5.0534394224976617E-2</v>
      </c>
      <c r="N700">
        <v>2.2818692194776481E-2</v>
      </c>
      <c r="O700">
        <v>2.7715702030200129E-2</v>
      </c>
      <c r="P700">
        <v>5.2932511931196728</v>
      </c>
      <c r="R700" t="str">
        <f t="shared" si="20"/>
        <v>yes</v>
      </c>
      <c r="S700" t="str">
        <f t="shared" si="21"/>
        <v>no</v>
      </c>
    </row>
    <row r="701" spans="1:19" x14ac:dyDescent="0.35">
      <c r="A701" s="1">
        <v>699</v>
      </c>
      <c r="B701" t="s">
        <v>75</v>
      </c>
      <c r="C701" t="s">
        <v>549</v>
      </c>
      <c r="D701" t="s">
        <v>678</v>
      </c>
      <c r="E701">
        <v>3.0221481481481471E-2</v>
      </c>
      <c r="F701">
        <v>6.2069519665217086E-3</v>
      </c>
      <c r="G701">
        <v>27</v>
      </c>
      <c r="H701" t="s">
        <v>58</v>
      </c>
      <c r="M701">
        <v>4.2635385414524878E-2</v>
      </c>
      <c r="N701">
        <v>1.780757754843805E-2</v>
      </c>
      <c r="O701">
        <v>2.4827807866086831E-2</v>
      </c>
      <c r="P701">
        <v>4.868972991008528</v>
      </c>
      <c r="R701" t="str">
        <f t="shared" si="20"/>
        <v>yes</v>
      </c>
      <c r="S701" t="str">
        <f t="shared" si="21"/>
        <v>no</v>
      </c>
    </row>
    <row r="702" spans="1:19" x14ac:dyDescent="0.35">
      <c r="A702" s="1">
        <v>700</v>
      </c>
      <c r="B702" t="s">
        <v>75</v>
      </c>
      <c r="C702" t="s">
        <v>549</v>
      </c>
      <c r="D702" t="s">
        <v>679</v>
      </c>
      <c r="E702">
        <v>3.16941975308642E-2</v>
      </c>
      <c r="F702">
        <v>7.564449158785202E-3</v>
      </c>
      <c r="G702">
        <v>27</v>
      </c>
      <c r="H702" t="s">
        <v>58</v>
      </c>
      <c r="M702">
        <v>4.6823095848434602E-2</v>
      </c>
      <c r="N702">
        <v>1.6565299213293801E-2</v>
      </c>
      <c r="O702">
        <v>3.0257796635140801E-2</v>
      </c>
      <c r="P702">
        <v>4.1898883666968896</v>
      </c>
      <c r="R702" t="str">
        <f t="shared" si="20"/>
        <v>yes</v>
      </c>
      <c r="S702" t="str">
        <f t="shared" si="21"/>
        <v>no</v>
      </c>
    </row>
    <row r="703" spans="1:19" x14ac:dyDescent="0.35">
      <c r="A703" s="1">
        <v>701</v>
      </c>
      <c r="B703" t="s">
        <v>75</v>
      </c>
      <c r="C703" t="s">
        <v>549</v>
      </c>
      <c r="D703" t="s">
        <v>680</v>
      </c>
      <c r="E703">
        <v>7.6740000000000003E-2</v>
      </c>
      <c r="F703">
        <v>6.1425409091012432E-3</v>
      </c>
      <c r="G703">
        <v>27</v>
      </c>
      <c r="H703" t="s">
        <v>58</v>
      </c>
      <c r="M703">
        <v>8.9025081818202484E-2</v>
      </c>
      <c r="N703">
        <v>6.4454918181797521E-2</v>
      </c>
      <c r="O703">
        <v>2.4570163636404959E-2</v>
      </c>
      <c r="P703">
        <v>12.493201288459691</v>
      </c>
      <c r="R703" t="str">
        <f t="shared" si="20"/>
        <v>yes</v>
      </c>
      <c r="S703" t="str">
        <f t="shared" si="21"/>
        <v>no</v>
      </c>
    </row>
    <row r="704" spans="1:19" x14ac:dyDescent="0.35">
      <c r="A704" s="1">
        <v>702</v>
      </c>
      <c r="B704" t="s">
        <v>75</v>
      </c>
      <c r="C704" t="s">
        <v>549</v>
      </c>
      <c r="D704" t="s">
        <v>681</v>
      </c>
      <c r="E704">
        <v>3.9830762962962969</v>
      </c>
      <c r="F704">
        <v>1.5975083384188529E-2</v>
      </c>
      <c r="G704">
        <v>27</v>
      </c>
      <c r="H704" t="s">
        <v>58</v>
      </c>
      <c r="I704">
        <v>3.6</v>
      </c>
      <c r="J704">
        <v>4.4000000000000004</v>
      </c>
      <c r="K704">
        <v>4</v>
      </c>
      <c r="L704">
        <v>0.80000000000000027</v>
      </c>
      <c r="M704">
        <v>4.0150264630646744</v>
      </c>
      <c r="N704">
        <v>3.9511261295279199</v>
      </c>
      <c r="O704">
        <v>6.3900333536754506E-2</v>
      </c>
      <c r="P704">
        <v>249.33054811085239</v>
      </c>
      <c r="Q704">
        <v>12.519496467727389</v>
      </c>
      <c r="R704" t="str">
        <f t="shared" si="20"/>
        <v>yes</v>
      </c>
      <c r="S704" t="str">
        <f t="shared" si="21"/>
        <v>yes</v>
      </c>
    </row>
    <row r="705" spans="1:19" x14ac:dyDescent="0.35">
      <c r="A705" s="1">
        <v>703</v>
      </c>
      <c r="B705" t="s">
        <v>75</v>
      </c>
      <c r="C705" t="s">
        <v>549</v>
      </c>
      <c r="D705" t="s">
        <v>682</v>
      </c>
      <c r="E705">
        <v>4.5996296296296299E-2</v>
      </c>
      <c r="F705">
        <v>1.4652867089416729E-2</v>
      </c>
      <c r="G705">
        <v>27</v>
      </c>
      <c r="H705" t="s">
        <v>58</v>
      </c>
      <c r="M705">
        <v>7.5302030475129761E-2</v>
      </c>
      <c r="N705">
        <v>1.6690562117462841E-2</v>
      </c>
      <c r="O705">
        <v>5.8611468357666917E-2</v>
      </c>
      <c r="P705">
        <v>3.1390645950455571</v>
      </c>
      <c r="R705" t="str">
        <f t="shared" si="20"/>
        <v>yes</v>
      </c>
      <c r="S705" t="str">
        <f t="shared" si="21"/>
        <v>no</v>
      </c>
    </row>
    <row r="706" spans="1:19" x14ac:dyDescent="0.35">
      <c r="A706" s="1">
        <v>704</v>
      </c>
      <c r="B706" t="s">
        <v>75</v>
      </c>
      <c r="C706" t="s">
        <v>549</v>
      </c>
      <c r="D706" t="s">
        <v>683</v>
      </c>
      <c r="E706">
        <v>4.5701358024691358E-2</v>
      </c>
      <c r="F706">
        <v>8.313547449516949E-3</v>
      </c>
      <c r="G706">
        <v>27</v>
      </c>
      <c r="H706" t="s">
        <v>58</v>
      </c>
      <c r="M706">
        <v>6.2328452923725262E-2</v>
      </c>
      <c r="N706">
        <v>2.907426312565746E-2</v>
      </c>
      <c r="O706">
        <v>3.3254189798067803E-2</v>
      </c>
      <c r="P706">
        <v>5.4972150339199413</v>
      </c>
      <c r="R706" t="str">
        <f t="shared" si="20"/>
        <v>yes</v>
      </c>
      <c r="S706" t="str">
        <f t="shared" si="21"/>
        <v>no</v>
      </c>
    </row>
    <row r="707" spans="1:19" x14ac:dyDescent="0.35">
      <c r="A707" s="1">
        <v>705</v>
      </c>
      <c r="B707" t="s">
        <v>75</v>
      </c>
      <c r="C707" t="s">
        <v>549</v>
      </c>
      <c r="D707" t="s">
        <v>684</v>
      </c>
      <c r="E707">
        <v>4.4570000000000012E-2</v>
      </c>
      <c r="F707">
        <v>9.1494608245514027E-3</v>
      </c>
      <c r="G707">
        <v>27</v>
      </c>
      <c r="H707" t="s">
        <v>58</v>
      </c>
      <c r="M707">
        <v>6.2868921649102821E-2</v>
      </c>
      <c r="N707">
        <v>2.627107835089721E-2</v>
      </c>
      <c r="O707">
        <v>3.6597843298205618E-2</v>
      </c>
      <c r="P707">
        <v>4.8713253004376096</v>
      </c>
      <c r="R707" t="str">
        <f t="shared" ref="R707:R770" si="22">IF(H707="yes","yes","no")</f>
        <v>yes</v>
      </c>
      <c r="S707" t="str">
        <f t="shared" ref="S707:S770" si="23">IF(I707,"yes","no")</f>
        <v>no</v>
      </c>
    </row>
    <row r="708" spans="1:19" x14ac:dyDescent="0.35">
      <c r="A708" s="1">
        <v>706</v>
      </c>
      <c r="B708" t="s">
        <v>75</v>
      </c>
      <c r="C708" t="s">
        <v>549</v>
      </c>
      <c r="D708" t="s">
        <v>685</v>
      </c>
      <c r="E708">
        <v>5.1253086419753091E-3</v>
      </c>
      <c r="F708">
        <v>1.9794602160301922E-3</v>
      </c>
      <c r="G708">
        <v>27</v>
      </c>
      <c r="H708" t="s">
        <v>58</v>
      </c>
      <c r="M708">
        <v>9.0842290740356935E-3</v>
      </c>
      <c r="N708">
        <v>1.166388209914925E-3</v>
      </c>
      <c r="O708">
        <v>7.9178408641207686E-3</v>
      </c>
      <c r="P708">
        <v>2.5892455935558618</v>
      </c>
      <c r="R708" t="str">
        <f t="shared" si="22"/>
        <v>yes</v>
      </c>
      <c r="S708" t="str">
        <f t="shared" si="23"/>
        <v>no</v>
      </c>
    </row>
    <row r="709" spans="1:19" x14ac:dyDescent="0.35">
      <c r="A709" s="1">
        <v>707</v>
      </c>
      <c r="B709" t="s">
        <v>75</v>
      </c>
      <c r="C709" t="s">
        <v>549</v>
      </c>
      <c r="D709" t="s">
        <v>686</v>
      </c>
      <c r="E709">
        <v>0.9949306172839506</v>
      </c>
      <c r="F709">
        <v>2.0900270524224292E-3</v>
      </c>
      <c r="G709">
        <v>27</v>
      </c>
      <c r="H709" t="s">
        <v>58</v>
      </c>
      <c r="I709">
        <v>0.85</v>
      </c>
      <c r="J709">
        <v>1.2</v>
      </c>
      <c r="K709">
        <v>1.0249999999999999</v>
      </c>
      <c r="L709">
        <v>0.35</v>
      </c>
      <c r="M709">
        <v>0.9991106713887955</v>
      </c>
      <c r="N709">
        <v>0.9907505631791057</v>
      </c>
      <c r="O709">
        <v>8.3601082096897983E-3</v>
      </c>
      <c r="P709">
        <v>476.03719584910829</v>
      </c>
      <c r="Q709">
        <v>41.865486812040523</v>
      </c>
      <c r="R709" t="str">
        <f t="shared" si="22"/>
        <v>yes</v>
      </c>
      <c r="S709" t="str">
        <f t="shared" si="23"/>
        <v>yes</v>
      </c>
    </row>
    <row r="710" spans="1:19" x14ac:dyDescent="0.35">
      <c r="A710" s="1">
        <v>708</v>
      </c>
      <c r="B710" t="s">
        <v>75</v>
      </c>
      <c r="C710" t="s">
        <v>549</v>
      </c>
      <c r="D710" t="s">
        <v>687</v>
      </c>
      <c r="E710">
        <v>2.4820987654320999E-3</v>
      </c>
      <c r="F710">
        <v>1.2193586006268809E-3</v>
      </c>
      <c r="G710">
        <v>27</v>
      </c>
      <c r="H710" t="s">
        <v>58</v>
      </c>
      <c r="M710">
        <v>4.9208159666858618E-3</v>
      </c>
      <c r="N710">
        <v>4.338156417833805E-5</v>
      </c>
      <c r="O710">
        <v>4.8774344025075238E-3</v>
      </c>
      <c r="P710">
        <v>2.0355773635057282</v>
      </c>
      <c r="R710" t="str">
        <f t="shared" si="22"/>
        <v>yes</v>
      </c>
      <c r="S710" t="str">
        <f t="shared" si="23"/>
        <v>no</v>
      </c>
    </row>
    <row r="711" spans="1:19" x14ac:dyDescent="0.35">
      <c r="A711" s="1">
        <v>709</v>
      </c>
      <c r="B711" t="s">
        <v>75</v>
      </c>
      <c r="C711" t="s">
        <v>549</v>
      </c>
      <c r="D711" t="s">
        <v>688</v>
      </c>
      <c r="E711">
        <v>1.4987365432098769</v>
      </c>
      <c r="F711">
        <v>4.0142116166770351E-3</v>
      </c>
      <c r="G711">
        <v>27</v>
      </c>
      <c r="H711" t="s">
        <v>58</v>
      </c>
      <c r="I711">
        <v>1.35</v>
      </c>
      <c r="J711">
        <v>1.65</v>
      </c>
      <c r="K711">
        <v>1.5</v>
      </c>
      <c r="L711">
        <v>0.29999999999999982</v>
      </c>
      <c r="M711">
        <v>1.506764966443231</v>
      </c>
      <c r="N711">
        <v>1.4907081199765231</v>
      </c>
      <c r="O711">
        <v>1.605684646670813E-2</v>
      </c>
      <c r="P711">
        <v>373.35763191541241</v>
      </c>
      <c r="Q711">
        <v>18.683618892539851</v>
      </c>
      <c r="R711" t="str">
        <f t="shared" si="22"/>
        <v>yes</v>
      </c>
      <c r="S711" t="str">
        <f t="shared" si="23"/>
        <v>yes</v>
      </c>
    </row>
    <row r="712" spans="1:19" x14ac:dyDescent="0.35">
      <c r="A712" s="1">
        <v>710</v>
      </c>
      <c r="B712" t="s">
        <v>75</v>
      </c>
      <c r="C712" t="s">
        <v>549</v>
      </c>
      <c r="D712" t="s">
        <v>689</v>
      </c>
      <c r="E712">
        <v>2.100765432098765E-2</v>
      </c>
      <c r="F712">
        <v>2.79485085550104E-3</v>
      </c>
      <c r="G712">
        <v>27</v>
      </c>
      <c r="H712" t="s">
        <v>58</v>
      </c>
      <c r="M712">
        <v>2.6597356031989729E-2</v>
      </c>
      <c r="N712">
        <v>1.5417952609985569E-2</v>
      </c>
      <c r="O712">
        <v>1.117940342200416E-2</v>
      </c>
      <c r="P712">
        <v>7.516556484450243</v>
      </c>
      <c r="R712" t="str">
        <f t="shared" si="22"/>
        <v>yes</v>
      </c>
      <c r="S712" t="str">
        <f t="shared" si="23"/>
        <v>no</v>
      </c>
    </row>
    <row r="713" spans="1:19" x14ac:dyDescent="0.35">
      <c r="A713" s="1">
        <v>711</v>
      </c>
      <c r="B713" t="s">
        <v>75</v>
      </c>
      <c r="C713" t="s">
        <v>549</v>
      </c>
      <c r="D713" t="s">
        <v>690</v>
      </c>
      <c r="E713">
        <v>35.77528518518519</v>
      </c>
      <c r="F713">
        <v>0.19757791335827779</v>
      </c>
      <c r="G713">
        <v>27</v>
      </c>
      <c r="H713" t="s">
        <v>58</v>
      </c>
      <c r="I713">
        <v>34.5</v>
      </c>
      <c r="J713">
        <v>37</v>
      </c>
      <c r="K713">
        <v>35.75</v>
      </c>
      <c r="L713">
        <v>2.5</v>
      </c>
      <c r="M713">
        <v>36.170441011901737</v>
      </c>
      <c r="N713">
        <v>35.380129358468643</v>
      </c>
      <c r="O713">
        <v>0.79031165343310761</v>
      </c>
      <c r="P713">
        <v>181.06925302076701</v>
      </c>
      <c r="Q713">
        <v>3.1633090428820321</v>
      </c>
      <c r="R713" t="str">
        <f t="shared" si="22"/>
        <v>yes</v>
      </c>
      <c r="S713" t="str">
        <f t="shared" si="23"/>
        <v>yes</v>
      </c>
    </row>
    <row r="714" spans="1:19" x14ac:dyDescent="0.35">
      <c r="A714" s="1">
        <v>712</v>
      </c>
      <c r="B714" t="s">
        <v>75</v>
      </c>
      <c r="C714" t="s">
        <v>549</v>
      </c>
      <c r="D714" t="s">
        <v>691</v>
      </c>
      <c r="E714">
        <v>2.4632098765432109E-3</v>
      </c>
      <c r="F714">
        <v>1.0697377305398689E-3</v>
      </c>
      <c r="G714">
        <v>27</v>
      </c>
      <c r="H714" t="s">
        <v>58</v>
      </c>
      <c r="M714">
        <v>4.6026853376229492E-3</v>
      </c>
      <c r="N714">
        <v>3.2373441546347309E-4</v>
      </c>
      <c r="O714">
        <v>4.2789509221594756E-3</v>
      </c>
      <c r="P714">
        <v>2.3026297065357251</v>
      </c>
      <c r="R714" t="str">
        <f t="shared" si="22"/>
        <v>yes</v>
      </c>
      <c r="S714" t="str">
        <f t="shared" si="23"/>
        <v>no</v>
      </c>
    </row>
    <row r="715" spans="1:19" x14ac:dyDescent="0.35">
      <c r="A715" s="1">
        <v>713</v>
      </c>
      <c r="B715" t="s">
        <v>75</v>
      </c>
      <c r="C715" t="s">
        <v>549</v>
      </c>
      <c r="D715" t="s">
        <v>692</v>
      </c>
      <c r="E715">
        <v>0.99775444444444439</v>
      </c>
      <c r="F715">
        <v>2.7887551910855909E-3</v>
      </c>
      <c r="G715">
        <v>27</v>
      </c>
      <c r="H715" t="s">
        <v>58</v>
      </c>
      <c r="I715">
        <v>0.85</v>
      </c>
      <c r="J715">
        <v>1.2</v>
      </c>
      <c r="K715">
        <v>1.0249999999999999</v>
      </c>
      <c r="L715">
        <v>0.35</v>
      </c>
      <c r="M715">
        <v>1.003331954826616</v>
      </c>
      <c r="N715">
        <v>0.99217693406227325</v>
      </c>
      <c r="O715">
        <v>1.115502076434227E-2</v>
      </c>
      <c r="P715">
        <v>357.77770943603127</v>
      </c>
      <c r="Q715">
        <v>31.376006140553059</v>
      </c>
      <c r="R715" t="str">
        <f t="shared" si="22"/>
        <v>yes</v>
      </c>
      <c r="S715" t="str">
        <f t="shared" si="23"/>
        <v>yes</v>
      </c>
    </row>
    <row r="716" spans="1:19" x14ac:dyDescent="0.35">
      <c r="A716" s="1">
        <v>714</v>
      </c>
      <c r="B716" t="s">
        <v>75</v>
      </c>
      <c r="C716" t="s">
        <v>549</v>
      </c>
      <c r="D716" t="s">
        <v>693</v>
      </c>
      <c r="E716">
        <v>1.737037037037038E-3</v>
      </c>
      <c r="F716">
        <v>1.345623946890433E-3</v>
      </c>
      <c r="G716">
        <v>27</v>
      </c>
      <c r="H716" t="s">
        <v>58</v>
      </c>
      <c r="M716">
        <v>4.4282849308179039E-3</v>
      </c>
      <c r="N716">
        <v>-9.5421085674382805E-4</v>
      </c>
      <c r="O716">
        <v>5.3824957875617321E-3</v>
      </c>
      <c r="P716">
        <v>1.2908785110811321</v>
      </c>
      <c r="R716" t="str">
        <f t="shared" si="22"/>
        <v>yes</v>
      </c>
      <c r="S716" t="str">
        <f t="shared" si="23"/>
        <v>no</v>
      </c>
    </row>
    <row r="717" spans="1:19" x14ac:dyDescent="0.35">
      <c r="A717" s="1">
        <v>715</v>
      </c>
      <c r="B717" t="s">
        <v>75</v>
      </c>
      <c r="C717" t="s">
        <v>549</v>
      </c>
      <c r="D717" t="s">
        <v>694</v>
      </c>
      <c r="E717">
        <v>1.5024840740740739</v>
      </c>
      <c r="F717">
        <v>2.7057054846589242E-3</v>
      </c>
      <c r="G717">
        <v>27</v>
      </c>
      <c r="H717" t="s">
        <v>58</v>
      </c>
      <c r="I717">
        <v>1.35</v>
      </c>
      <c r="J717">
        <v>1.65</v>
      </c>
      <c r="K717">
        <v>1.5</v>
      </c>
      <c r="L717">
        <v>0.29999999999999982</v>
      </c>
      <c r="M717">
        <v>1.5078954850433921</v>
      </c>
      <c r="N717">
        <v>1.497072663104756</v>
      </c>
      <c r="O717">
        <v>1.082282193863549E-2</v>
      </c>
      <c r="P717">
        <v>555.30215043470412</v>
      </c>
      <c r="Q717">
        <v>27.71920315246571</v>
      </c>
      <c r="R717" t="str">
        <f t="shared" si="22"/>
        <v>yes</v>
      </c>
      <c r="S717" t="str">
        <f t="shared" si="23"/>
        <v>yes</v>
      </c>
    </row>
    <row r="718" spans="1:19" x14ac:dyDescent="0.35">
      <c r="A718" s="1">
        <v>716</v>
      </c>
      <c r="B718" t="s">
        <v>75</v>
      </c>
      <c r="C718" t="s">
        <v>549</v>
      </c>
      <c r="D718" t="s">
        <v>695</v>
      </c>
      <c r="E718">
        <v>2.2375432098765431E-2</v>
      </c>
      <c r="F718">
        <v>2.9466360448889332E-3</v>
      </c>
      <c r="G718">
        <v>27</v>
      </c>
      <c r="H718" t="s">
        <v>58</v>
      </c>
      <c r="M718">
        <v>2.8268704188543301E-2</v>
      </c>
      <c r="N718">
        <v>1.648216000898756E-2</v>
      </c>
      <c r="O718">
        <v>1.1786544179555729E-2</v>
      </c>
      <c r="P718">
        <v>7.5935513439389908</v>
      </c>
      <c r="R718" t="str">
        <f t="shared" si="22"/>
        <v>yes</v>
      </c>
      <c r="S718" t="str">
        <f t="shared" si="23"/>
        <v>no</v>
      </c>
    </row>
    <row r="719" spans="1:19" x14ac:dyDescent="0.35">
      <c r="A719" s="1">
        <v>717</v>
      </c>
      <c r="B719" t="s">
        <v>75</v>
      </c>
      <c r="C719" t="s">
        <v>549</v>
      </c>
      <c r="D719" t="s">
        <v>696</v>
      </c>
      <c r="E719">
        <v>35.940137530864199</v>
      </c>
      <c r="F719">
        <v>7.695296543022738E-2</v>
      </c>
      <c r="G719">
        <v>27</v>
      </c>
      <c r="H719" t="s">
        <v>58</v>
      </c>
      <c r="I719">
        <v>34.5</v>
      </c>
      <c r="J719">
        <v>37</v>
      </c>
      <c r="K719">
        <v>35.75</v>
      </c>
      <c r="L719">
        <v>2.5</v>
      </c>
      <c r="M719">
        <v>36.094043461724652</v>
      </c>
      <c r="N719">
        <v>35.786231600003752</v>
      </c>
      <c r="O719">
        <v>0.30781186172090708</v>
      </c>
      <c r="P719">
        <v>467.04031910831071</v>
      </c>
      <c r="Q719">
        <v>8.1218442525998196</v>
      </c>
      <c r="R719" t="str">
        <f t="shared" si="22"/>
        <v>yes</v>
      </c>
      <c r="S719" t="str">
        <f t="shared" si="23"/>
        <v>yes</v>
      </c>
    </row>
    <row r="720" spans="1:19" x14ac:dyDescent="0.35">
      <c r="A720" s="1">
        <v>718</v>
      </c>
      <c r="B720" t="s">
        <v>75</v>
      </c>
      <c r="C720" t="s">
        <v>549</v>
      </c>
      <c r="D720" t="s">
        <v>697</v>
      </c>
      <c r="E720">
        <v>3.299382716049383E-3</v>
      </c>
      <c r="F720">
        <v>2.1059835406161552E-3</v>
      </c>
      <c r="G720">
        <v>27</v>
      </c>
      <c r="H720" t="s">
        <v>58</v>
      </c>
      <c r="M720">
        <v>7.5113497972816934E-3</v>
      </c>
      <c r="N720">
        <v>-9.1258436518292744E-4</v>
      </c>
      <c r="O720">
        <v>8.4239341624646209E-3</v>
      </c>
      <c r="P720">
        <v>1.566670703933456</v>
      </c>
      <c r="R720" t="str">
        <f t="shared" si="22"/>
        <v>yes</v>
      </c>
      <c r="S720" t="str">
        <f t="shared" si="23"/>
        <v>no</v>
      </c>
    </row>
    <row r="721" spans="1:19" x14ac:dyDescent="0.35">
      <c r="A721" s="1">
        <v>719</v>
      </c>
      <c r="B721" t="s">
        <v>75</v>
      </c>
      <c r="C721" t="s">
        <v>549</v>
      </c>
      <c r="D721" t="s">
        <v>698</v>
      </c>
      <c r="E721">
        <v>0.99366950617283956</v>
      </c>
      <c r="F721">
        <v>5.4874983886365452E-3</v>
      </c>
      <c r="G721">
        <v>27</v>
      </c>
      <c r="H721" t="s">
        <v>58</v>
      </c>
      <c r="I721">
        <v>0.85</v>
      </c>
      <c r="J721">
        <v>1.2</v>
      </c>
      <c r="K721">
        <v>1.0249999999999999</v>
      </c>
      <c r="L721">
        <v>0.35</v>
      </c>
      <c r="M721">
        <v>1.004644502950113</v>
      </c>
      <c r="N721">
        <v>0.98269450939556646</v>
      </c>
      <c r="O721">
        <v>2.194999355454608E-2</v>
      </c>
      <c r="P721">
        <v>181.07877867090039</v>
      </c>
      <c r="Q721">
        <v>15.94533497835635</v>
      </c>
      <c r="R721" t="str">
        <f t="shared" si="22"/>
        <v>yes</v>
      </c>
      <c r="S721" t="str">
        <f t="shared" si="23"/>
        <v>yes</v>
      </c>
    </row>
    <row r="722" spans="1:19" x14ac:dyDescent="0.35">
      <c r="A722" s="1">
        <v>720</v>
      </c>
      <c r="B722" t="s">
        <v>75</v>
      </c>
      <c r="C722" t="s">
        <v>549</v>
      </c>
      <c r="D722" t="s">
        <v>699</v>
      </c>
      <c r="E722">
        <v>1.977654320987655E-3</v>
      </c>
      <c r="F722">
        <v>2.2623854497872838E-3</v>
      </c>
      <c r="G722">
        <v>27</v>
      </c>
      <c r="H722" t="s">
        <v>58</v>
      </c>
      <c r="M722">
        <v>6.5024252205622222E-3</v>
      </c>
      <c r="N722">
        <v>-2.5471165785869131E-3</v>
      </c>
      <c r="O722">
        <v>9.0495417991491352E-3</v>
      </c>
      <c r="P722">
        <v>0.87414561527241075</v>
      </c>
      <c r="R722" t="str">
        <f t="shared" si="22"/>
        <v>yes</v>
      </c>
      <c r="S722" t="str">
        <f t="shared" si="23"/>
        <v>no</v>
      </c>
    </row>
    <row r="723" spans="1:19" x14ac:dyDescent="0.35">
      <c r="A723" s="1">
        <v>721</v>
      </c>
      <c r="B723" t="s">
        <v>75</v>
      </c>
      <c r="C723" t="s">
        <v>549</v>
      </c>
      <c r="D723" t="s">
        <v>700</v>
      </c>
      <c r="E723">
        <v>1.499257160493827</v>
      </c>
      <c r="F723">
        <v>4.5969273603758756E-3</v>
      </c>
      <c r="G723">
        <v>27</v>
      </c>
      <c r="H723" t="s">
        <v>58</v>
      </c>
      <c r="I723">
        <v>1.35</v>
      </c>
      <c r="J723">
        <v>1.65</v>
      </c>
      <c r="K723">
        <v>1.5</v>
      </c>
      <c r="L723">
        <v>0.29999999999999982</v>
      </c>
      <c r="M723">
        <v>1.5084510152145789</v>
      </c>
      <c r="N723">
        <v>1.490063305773075</v>
      </c>
      <c r="O723">
        <v>1.8387709441503471E-2</v>
      </c>
      <c r="P723">
        <v>326.14332204092898</v>
      </c>
      <c r="Q723">
        <v>16.315245841489119</v>
      </c>
      <c r="R723" t="str">
        <f t="shared" si="22"/>
        <v>yes</v>
      </c>
      <c r="S723" t="str">
        <f t="shared" si="23"/>
        <v>yes</v>
      </c>
    </row>
    <row r="724" spans="1:19" x14ac:dyDescent="0.35">
      <c r="A724" s="1">
        <v>722</v>
      </c>
      <c r="B724" t="s">
        <v>75</v>
      </c>
      <c r="C724" t="s">
        <v>549</v>
      </c>
      <c r="D724" t="s">
        <v>701</v>
      </c>
      <c r="E724">
        <v>2.3967160493827151E-2</v>
      </c>
      <c r="F724">
        <v>1.7680543277693529E-3</v>
      </c>
      <c r="G724">
        <v>27</v>
      </c>
      <c r="H724" t="s">
        <v>58</v>
      </c>
      <c r="M724">
        <v>2.750326914936586E-2</v>
      </c>
      <c r="N724">
        <v>2.0431051838288441E-2</v>
      </c>
      <c r="O724">
        <v>7.0722173110774134E-3</v>
      </c>
      <c r="P724">
        <v>13.55566970844446</v>
      </c>
      <c r="R724" t="str">
        <f t="shared" si="22"/>
        <v>yes</v>
      </c>
      <c r="S724" t="str">
        <f t="shared" si="23"/>
        <v>no</v>
      </c>
    </row>
    <row r="725" spans="1:19" x14ac:dyDescent="0.35">
      <c r="A725" s="1">
        <v>723</v>
      </c>
      <c r="B725" t="s">
        <v>75</v>
      </c>
      <c r="C725" t="s">
        <v>549</v>
      </c>
      <c r="D725" t="s">
        <v>702</v>
      </c>
      <c r="E725">
        <v>35.839597037037038</v>
      </c>
      <c r="F725">
        <v>0.1032785801012797</v>
      </c>
      <c r="G725">
        <v>27</v>
      </c>
      <c r="H725" t="s">
        <v>58</v>
      </c>
      <c r="I725">
        <v>34.5</v>
      </c>
      <c r="J725">
        <v>37</v>
      </c>
      <c r="K725">
        <v>35.75</v>
      </c>
      <c r="L725">
        <v>2.5</v>
      </c>
      <c r="M725">
        <v>36.046154197239588</v>
      </c>
      <c r="N725">
        <v>35.633039876834481</v>
      </c>
      <c r="O725">
        <v>0.4131143204051142</v>
      </c>
      <c r="P725">
        <v>347.01868482207141</v>
      </c>
      <c r="Q725">
        <v>6.0515936546290954</v>
      </c>
      <c r="R725" t="str">
        <f t="shared" si="22"/>
        <v>yes</v>
      </c>
      <c r="S725" t="str">
        <f t="shared" si="23"/>
        <v>yes</v>
      </c>
    </row>
    <row r="726" spans="1:19" x14ac:dyDescent="0.35">
      <c r="A726" s="1">
        <v>724</v>
      </c>
      <c r="B726" t="s">
        <v>75</v>
      </c>
      <c r="C726" t="s">
        <v>549</v>
      </c>
      <c r="D726" t="s">
        <v>703</v>
      </c>
      <c r="E726">
        <v>1.806723333333333</v>
      </c>
      <c r="F726">
        <v>5.2415398700347534E-3</v>
      </c>
      <c r="G726">
        <v>27</v>
      </c>
      <c r="H726" t="s">
        <v>58</v>
      </c>
      <c r="I726">
        <v>1.62</v>
      </c>
      <c r="J726">
        <v>1.98</v>
      </c>
      <c r="K726">
        <v>1.8</v>
      </c>
      <c r="L726">
        <v>0.35999999999999988</v>
      </c>
      <c r="M726">
        <v>1.817206413073402</v>
      </c>
      <c r="N726">
        <v>1.796240253593264</v>
      </c>
      <c r="O726">
        <v>2.0966159480138909E-2</v>
      </c>
      <c r="P726">
        <v>344.6932348377527</v>
      </c>
      <c r="Q726">
        <v>17.17052664514096</v>
      </c>
      <c r="R726" t="str">
        <f t="shared" si="22"/>
        <v>yes</v>
      </c>
      <c r="S726" t="str">
        <f t="shared" si="23"/>
        <v>yes</v>
      </c>
    </row>
    <row r="727" spans="1:19" x14ac:dyDescent="0.35">
      <c r="A727" s="1">
        <v>725</v>
      </c>
      <c r="B727" t="s">
        <v>75</v>
      </c>
      <c r="C727" t="s">
        <v>549</v>
      </c>
      <c r="D727" t="s">
        <v>704</v>
      </c>
      <c r="E727">
        <v>3.3218148148148142E-2</v>
      </c>
      <c r="F727">
        <v>6.3278153603040059E-3</v>
      </c>
      <c r="G727">
        <v>27</v>
      </c>
      <c r="H727" t="s">
        <v>58</v>
      </c>
      <c r="M727">
        <v>4.5873778868756147E-2</v>
      </c>
      <c r="N727">
        <v>2.0562517427540131E-2</v>
      </c>
      <c r="O727">
        <v>2.531126144121602E-2</v>
      </c>
      <c r="P727">
        <v>5.2495444725732723</v>
      </c>
      <c r="R727" t="str">
        <f t="shared" si="22"/>
        <v>yes</v>
      </c>
      <c r="S727" t="str">
        <f t="shared" si="23"/>
        <v>no</v>
      </c>
    </row>
    <row r="728" spans="1:19" x14ac:dyDescent="0.35">
      <c r="A728" s="1">
        <v>726</v>
      </c>
      <c r="B728" t="s">
        <v>75</v>
      </c>
      <c r="C728" t="s">
        <v>549</v>
      </c>
      <c r="D728" t="s">
        <v>705</v>
      </c>
      <c r="E728">
        <v>3.6273580246913593E-2</v>
      </c>
      <c r="F728">
        <v>1.217961968853527E-2</v>
      </c>
      <c r="G728">
        <v>27</v>
      </c>
      <c r="H728" t="s">
        <v>58</v>
      </c>
      <c r="M728">
        <v>6.0632819623984133E-2</v>
      </c>
      <c r="N728">
        <v>1.1914340869843051E-2</v>
      </c>
      <c r="O728">
        <v>4.8718478754141079E-2</v>
      </c>
      <c r="P728">
        <v>2.9782194497467009</v>
      </c>
      <c r="R728" t="str">
        <f t="shared" si="22"/>
        <v>yes</v>
      </c>
      <c r="S728" t="str">
        <f t="shared" si="23"/>
        <v>no</v>
      </c>
    </row>
    <row r="729" spans="1:19" x14ac:dyDescent="0.35">
      <c r="A729" s="1">
        <v>727</v>
      </c>
      <c r="B729" t="s">
        <v>75</v>
      </c>
      <c r="C729" t="s">
        <v>549</v>
      </c>
      <c r="D729" t="s">
        <v>706</v>
      </c>
      <c r="E729">
        <v>3.6037901234567897E-2</v>
      </c>
      <c r="F729">
        <v>9.5375674789839205E-3</v>
      </c>
      <c r="G729">
        <v>27</v>
      </c>
      <c r="H729" t="s">
        <v>58</v>
      </c>
      <c r="M729">
        <v>5.5113036192535741E-2</v>
      </c>
      <c r="N729">
        <v>1.6962766276600059E-2</v>
      </c>
      <c r="O729">
        <v>3.8150269915935689E-2</v>
      </c>
      <c r="P729">
        <v>3.7785212334253568</v>
      </c>
      <c r="R729" t="str">
        <f t="shared" si="22"/>
        <v>yes</v>
      </c>
      <c r="S729" t="str">
        <f t="shared" si="23"/>
        <v>no</v>
      </c>
    </row>
    <row r="730" spans="1:19" x14ac:dyDescent="0.35">
      <c r="A730" s="1">
        <v>728</v>
      </c>
      <c r="B730" t="s">
        <v>75</v>
      </c>
      <c r="C730" t="s">
        <v>549</v>
      </c>
      <c r="D730" t="s">
        <v>707</v>
      </c>
      <c r="E730">
        <v>7.6070000000000013E-2</v>
      </c>
      <c r="F730">
        <v>7.7456883560344143E-3</v>
      </c>
      <c r="G730">
        <v>27</v>
      </c>
      <c r="H730" t="s">
        <v>58</v>
      </c>
      <c r="M730">
        <v>9.1561376712068848E-2</v>
      </c>
      <c r="N730">
        <v>6.0578623287931177E-2</v>
      </c>
      <c r="O730">
        <v>3.0982753424137661E-2</v>
      </c>
      <c r="P730">
        <v>9.8209476683549166</v>
      </c>
      <c r="R730" t="str">
        <f t="shared" si="22"/>
        <v>yes</v>
      </c>
      <c r="S730" t="str">
        <f t="shared" si="23"/>
        <v>no</v>
      </c>
    </row>
    <row r="731" spans="1:19" x14ac:dyDescent="0.35">
      <c r="A731" s="1">
        <v>729</v>
      </c>
      <c r="B731" t="s">
        <v>75</v>
      </c>
      <c r="C731" t="s">
        <v>549</v>
      </c>
      <c r="D731" t="s">
        <v>708</v>
      </c>
      <c r="E731">
        <v>3.9839616049382731</v>
      </c>
      <c r="F731">
        <v>7.594651207878474E-3</v>
      </c>
      <c r="G731">
        <v>27</v>
      </c>
      <c r="H731" t="s">
        <v>58</v>
      </c>
      <c r="I731">
        <v>3.6</v>
      </c>
      <c r="J731">
        <v>4.4000000000000004</v>
      </c>
      <c r="K731">
        <v>4</v>
      </c>
      <c r="L731">
        <v>0.80000000000000027</v>
      </c>
      <c r="M731">
        <v>3.9991509073540299</v>
      </c>
      <c r="N731">
        <v>3.9687723025225159</v>
      </c>
      <c r="O731">
        <v>3.0378604831513559E-2</v>
      </c>
      <c r="P731">
        <v>524.57466391681362</v>
      </c>
      <c r="Q731">
        <v>26.334323265896401</v>
      </c>
      <c r="R731" t="str">
        <f t="shared" si="22"/>
        <v>yes</v>
      </c>
      <c r="S731" t="str">
        <f t="shared" si="23"/>
        <v>yes</v>
      </c>
    </row>
    <row r="732" spans="1:19" x14ac:dyDescent="0.35">
      <c r="A732" s="1">
        <v>730</v>
      </c>
      <c r="B732" t="s">
        <v>75</v>
      </c>
      <c r="C732" t="s">
        <v>549</v>
      </c>
      <c r="D732" t="s">
        <v>709</v>
      </c>
      <c r="E732">
        <v>3.7445061728395047E-2</v>
      </c>
      <c r="F732">
        <v>4.4857279893036062E-3</v>
      </c>
      <c r="G732">
        <v>27</v>
      </c>
      <c r="H732" t="s">
        <v>58</v>
      </c>
      <c r="M732">
        <v>4.641651770700226E-2</v>
      </c>
      <c r="N732">
        <v>2.8473605749787839E-2</v>
      </c>
      <c r="O732">
        <v>1.7942911957214421E-2</v>
      </c>
      <c r="P732">
        <v>8.3475997246565683</v>
      </c>
      <c r="R732" t="str">
        <f t="shared" si="22"/>
        <v>yes</v>
      </c>
      <c r="S732" t="str">
        <f t="shared" si="23"/>
        <v>no</v>
      </c>
    </row>
    <row r="733" spans="1:19" x14ac:dyDescent="0.35">
      <c r="A733" s="1">
        <v>731</v>
      </c>
      <c r="B733" t="s">
        <v>75</v>
      </c>
      <c r="C733" t="s">
        <v>549</v>
      </c>
      <c r="D733" t="s">
        <v>710</v>
      </c>
      <c r="E733">
        <v>5.0425061728395053E-2</v>
      </c>
      <c r="F733">
        <v>1.485439844822496E-2</v>
      </c>
      <c r="G733">
        <v>27</v>
      </c>
      <c r="H733" t="s">
        <v>58</v>
      </c>
      <c r="M733">
        <v>8.013385862484497E-2</v>
      </c>
      <c r="N733">
        <v>2.0716264831945129E-2</v>
      </c>
      <c r="O733">
        <v>5.9417593792899827E-2</v>
      </c>
      <c r="P733">
        <v>3.394621593338278</v>
      </c>
      <c r="R733" t="str">
        <f t="shared" si="22"/>
        <v>yes</v>
      </c>
      <c r="S733" t="str">
        <f t="shared" si="23"/>
        <v>no</v>
      </c>
    </row>
    <row r="734" spans="1:19" x14ac:dyDescent="0.35">
      <c r="A734" s="1">
        <v>732</v>
      </c>
      <c r="B734" t="s">
        <v>75</v>
      </c>
      <c r="C734" t="s">
        <v>549</v>
      </c>
      <c r="D734" t="s">
        <v>711</v>
      </c>
      <c r="E734">
        <v>4.5436419753086418E-2</v>
      </c>
      <c r="F734">
        <v>1.061123877564092E-2</v>
      </c>
      <c r="G734">
        <v>27</v>
      </c>
      <c r="H734" t="s">
        <v>58</v>
      </c>
      <c r="M734">
        <v>6.6658897304368261E-2</v>
      </c>
      <c r="N734">
        <v>2.4213942201804579E-2</v>
      </c>
      <c r="O734">
        <v>4.2444955102563693E-2</v>
      </c>
      <c r="P734">
        <v>4.2819147428281346</v>
      </c>
      <c r="R734" t="str">
        <f t="shared" si="22"/>
        <v>yes</v>
      </c>
      <c r="S734" t="str">
        <f t="shared" si="23"/>
        <v>no</v>
      </c>
    </row>
    <row r="735" spans="1:19" x14ac:dyDescent="0.35">
      <c r="A735" s="1">
        <v>733</v>
      </c>
      <c r="B735" t="s">
        <v>75</v>
      </c>
      <c r="C735" t="s">
        <v>549</v>
      </c>
      <c r="D735" t="s">
        <v>712</v>
      </c>
      <c r="E735">
        <v>1.8039665432098759</v>
      </c>
      <c r="F735">
        <v>7.1978019726348774E-3</v>
      </c>
      <c r="G735">
        <v>27</v>
      </c>
      <c r="H735" t="s">
        <v>58</v>
      </c>
      <c r="I735">
        <v>1.62</v>
      </c>
      <c r="J735">
        <v>1.98</v>
      </c>
      <c r="K735">
        <v>1.8</v>
      </c>
      <c r="L735">
        <v>0.35999999999999988</v>
      </c>
      <c r="M735">
        <v>1.8183621471551461</v>
      </c>
      <c r="N735">
        <v>1.789570939264606</v>
      </c>
      <c r="O735">
        <v>2.8791207890539461E-2</v>
      </c>
      <c r="P735">
        <v>250.6274207137576</v>
      </c>
      <c r="Q735">
        <v>12.50381718504741</v>
      </c>
      <c r="R735" t="str">
        <f t="shared" si="22"/>
        <v>yes</v>
      </c>
      <c r="S735" t="str">
        <f t="shared" si="23"/>
        <v>yes</v>
      </c>
    </row>
    <row r="736" spans="1:19" x14ac:dyDescent="0.35">
      <c r="A736" s="1">
        <v>734</v>
      </c>
      <c r="B736" t="s">
        <v>75</v>
      </c>
      <c r="C736" t="s">
        <v>549</v>
      </c>
      <c r="D736" t="s">
        <v>713</v>
      </c>
      <c r="E736">
        <v>3.6258518518518523E-2</v>
      </c>
      <c r="F736">
        <v>4.7041342286279477E-3</v>
      </c>
      <c r="G736">
        <v>27</v>
      </c>
      <c r="H736" t="s">
        <v>58</v>
      </c>
      <c r="M736">
        <v>4.566678697577442E-2</v>
      </c>
      <c r="N736">
        <v>2.685025006126263E-2</v>
      </c>
      <c r="O736">
        <v>1.8816536914511791E-2</v>
      </c>
      <c r="P736">
        <v>7.7077984505331658</v>
      </c>
      <c r="R736" t="str">
        <f t="shared" si="22"/>
        <v>yes</v>
      </c>
      <c r="S736" t="str">
        <f t="shared" si="23"/>
        <v>no</v>
      </c>
    </row>
    <row r="737" spans="1:19" x14ac:dyDescent="0.35">
      <c r="A737" s="1">
        <v>735</v>
      </c>
      <c r="B737" t="s">
        <v>75</v>
      </c>
      <c r="C737" t="s">
        <v>549</v>
      </c>
      <c r="D737" t="s">
        <v>714</v>
      </c>
      <c r="E737">
        <v>4.0405925925925928E-2</v>
      </c>
      <c r="F737">
        <v>6.7507426539421076E-3</v>
      </c>
      <c r="G737">
        <v>27</v>
      </c>
      <c r="H737" t="s">
        <v>58</v>
      </c>
      <c r="M737">
        <v>5.390741123381014E-2</v>
      </c>
      <c r="N737">
        <v>2.690444061804171E-2</v>
      </c>
      <c r="O737">
        <v>2.700297061576843E-2</v>
      </c>
      <c r="P737">
        <v>5.985404569130008</v>
      </c>
      <c r="R737" t="str">
        <f t="shared" si="22"/>
        <v>yes</v>
      </c>
      <c r="S737" t="str">
        <f t="shared" si="23"/>
        <v>no</v>
      </c>
    </row>
    <row r="738" spans="1:19" x14ac:dyDescent="0.35">
      <c r="A738" s="1">
        <v>736</v>
      </c>
      <c r="B738" t="s">
        <v>75</v>
      </c>
      <c r="C738" t="s">
        <v>549</v>
      </c>
      <c r="D738" t="s">
        <v>715</v>
      </c>
      <c r="E738">
        <v>3.8045308641975313E-2</v>
      </c>
      <c r="F738">
        <v>6.6483513311045841E-3</v>
      </c>
      <c r="G738">
        <v>27</v>
      </c>
      <c r="H738" t="s">
        <v>58</v>
      </c>
      <c r="M738">
        <v>5.1342011304184483E-2</v>
      </c>
      <c r="N738">
        <v>2.474860597976614E-2</v>
      </c>
      <c r="O738">
        <v>2.659340532441834E-2</v>
      </c>
      <c r="P738">
        <v>5.7225177712824502</v>
      </c>
      <c r="R738" t="str">
        <f t="shared" si="22"/>
        <v>yes</v>
      </c>
      <c r="S738" t="str">
        <f t="shared" si="23"/>
        <v>no</v>
      </c>
    </row>
    <row r="739" spans="1:19" x14ac:dyDescent="0.35">
      <c r="A739" s="1">
        <v>737</v>
      </c>
      <c r="B739" t="s">
        <v>75</v>
      </c>
      <c r="C739" t="s">
        <v>549</v>
      </c>
      <c r="D739" t="s">
        <v>716</v>
      </c>
      <c r="E739">
        <v>7.6438518518518517E-2</v>
      </c>
      <c r="F739">
        <v>7.1647435603355578E-3</v>
      </c>
      <c r="G739">
        <v>27</v>
      </c>
      <c r="H739" t="s">
        <v>58</v>
      </c>
      <c r="M739">
        <v>9.0768005639189631E-2</v>
      </c>
      <c r="N739">
        <v>6.2109031397847403E-2</v>
      </c>
      <c r="O739">
        <v>2.8658974241342231E-2</v>
      </c>
      <c r="P739">
        <v>10.66870263741003</v>
      </c>
      <c r="R739" t="str">
        <f t="shared" si="22"/>
        <v>yes</v>
      </c>
      <c r="S739" t="str">
        <f t="shared" si="23"/>
        <v>no</v>
      </c>
    </row>
    <row r="740" spans="1:19" x14ac:dyDescent="0.35">
      <c r="A740" s="1">
        <v>738</v>
      </c>
      <c r="B740" t="s">
        <v>75</v>
      </c>
      <c r="C740" t="s">
        <v>549</v>
      </c>
      <c r="D740" t="s">
        <v>717</v>
      </c>
      <c r="E740">
        <v>3.977560987654321</v>
      </c>
      <c r="F740">
        <v>1.451325423424152E-2</v>
      </c>
      <c r="G740">
        <v>27</v>
      </c>
      <c r="H740" t="s">
        <v>58</v>
      </c>
      <c r="I740">
        <v>3.6</v>
      </c>
      <c r="J740">
        <v>4.4000000000000004</v>
      </c>
      <c r="K740">
        <v>4</v>
      </c>
      <c r="L740">
        <v>0.80000000000000027</v>
      </c>
      <c r="M740">
        <v>4.0065874961228038</v>
      </c>
      <c r="N740">
        <v>3.9485344791858381</v>
      </c>
      <c r="O740">
        <v>5.805301693696574E-2</v>
      </c>
      <c r="P740">
        <v>274.06403301817397</v>
      </c>
      <c r="Q740">
        <v>13.78050689197849</v>
      </c>
      <c r="R740" t="str">
        <f t="shared" si="22"/>
        <v>yes</v>
      </c>
      <c r="S740" t="str">
        <f t="shared" si="23"/>
        <v>yes</v>
      </c>
    </row>
    <row r="741" spans="1:19" x14ac:dyDescent="0.35">
      <c r="A741" s="1">
        <v>739</v>
      </c>
      <c r="B741" t="s">
        <v>75</v>
      </c>
      <c r="C741" t="s">
        <v>549</v>
      </c>
      <c r="D741" t="s">
        <v>718</v>
      </c>
      <c r="E741">
        <v>3.9777407407407407E-2</v>
      </c>
      <c r="F741">
        <v>6.7755453653424559E-3</v>
      </c>
      <c r="G741">
        <v>27</v>
      </c>
      <c r="H741" t="s">
        <v>58</v>
      </c>
      <c r="M741">
        <v>5.3328498138092317E-2</v>
      </c>
      <c r="N741">
        <v>2.62263166767225E-2</v>
      </c>
      <c r="O741">
        <v>2.710218146136982E-2</v>
      </c>
      <c r="P741">
        <v>5.8707314706905427</v>
      </c>
      <c r="R741" t="str">
        <f t="shared" si="22"/>
        <v>yes</v>
      </c>
      <c r="S741" t="str">
        <f t="shared" si="23"/>
        <v>no</v>
      </c>
    </row>
    <row r="742" spans="1:19" x14ac:dyDescent="0.35">
      <c r="A742" s="1">
        <v>740</v>
      </c>
      <c r="B742" t="s">
        <v>75</v>
      </c>
      <c r="C742" t="s">
        <v>549</v>
      </c>
      <c r="D742" t="s">
        <v>719</v>
      </c>
      <c r="E742">
        <v>4.541382716049383E-2</v>
      </c>
      <c r="F742">
        <v>8.2224254231210957E-3</v>
      </c>
      <c r="G742">
        <v>27</v>
      </c>
      <c r="H742" t="s">
        <v>58</v>
      </c>
      <c r="M742">
        <v>6.1858678006736022E-2</v>
      </c>
      <c r="N742">
        <v>2.8968976314251639E-2</v>
      </c>
      <c r="O742">
        <v>3.2889701692484383E-2</v>
      </c>
      <c r="P742">
        <v>5.5231668058420036</v>
      </c>
      <c r="R742" t="str">
        <f t="shared" si="22"/>
        <v>yes</v>
      </c>
      <c r="S742" t="str">
        <f t="shared" si="23"/>
        <v>no</v>
      </c>
    </row>
    <row r="743" spans="1:19" x14ac:dyDescent="0.35">
      <c r="A743" s="1">
        <v>741</v>
      </c>
      <c r="B743" t="s">
        <v>75</v>
      </c>
      <c r="C743" t="s">
        <v>549</v>
      </c>
      <c r="D743" t="s">
        <v>720</v>
      </c>
      <c r="E743">
        <v>4.1947283950617288E-2</v>
      </c>
      <c r="F743">
        <v>8.5440265632841794E-3</v>
      </c>
      <c r="G743">
        <v>27</v>
      </c>
      <c r="H743" t="s">
        <v>58</v>
      </c>
      <c r="M743">
        <v>5.9035337077185647E-2</v>
      </c>
      <c r="N743">
        <v>2.4859230824048929E-2</v>
      </c>
      <c r="O743">
        <v>3.4176106253136718E-2</v>
      </c>
      <c r="P743">
        <v>4.9095451237096182</v>
      </c>
      <c r="R743" t="str">
        <f t="shared" si="22"/>
        <v>yes</v>
      </c>
      <c r="S743" t="str">
        <f t="shared" si="23"/>
        <v>no</v>
      </c>
    </row>
    <row r="744" spans="1:19" x14ac:dyDescent="0.35">
      <c r="A744" s="1">
        <v>742</v>
      </c>
      <c r="B744" t="s">
        <v>75</v>
      </c>
      <c r="C744" t="s">
        <v>549</v>
      </c>
      <c r="D744" t="s">
        <v>721</v>
      </c>
      <c r="E744">
        <v>1.8073348148148149</v>
      </c>
      <c r="F744">
        <v>5.8187039722674382E-3</v>
      </c>
      <c r="G744">
        <v>27</v>
      </c>
      <c r="H744" t="s">
        <v>58</v>
      </c>
      <c r="I744">
        <v>1.62</v>
      </c>
      <c r="J744">
        <v>1.98</v>
      </c>
      <c r="K744">
        <v>1.8</v>
      </c>
      <c r="L744">
        <v>0.35999999999999988</v>
      </c>
      <c r="M744">
        <v>1.8189722227593501</v>
      </c>
      <c r="N744">
        <v>1.79569740687028</v>
      </c>
      <c r="O744">
        <v>2.3274815889069881E-2</v>
      </c>
      <c r="P744">
        <v>310.60779572715239</v>
      </c>
      <c r="Q744">
        <v>15.467361877997069</v>
      </c>
      <c r="R744" t="str">
        <f t="shared" si="22"/>
        <v>yes</v>
      </c>
      <c r="S744" t="str">
        <f t="shared" si="23"/>
        <v>yes</v>
      </c>
    </row>
    <row r="745" spans="1:19" x14ac:dyDescent="0.35">
      <c r="A745" s="1">
        <v>743</v>
      </c>
      <c r="B745" t="s">
        <v>75</v>
      </c>
      <c r="C745" t="s">
        <v>549</v>
      </c>
      <c r="D745" t="s">
        <v>722</v>
      </c>
      <c r="E745">
        <v>3.4503456790123448E-2</v>
      </c>
      <c r="F745">
        <v>8.1759519094031542E-3</v>
      </c>
      <c r="G745">
        <v>27</v>
      </c>
      <c r="H745" t="s">
        <v>58</v>
      </c>
      <c r="M745">
        <v>5.0855360608929763E-2</v>
      </c>
      <c r="N745">
        <v>1.8151552971317139E-2</v>
      </c>
      <c r="O745">
        <v>3.2703807637612617E-2</v>
      </c>
      <c r="P745">
        <v>4.2201149385970647</v>
      </c>
      <c r="R745" t="str">
        <f t="shared" si="22"/>
        <v>yes</v>
      </c>
      <c r="S745" t="str">
        <f t="shared" si="23"/>
        <v>no</v>
      </c>
    </row>
    <row r="746" spans="1:19" x14ac:dyDescent="0.35">
      <c r="A746" s="1">
        <v>744</v>
      </c>
      <c r="B746" t="s">
        <v>75</v>
      </c>
      <c r="C746" t="s">
        <v>549</v>
      </c>
      <c r="D746" t="s">
        <v>723</v>
      </c>
      <c r="E746">
        <v>3.588518518518518E-2</v>
      </c>
      <c r="F746">
        <v>1.259914273255156E-2</v>
      </c>
      <c r="G746">
        <v>27</v>
      </c>
      <c r="H746" t="s">
        <v>58</v>
      </c>
      <c r="M746">
        <v>6.1083470650288303E-2</v>
      </c>
      <c r="N746">
        <v>1.068689972008206E-2</v>
      </c>
      <c r="O746">
        <v>5.0396570930206233E-2</v>
      </c>
      <c r="P746">
        <v>2.848224355175454</v>
      </c>
      <c r="R746" t="str">
        <f t="shared" si="22"/>
        <v>yes</v>
      </c>
      <c r="S746" t="str">
        <f t="shared" si="23"/>
        <v>no</v>
      </c>
    </row>
    <row r="747" spans="1:19" x14ac:dyDescent="0.35">
      <c r="A747" s="1">
        <v>745</v>
      </c>
      <c r="B747" t="s">
        <v>75</v>
      </c>
      <c r="C747" t="s">
        <v>549</v>
      </c>
      <c r="D747" t="s">
        <v>724</v>
      </c>
      <c r="E747">
        <v>3.3275061728395061E-2</v>
      </c>
      <c r="F747">
        <v>6.6219385454230929E-3</v>
      </c>
      <c r="G747">
        <v>27</v>
      </c>
      <c r="H747" t="s">
        <v>58</v>
      </c>
      <c r="M747">
        <v>4.6518938819241247E-2</v>
      </c>
      <c r="N747">
        <v>2.0031184637548879E-2</v>
      </c>
      <c r="O747">
        <v>2.6487754181692372E-2</v>
      </c>
      <c r="P747">
        <v>5.0249728988188664</v>
      </c>
      <c r="R747" t="str">
        <f t="shared" si="22"/>
        <v>yes</v>
      </c>
      <c r="S747" t="str">
        <f t="shared" si="23"/>
        <v>no</v>
      </c>
    </row>
    <row r="748" spans="1:19" x14ac:dyDescent="0.35">
      <c r="A748" s="1">
        <v>746</v>
      </c>
      <c r="B748" t="s">
        <v>75</v>
      </c>
      <c r="C748" t="s">
        <v>549</v>
      </c>
      <c r="D748" t="s">
        <v>725</v>
      </c>
      <c r="E748">
        <v>7.6013456790123446E-2</v>
      </c>
      <c r="F748">
        <v>8.3465200667384408E-3</v>
      </c>
      <c r="G748">
        <v>27</v>
      </c>
      <c r="H748" t="s">
        <v>58</v>
      </c>
      <c r="M748">
        <v>9.2706496923600334E-2</v>
      </c>
      <c r="N748">
        <v>5.9320416656646557E-2</v>
      </c>
      <c r="O748">
        <v>3.338608026695377E-2</v>
      </c>
      <c r="P748">
        <v>9.1072035030555103</v>
      </c>
      <c r="R748" t="str">
        <f t="shared" si="22"/>
        <v>yes</v>
      </c>
      <c r="S748" t="str">
        <f t="shared" si="23"/>
        <v>no</v>
      </c>
    </row>
    <row r="749" spans="1:19" x14ac:dyDescent="0.35">
      <c r="A749" s="1">
        <v>747</v>
      </c>
      <c r="B749" t="s">
        <v>75</v>
      </c>
      <c r="C749" t="s">
        <v>549</v>
      </c>
      <c r="D749" t="s">
        <v>726</v>
      </c>
      <c r="E749">
        <v>3.9812565432098759</v>
      </c>
      <c r="F749">
        <v>8.505642557393946E-3</v>
      </c>
      <c r="G749">
        <v>27</v>
      </c>
      <c r="H749" t="s">
        <v>58</v>
      </c>
      <c r="I749">
        <v>3.6</v>
      </c>
      <c r="J749">
        <v>4.4000000000000004</v>
      </c>
      <c r="K749">
        <v>4</v>
      </c>
      <c r="L749">
        <v>0.80000000000000027</v>
      </c>
      <c r="M749">
        <v>3.9982678283246642</v>
      </c>
      <c r="N749">
        <v>3.964245258095088</v>
      </c>
      <c r="O749">
        <v>3.4022570229575777E-2</v>
      </c>
      <c r="P749">
        <v>468.07240209606198</v>
      </c>
      <c r="Q749">
        <v>23.51380259050979</v>
      </c>
      <c r="R749" t="str">
        <f t="shared" si="22"/>
        <v>yes</v>
      </c>
      <c r="S749" t="str">
        <f t="shared" si="23"/>
        <v>yes</v>
      </c>
    </row>
    <row r="750" spans="1:19" x14ac:dyDescent="0.35">
      <c r="A750" s="1">
        <v>748</v>
      </c>
      <c r="B750" t="s">
        <v>75</v>
      </c>
      <c r="C750" t="s">
        <v>549</v>
      </c>
      <c r="D750" t="s">
        <v>727</v>
      </c>
      <c r="E750">
        <v>4.3585679012345682E-2</v>
      </c>
      <c r="F750">
        <v>9.0869608898960005E-3</v>
      </c>
      <c r="G750">
        <v>27</v>
      </c>
      <c r="H750" t="s">
        <v>58</v>
      </c>
      <c r="M750">
        <v>6.1759600792137687E-2</v>
      </c>
      <c r="N750">
        <v>2.5411757232553681E-2</v>
      </c>
      <c r="O750">
        <v>3.6347843559584009E-2</v>
      </c>
      <c r="P750">
        <v>4.7965078248338884</v>
      </c>
      <c r="R750" t="str">
        <f t="shared" si="22"/>
        <v>yes</v>
      </c>
      <c r="S750" t="str">
        <f t="shared" si="23"/>
        <v>no</v>
      </c>
    </row>
    <row r="751" spans="1:19" x14ac:dyDescent="0.35">
      <c r="A751" s="1">
        <v>749</v>
      </c>
      <c r="B751" t="s">
        <v>75</v>
      </c>
      <c r="C751" t="s">
        <v>549</v>
      </c>
      <c r="D751" t="s">
        <v>728</v>
      </c>
      <c r="E751">
        <v>4.4747777777777782E-2</v>
      </c>
      <c r="F751">
        <v>1.033605841424629E-2</v>
      </c>
      <c r="G751">
        <v>27</v>
      </c>
      <c r="H751" t="s">
        <v>58</v>
      </c>
      <c r="M751">
        <v>6.541989460627036E-2</v>
      </c>
      <c r="N751">
        <v>2.4075660949285201E-2</v>
      </c>
      <c r="O751">
        <v>4.1344233656985148E-2</v>
      </c>
      <c r="P751">
        <v>4.3292883983803234</v>
      </c>
      <c r="R751" t="str">
        <f t="shared" si="22"/>
        <v>yes</v>
      </c>
      <c r="S751" t="str">
        <f t="shared" si="23"/>
        <v>no</v>
      </c>
    </row>
    <row r="752" spans="1:19" x14ac:dyDescent="0.35">
      <c r="A752" s="1">
        <v>750</v>
      </c>
      <c r="B752" t="s">
        <v>75</v>
      </c>
      <c r="C752" t="s">
        <v>549</v>
      </c>
      <c r="D752" t="s">
        <v>729</v>
      </c>
      <c r="E752">
        <v>4.1697777777777778E-2</v>
      </c>
      <c r="F752">
        <v>8.557087049730178E-3</v>
      </c>
      <c r="G752">
        <v>27</v>
      </c>
      <c r="H752" t="s">
        <v>58</v>
      </c>
      <c r="M752">
        <v>5.8811951877238131E-2</v>
      </c>
      <c r="N752">
        <v>2.4583603678317419E-2</v>
      </c>
      <c r="O752">
        <v>3.4228348198920712E-2</v>
      </c>
      <c r="P752">
        <v>4.8728939574235826</v>
      </c>
      <c r="R752" t="str">
        <f t="shared" si="22"/>
        <v>yes</v>
      </c>
      <c r="S752" t="str">
        <f t="shared" si="23"/>
        <v>no</v>
      </c>
    </row>
    <row r="753" spans="1:19" x14ac:dyDescent="0.35">
      <c r="A753" s="1">
        <v>751</v>
      </c>
      <c r="B753" t="s">
        <v>75</v>
      </c>
      <c r="C753" t="s">
        <v>549</v>
      </c>
      <c r="D753" t="s">
        <v>730</v>
      </c>
      <c r="E753">
        <v>4.6143209876543219E-3</v>
      </c>
      <c r="F753">
        <v>2.217422103422146E-3</v>
      </c>
      <c r="G753">
        <v>27</v>
      </c>
      <c r="H753" t="s">
        <v>58</v>
      </c>
      <c r="M753">
        <v>9.049165194498613E-3</v>
      </c>
      <c r="N753">
        <v>1.7947678081002989E-4</v>
      </c>
      <c r="O753">
        <v>8.869688413688584E-3</v>
      </c>
      <c r="P753">
        <v>2.080939384762623</v>
      </c>
      <c r="R753" t="str">
        <f t="shared" si="22"/>
        <v>yes</v>
      </c>
      <c r="S753" t="str">
        <f t="shared" si="23"/>
        <v>no</v>
      </c>
    </row>
    <row r="754" spans="1:19" x14ac:dyDescent="0.35">
      <c r="A754" s="1">
        <v>752</v>
      </c>
      <c r="B754" t="s">
        <v>75</v>
      </c>
      <c r="C754" t="s">
        <v>549</v>
      </c>
      <c r="D754" t="s">
        <v>731</v>
      </c>
      <c r="E754">
        <v>0.99582679012345665</v>
      </c>
      <c r="F754">
        <v>1.0176934366357489E-3</v>
      </c>
      <c r="G754">
        <v>27</v>
      </c>
      <c r="H754" t="s">
        <v>58</v>
      </c>
      <c r="I754">
        <v>0.85</v>
      </c>
      <c r="J754">
        <v>1.2</v>
      </c>
      <c r="K754">
        <v>1.0249999999999999</v>
      </c>
      <c r="L754">
        <v>0.35</v>
      </c>
      <c r="M754">
        <v>0.99786217699672819</v>
      </c>
      <c r="N754">
        <v>0.99379140325018511</v>
      </c>
      <c r="O754">
        <v>4.0707737465430771E-3</v>
      </c>
      <c r="P754">
        <v>978.51352310517188</v>
      </c>
      <c r="Q754">
        <v>85.978740601150292</v>
      </c>
      <c r="R754" t="str">
        <f t="shared" si="22"/>
        <v>yes</v>
      </c>
      <c r="S754" t="str">
        <f t="shared" si="23"/>
        <v>yes</v>
      </c>
    </row>
    <row r="755" spans="1:19" x14ac:dyDescent="0.35">
      <c r="A755" s="1">
        <v>753</v>
      </c>
      <c r="B755" t="s">
        <v>75</v>
      </c>
      <c r="C755" t="s">
        <v>549</v>
      </c>
      <c r="D755" t="s">
        <v>732</v>
      </c>
      <c r="E755">
        <v>2.5534567901234579E-3</v>
      </c>
      <c r="F755">
        <v>1.360844902337848E-3</v>
      </c>
      <c r="G755">
        <v>27</v>
      </c>
      <c r="H755" t="s">
        <v>58</v>
      </c>
      <c r="M755">
        <v>5.275146594799154E-3</v>
      </c>
      <c r="N755">
        <v>-1.6823301455223821E-4</v>
      </c>
      <c r="O755">
        <v>5.4433796093513922E-3</v>
      </c>
      <c r="P755">
        <v>1.8763760555936799</v>
      </c>
      <c r="R755" t="str">
        <f t="shared" si="22"/>
        <v>yes</v>
      </c>
      <c r="S755" t="str">
        <f t="shared" si="23"/>
        <v>no</v>
      </c>
    </row>
    <row r="756" spans="1:19" x14ac:dyDescent="0.35">
      <c r="A756" s="1">
        <v>754</v>
      </c>
      <c r="B756" t="s">
        <v>75</v>
      </c>
      <c r="C756" t="s">
        <v>549</v>
      </c>
      <c r="D756" t="s">
        <v>733</v>
      </c>
      <c r="E756">
        <v>1.500533086419753</v>
      </c>
      <c r="F756">
        <v>3.5703751038163268E-3</v>
      </c>
      <c r="G756">
        <v>27</v>
      </c>
      <c r="H756" t="s">
        <v>58</v>
      </c>
      <c r="I756">
        <v>1.35</v>
      </c>
      <c r="J756">
        <v>1.65</v>
      </c>
      <c r="K756">
        <v>1.5</v>
      </c>
      <c r="L756">
        <v>0.29999999999999982</v>
      </c>
      <c r="M756">
        <v>1.5076738366273861</v>
      </c>
      <c r="N756">
        <v>1.49339233621212</v>
      </c>
      <c r="O756">
        <v>1.428150041526521E-2</v>
      </c>
      <c r="P756">
        <v>420.27323258440072</v>
      </c>
      <c r="Q756">
        <v>21.006196217264101</v>
      </c>
      <c r="R756" t="str">
        <f t="shared" si="22"/>
        <v>yes</v>
      </c>
      <c r="S756" t="str">
        <f t="shared" si="23"/>
        <v>yes</v>
      </c>
    </row>
    <row r="757" spans="1:19" x14ac:dyDescent="0.35">
      <c r="A757" s="1">
        <v>755</v>
      </c>
      <c r="B757" t="s">
        <v>75</v>
      </c>
      <c r="C757" t="s">
        <v>549</v>
      </c>
      <c r="D757" t="s">
        <v>734</v>
      </c>
      <c r="E757">
        <v>2.2228395061728402E-2</v>
      </c>
      <c r="F757">
        <v>2.9972581151869061E-3</v>
      </c>
      <c r="G757">
        <v>27</v>
      </c>
      <c r="H757" t="s">
        <v>58</v>
      </c>
      <c r="M757">
        <v>2.822291129210221E-2</v>
      </c>
      <c r="N757">
        <v>1.623387883135459E-2</v>
      </c>
      <c r="O757">
        <v>1.1989032460747621E-2</v>
      </c>
      <c r="P757">
        <v>7.416243182093198</v>
      </c>
      <c r="R757" t="str">
        <f t="shared" si="22"/>
        <v>yes</v>
      </c>
      <c r="S757" t="str">
        <f t="shared" si="23"/>
        <v>no</v>
      </c>
    </row>
    <row r="758" spans="1:19" x14ac:dyDescent="0.35">
      <c r="A758" s="1">
        <v>756</v>
      </c>
      <c r="B758" t="s">
        <v>75</v>
      </c>
      <c r="C758" t="s">
        <v>549</v>
      </c>
      <c r="D758" t="s">
        <v>735</v>
      </c>
      <c r="E758">
        <v>35.87645666666667</v>
      </c>
      <c r="F758">
        <v>9.5812255840649299E-2</v>
      </c>
      <c r="G758">
        <v>27</v>
      </c>
      <c r="H758" t="s">
        <v>58</v>
      </c>
      <c r="I758">
        <v>34.5</v>
      </c>
      <c r="J758">
        <v>37</v>
      </c>
      <c r="K758">
        <v>35.75</v>
      </c>
      <c r="L758">
        <v>2.5</v>
      </c>
      <c r="M758">
        <v>36.068081178347967</v>
      </c>
      <c r="N758">
        <v>35.684832154985372</v>
      </c>
      <c r="O758">
        <v>0.3832490233625947</v>
      </c>
      <c r="P758">
        <v>374.44538124991863</v>
      </c>
      <c r="Q758">
        <v>6.5231738311169334</v>
      </c>
      <c r="R758" t="str">
        <f t="shared" si="22"/>
        <v>yes</v>
      </c>
      <c r="S758" t="str">
        <f t="shared" si="23"/>
        <v>yes</v>
      </c>
    </row>
    <row r="759" spans="1:19" x14ac:dyDescent="0.35">
      <c r="A759" s="1">
        <v>757</v>
      </c>
      <c r="B759" t="s">
        <v>75</v>
      </c>
      <c r="C759" t="s">
        <v>549</v>
      </c>
      <c r="D759" t="s">
        <v>736</v>
      </c>
      <c r="E759">
        <v>3.8187654320987661E-3</v>
      </c>
      <c r="F759">
        <v>2.256064984931385E-3</v>
      </c>
      <c r="G759">
        <v>27</v>
      </c>
      <c r="H759" t="s">
        <v>58</v>
      </c>
      <c r="M759">
        <v>8.3308954019615366E-3</v>
      </c>
      <c r="N759">
        <v>-6.9336453776400403E-4</v>
      </c>
      <c r="O759">
        <v>9.0242599397255402E-3</v>
      </c>
      <c r="P759">
        <v>1.692666415907744</v>
      </c>
      <c r="R759" t="str">
        <f t="shared" si="22"/>
        <v>yes</v>
      </c>
      <c r="S759" t="str">
        <f t="shared" si="23"/>
        <v>no</v>
      </c>
    </row>
    <row r="760" spans="1:19" x14ac:dyDescent="0.35">
      <c r="A760" s="1">
        <v>758</v>
      </c>
      <c r="B760" t="s">
        <v>75</v>
      </c>
      <c r="C760" t="s">
        <v>549</v>
      </c>
      <c r="D760" t="s">
        <v>737</v>
      </c>
      <c r="E760">
        <v>0.99586172839506149</v>
      </c>
      <c r="F760">
        <v>1.189422956841209E-3</v>
      </c>
      <c r="G760">
        <v>27</v>
      </c>
      <c r="H760" t="s">
        <v>58</v>
      </c>
      <c r="I760">
        <v>0.85</v>
      </c>
      <c r="J760">
        <v>1.2</v>
      </c>
      <c r="K760">
        <v>1.0249999999999999</v>
      </c>
      <c r="L760">
        <v>0.35</v>
      </c>
      <c r="M760">
        <v>0.99824057430874391</v>
      </c>
      <c r="N760">
        <v>0.99348288248137906</v>
      </c>
      <c r="O760">
        <v>4.7576918273648516E-3</v>
      </c>
      <c r="P760">
        <v>837.26459344605667</v>
      </c>
      <c r="Q760">
        <v>73.565084225695827</v>
      </c>
      <c r="R760" t="str">
        <f t="shared" si="22"/>
        <v>yes</v>
      </c>
      <c r="S760" t="str">
        <f t="shared" si="23"/>
        <v>yes</v>
      </c>
    </row>
    <row r="761" spans="1:19" x14ac:dyDescent="0.35">
      <c r="A761" s="1">
        <v>759</v>
      </c>
      <c r="B761" t="s">
        <v>75</v>
      </c>
      <c r="C761" t="s">
        <v>549</v>
      </c>
      <c r="D761" t="s">
        <v>738</v>
      </c>
      <c r="E761">
        <v>2.9445679012345678E-3</v>
      </c>
      <c r="F761">
        <v>1.5388440735853259E-3</v>
      </c>
      <c r="G761">
        <v>27</v>
      </c>
      <c r="H761" t="s">
        <v>58</v>
      </c>
      <c r="M761">
        <v>6.0222560484052192E-3</v>
      </c>
      <c r="N761">
        <v>-1.33120245936084E-4</v>
      </c>
      <c r="O761">
        <v>6.1553762943413037E-3</v>
      </c>
      <c r="P761">
        <v>1.91349334983243</v>
      </c>
      <c r="R761" t="str">
        <f t="shared" si="22"/>
        <v>yes</v>
      </c>
      <c r="S761" t="str">
        <f t="shared" si="23"/>
        <v>no</v>
      </c>
    </row>
    <row r="762" spans="1:19" x14ac:dyDescent="0.35">
      <c r="A762" s="1">
        <v>760</v>
      </c>
      <c r="B762" t="s">
        <v>75</v>
      </c>
      <c r="C762" t="s">
        <v>549</v>
      </c>
      <c r="D762" t="s">
        <v>739</v>
      </c>
      <c r="E762">
        <v>1.499450864197531</v>
      </c>
      <c r="F762">
        <v>3.2698129244937979E-3</v>
      </c>
      <c r="G762">
        <v>27</v>
      </c>
      <c r="H762" t="s">
        <v>58</v>
      </c>
      <c r="I762">
        <v>1.35</v>
      </c>
      <c r="J762">
        <v>1.65</v>
      </c>
      <c r="K762">
        <v>1.5</v>
      </c>
      <c r="L762">
        <v>0.29999999999999982</v>
      </c>
      <c r="M762">
        <v>1.5059904900465191</v>
      </c>
      <c r="N762">
        <v>1.492911238348543</v>
      </c>
      <c r="O762">
        <v>1.307925169797519E-2</v>
      </c>
      <c r="P762">
        <v>458.5738997376011</v>
      </c>
      <c r="Q762">
        <v>22.937092039175528</v>
      </c>
      <c r="R762" t="str">
        <f t="shared" si="22"/>
        <v>yes</v>
      </c>
      <c r="S762" t="str">
        <f t="shared" si="23"/>
        <v>yes</v>
      </c>
    </row>
    <row r="763" spans="1:19" x14ac:dyDescent="0.35">
      <c r="A763" s="1">
        <v>761</v>
      </c>
      <c r="B763" t="s">
        <v>75</v>
      </c>
      <c r="C763" t="s">
        <v>549</v>
      </c>
      <c r="D763" t="s">
        <v>740</v>
      </c>
      <c r="E763">
        <v>2.1836296296296291E-2</v>
      </c>
      <c r="F763">
        <v>2.8207855383608118E-3</v>
      </c>
      <c r="G763">
        <v>27</v>
      </c>
      <c r="H763" t="s">
        <v>58</v>
      </c>
      <c r="M763">
        <v>2.7477867373017911E-2</v>
      </c>
      <c r="N763">
        <v>1.6194725219574671E-2</v>
      </c>
      <c r="O763">
        <v>1.1283142153443251E-2</v>
      </c>
      <c r="P763">
        <v>7.7412110914981476</v>
      </c>
      <c r="R763" t="str">
        <f t="shared" si="22"/>
        <v>yes</v>
      </c>
      <c r="S763" t="str">
        <f t="shared" si="23"/>
        <v>no</v>
      </c>
    </row>
    <row r="764" spans="1:19" x14ac:dyDescent="0.35">
      <c r="A764" s="1">
        <v>762</v>
      </c>
      <c r="B764" t="s">
        <v>75</v>
      </c>
      <c r="C764" t="s">
        <v>549</v>
      </c>
      <c r="D764" t="s">
        <v>741</v>
      </c>
      <c r="E764">
        <v>35.8404150617284</v>
      </c>
      <c r="F764">
        <v>9.4730554968350769E-2</v>
      </c>
      <c r="G764">
        <v>27</v>
      </c>
      <c r="H764" t="s">
        <v>58</v>
      </c>
      <c r="I764">
        <v>34.5</v>
      </c>
      <c r="J764">
        <v>37</v>
      </c>
      <c r="K764">
        <v>35.75</v>
      </c>
      <c r="L764">
        <v>2.5</v>
      </c>
      <c r="M764">
        <v>36.029876171665101</v>
      </c>
      <c r="N764">
        <v>35.650953951791699</v>
      </c>
      <c r="O764">
        <v>0.37892221987340241</v>
      </c>
      <c r="P764">
        <v>378.34060059821871</v>
      </c>
      <c r="Q764">
        <v>6.5976600708062154</v>
      </c>
      <c r="R764" t="str">
        <f t="shared" si="22"/>
        <v>yes</v>
      </c>
      <c r="S764" t="str">
        <f t="shared" si="23"/>
        <v>yes</v>
      </c>
    </row>
    <row r="765" spans="1:19" x14ac:dyDescent="0.35">
      <c r="A765" s="1">
        <v>763</v>
      </c>
      <c r="B765" t="s">
        <v>75</v>
      </c>
      <c r="C765" t="s">
        <v>549</v>
      </c>
      <c r="D765" t="s">
        <v>742</v>
      </c>
      <c r="E765">
        <v>3.8827160493827158E-3</v>
      </c>
      <c r="F765">
        <v>1.673096045011884E-3</v>
      </c>
      <c r="G765">
        <v>27</v>
      </c>
      <c r="H765" t="s">
        <v>58</v>
      </c>
      <c r="M765">
        <v>7.2289081394064838E-3</v>
      </c>
      <c r="N765">
        <v>5.3652395935894787E-4</v>
      </c>
      <c r="O765">
        <v>6.6923841800475359E-3</v>
      </c>
      <c r="P765">
        <v>2.3206773221169961</v>
      </c>
      <c r="R765" t="str">
        <f t="shared" si="22"/>
        <v>yes</v>
      </c>
      <c r="S765" t="str">
        <f t="shared" si="23"/>
        <v>no</v>
      </c>
    </row>
    <row r="766" spans="1:19" x14ac:dyDescent="0.35">
      <c r="A766" s="1">
        <v>764</v>
      </c>
      <c r="B766" t="s">
        <v>75</v>
      </c>
      <c r="C766" t="s">
        <v>549</v>
      </c>
      <c r="D766" t="s">
        <v>743</v>
      </c>
      <c r="E766">
        <v>0.99528209876543228</v>
      </c>
      <c r="F766">
        <v>2.0230958400874739E-3</v>
      </c>
      <c r="G766">
        <v>27</v>
      </c>
      <c r="H766" t="s">
        <v>58</v>
      </c>
      <c r="I766">
        <v>0.85</v>
      </c>
      <c r="J766">
        <v>1.2</v>
      </c>
      <c r="K766">
        <v>1.0249999999999999</v>
      </c>
      <c r="L766">
        <v>0.35</v>
      </c>
      <c r="M766">
        <v>0.99932829044560723</v>
      </c>
      <c r="N766">
        <v>0.99123590708525733</v>
      </c>
      <c r="O766">
        <v>8.0923833603498974E-3</v>
      </c>
      <c r="P766">
        <v>491.95993538417758</v>
      </c>
      <c r="Q766">
        <v>43.250546151198002</v>
      </c>
      <c r="R766" t="str">
        <f t="shared" si="22"/>
        <v>yes</v>
      </c>
      <c r="S766" t="str">
        <f t="shared" si="23"/>
        <v>yes</v>
      </c>
    </row>
    <row r="767" spans="1:19" x14ac:dyDescent="0.35">
      <c r="A767" s="1">
        <v>765</v>
      </c>
      <c r="B767" t="s">
        <v>75</v>
      </c>
      <c r="C767" t="s">
        <v>549</v>
      </c>
      <c r="D767" t="s">
        <v>744</v>
      </c>
      <c r="E767">
        <v>1.7076543209876549E-3</v>
      </c>
      <c r="F767">
        <v>1.674694852625974E-3</v>
      </c>
      <c r="G767">
        <v>27</v>
      </c>
      <c r="H767" t="s">
        <v>58</v>
      </c>
      <c r="M767">
        <v>5.0570440262396026E-3</v>
      </c>
      <c r="N767">
        <v>-1.641735384264293E-3</v>
      </c>
      <c r="O767">
        <v>6.6987794105038958E-3</v>
      </c>
      <c r="P767">
        <v>1.0196808799585191</v>
      </c>
      <c r="R767" t="str">
        <f t="shared" si="22"/>
        <v>yes</v>
      </c>
      <c r="S767" t="str">
        <f t="shared" si="23"/>
        <v>no</v>
      </c>
    </row>
    <row r="768" spans="1:19" x14ac:dyDescent="0.35">
      <c r="A768" s="1">
        <v>766</v>
      </c>
      <c r="B768" t="s">
        <v>75</v>
      </c>
      <c r="C768" t="s">
        <v>549</v>
      </c>
      <c r="D768" t="s">
        <v>745</v>
      </c>
      <c r="E768">
        <v>1.5006096296296301</v>
      </c>
      <c r="F768">
        <v>3.619108264762712E-3</v>
      </c>
      <c r="G768">
        <v>27</v>
      </c>
      <c r="H768" t="s">
        <v>58</v>
      </c>
      <c r="I768">
        <v>1.35</v>
      </c>
      <c r="J768">
        <v>1.65</v>
      </c>
      <c r="K768">
        <v>1.5</v>
      </c>
      <c r="L768">
        <v>0.29999999999999982</v>
      </c>
      <c r="M768">
        <v>1.507847846159156</v>
      </c>
      <c r="N768">
        <v>1.493371413100105</v>
      </c>
      <c r="O768">
        <v>1.4476433059051001E-2</v>
      </c>
      <c r="P768">
        <v>414.63518630825428</v>
      </c>
      <c r="Q768">
        <v>20.723336941929421</v>
      </c>
      <c r="R768" t="str">
        <f t="shared" si="22"/>
        <v>yes</v>
      </c>
      <c r="S768" t="str">
        <f t="shared" si="23"/>
        <v>yes</v>
      </c>
    </row>
    <row r="769" spans="1:19" x14ac:dyDescent="0.35">
      <c r="A769" s="1">
        <v>767</v>
      </c>
      <c r="B769" t="s">
        <v>75</v>
      </c>
      <c r="C769" t="s">
        <v>549</v>
      </c>
      <c r="D769" t="s">
        <v>746</v>
      </c>
      <c r="E769">
        <v>2.2058888888888888E-2</v>
      </c>
      <c r="F769">
        <v>1.648383511916648E-3</v>
      </c>
      <c r="G769">
        <v>27</v>
      </c>
      <c r="H769" t="s">
        <v>58</v>
      </c>
      <c r="M769">
        <v>2.535565591272218E-2</v>
      </c>
      <c r="N769">
        <v>1.8762121865055589E-2</v>
      </c>
      <c r="O769">
        <v>6.593534047666591E-3</v>
      </c>
      <c r="P769">
        <v>13.382133908413129</v>
      </c>
      <c r="R769" t="str">
        <f t="shared" si="22"/>
        <v>yes</v>
      </c>
      <c r="S769" t="str">
        <f t="shared" si="23"/>
        <v>no</v>
      </c>
    </row>
    <row r="770" spans="1:19" x14ac:dyDescent="0.35">
      <c r="A770" s="1">
        <v>768</v>
      </c>
      <c r="B770" t="s">
        <v>75</v>
      </c>
      <c r="C770" t="s">
        <v>549</v>
      </c>
      <c r="D770" t="s">
        <v>747</v>
      </c>
      <c r="E770">
        <v>35.86572024691359</v>
      </c>
      <c r="F770">
        <v>0.1092471797439387</v>
      </c>
      <c r="G770">
        <v>27</v>
      </c>
      <c r="H770" t="s">
        <v>58</v>
      </c>
      <c r="I770">
        <v>34.5</v>
      </c>
      <c r="J770">
        <v>37</v>
      </c>
      <c r="K770">
        <v>35.75</v>
      </c>
      <c r="L770">
        <v>2.5</v>
      </c>
      <c r="M770">
        <v>36.084214606401467</v>
      </c>
      <c r="N770">
        <v>35.647225887425712</v>
      </c>
      <c r="O770">
        <v>0.43698871897575492</v>
      </c>
      <c r="P770">
        <v>328.29882044532599</v>
      </c>
      <c r="Q770">
        <v>5.7209714837940826</v>
      </c>
      <c r="R770" t="str">
        <f t="shared" si="22"/>
        <v>yes</v>
      </c>
      <c r="S770" t="str">
        <f t="shared" si="23"/>
        <v>yes</v>
      </c>
    </row>
    <row r="771" spans="1:19" x14ac:dyDescent="0.35">
      <c r="A771" s="1">
        <v>769</v>
      </c>
      <c r="B771" t="s">
        <v>75</v>
      </c>
      <c r="C771" t="s">
        <v>549</v>
      </c>
      <c r="D771" t="s">
        <v>748</v>
      </c>
      <c r="E771">
        <v>1.8017248148148151</v>
      </c>
      <c r="F771">
        <v>7.0234824468362487E-3</v>
      </c>
      <c r="G771">
        <v>27</v>
      </c>
      <c r="H771" t="s">
        <v>58</v>
      </c>
      <c r="I771">
        <v>1.62</v>
      </c>
      <c r="J771">
        <v>1.98</v>
      </c>
      <c r="K771">
        <v>1.8</v>
      </c>
      <c r="L771">
        <v>0.35999999999999988</v>
      </c>
      <c r="M771">
        <v>1.815771779708488</v>
      </c>
      <c r="N771">
        <v>1.787677849921143</v>
      </c>
      <c r="O771">
        <v>2.809392978734504E-2</v>
      </c>
      <c r="P771">
        <v>256.52869903966342</v>
      </c>
      <c r="Q771">
        <v>12.814156037442739</v>
      </c>
      <c r="R771" t="str">
        <f t="shared" ref="R771:R834" si="24">IF(H771="yes","yes","no")</f>
        <v>yes</v>
      </c>
      <c r="S771" t="str">
        <f t="shared" ref="S771:S834" si="25">IF(I771,"yes","no")</f>
        <v>yes</v>
      </c>
    </row>
    <row r="772" spans="1:19" x14ac:dyDescent="0.35">
      <c r="A772" s="1">
        <v>770</v>
      </c>
      <c r="B772" t="s">
        <v>75</v>
      </c>
      <c r="C772" t="s">
        <v>549</v>
      </c>
      <c r="D772" t="s">
        <v>749</v>
      </c>
      <c r="E772">
        <v>3.9430246913580248E-2</v>
      </c>
      <c r="F772">
        <v>1.273410863966066E-2</v>
      </c>
      <c r="G772">
        <v>27</v>
      </c>
      <c r="H772" t="s">
        <v>58</v>
      </c>
      <c r="M772">
        <v>6.4898464192901573E-2</v>
      </c>
      <c r="N772">
        <v>1.3962029634258929E-2</v>
      </c>
      <c r="O772">
        <v>5.0936434558642649E-2</v>
      </c>
      <c r="P772">
        <v>3.0964277146791321</v>
      </c>
      <c r="R772" t="str">
        <f t="shared" si="24"/>
        <v>yes</v>
      </c>
      <c r="S772" t="str">
        <f t="shared" si="25"/>
        <v>no</v>
      </c>
    </row>
    <row r="773" spans="1:19" x14ac:dyDescent="0.35">
      <c r="A773" s="1">
        <v>771</v>
      </c>
      <c r="B773" t="s">
        <v>75</v>
      </c>
      <c r="C773" t="s">
        <v>549</v>
      </c>
      <c r="D773" t="s">
        <v>750</v>
      </c>
      <c r="E773">
        <v>3.5437283950617293E-2</v>
      </c>
      <c r="F773">
        <v>1.1753269597357639E-2</v>
      </c>
      <c r="G773">
        <v>27</v>
      </c>
      <c r="H773" t="s">
        <v>58</v>
      </c>
      <c r="M773">
        <v>5.8943823145332572E-2</v>
      </c>
      <c r="N773">
        <v>1.1930744755902009E-2</v>
      </c>
      <c r="O773">
        <v>4.7013078389430557E-2</v>
      </c>
      <c r="P773">
        <v>3.015100067013206</v>
      </c>
      <c r="R773" t="str">
        <f t="shared" si="24"/>
        <v>yes</v>
      </c>
      <c r="S773" t="str">
        <f t="shared" si="25"/>
        <v>no</v>
      </c>
    </row>
    <row r="774" spans="1:19" x14ac:dyDescent="0.35">
      <c r="A774" s="1">
        <v>772</v>
      </c>
      <c r="B774" t="s">
        <v>75</v>
      </c>
      <c r="C774" t="s">
        <v>549</v>
      </c>
      <c r="D774" t="s">
        <v>751</v>
      </c>
      <c r="E774">
        <v>3.2619753086419748E-2</v>
      </c>
      <c r="F774">
        <v>9.7646561506025478E-3</v>
      </c>
      <c r="G774">
        <v>27</v>
      </c>
      <c r="H774" t="s">
        <v>58</v>
      </c>
      <c r="M774">
        <v>5.2149065387624843E-2</v>
      </c>
      <c r="N774">
        <v>1.309044078521465E-2</v>
      </c>
      <c r="O774">
        <v>3.9058624602410191E-2</v>
      </c>
      <c r="P774">
        <v>3.3405941369893379</v>
      </c>
      <c r="R774" t="str">
        <f t="shared" si="24"/>
        <v>yes</v>
      </c>
      <c r="S774" t="str">
        <f t="shared" si="25"/>
        <v>no</v>
      </c>
    </row>
    <row r="775" spans="1:19" x14ac:dyDescent="0.35">
      <c r="A775" s="1">
        <v>773</v>
      </c>
      <c r="B775" t="s">
        <v>75</v>
      </c>
      <c r="C775" t="s">
        <v>549</v>
      </c>
      <c r="D775" t="s">
        <v>752</v>
      </c>
      <c r="E775">
        <v>7.5025679012345664E-2</v>
      </c>
      <c r="F775">
        <v>8.2927016215693667E-3</v>
      </c>
      <c r="G775">
        <v>27</v>
      </c>
      <c r="H775" t="s">
        <v>58</v>
      </c>
      <c r="M775">
        <v>9.1611082255484394E-2</v>
      </c>
      <c r="N775">
        <v>5.8440275769206927E-2</v>
      </c>
      <c r="O775">
        <v>3.317080648627746E-2</v>
      </c>
      <c r="P775">
        <v>9.0471938381580532</v>
      </c>
      <c r="R775" t="str">
        <f t="shared" si="24"/>
        <v>yes</v>
      </c>
      <c r="S775" t="str">
        <f t="shared" si="25"/>
        <v>no</v>
      </c>
    </row>
    <row r="776" spans="1:19" x14ac:dyDescent="0.35">
      <c r="A776" s="1">
        <v>774</v>
      </c>
      <c r="B776" t="s">
        <v>75</v>
      </c>
      <c r="C776" t="s">
        <v>549</v>
      </c>
      <c r="D776" t="s">
        <v>753</v>
      </c>
      <c r="E776">
        <v>3.9805080246913591</v>
      </c>
      <c r="F776">
        <v>1.4453240019041519E-2</v>
      </c>
      <c r="G776">
        <v>27</v>
      </c>
      <c r="H776" t="s">
        <v>58</v>
      </c>
      <c r="I776">
        <v>3.6</v>
      </c>
      <c r="J776">
        <v>4.4000000000000004</v>
      </c>
      <c r="K776">
        <v>4</v>
      </c>
      <c r="L776">
        <v>0.80000000000000027</v>
      </c>
      <c r="M776">
        <v>4.0094145047294418</v>
      </c>
      <c r="N776">
        <v>3.951601544653276</v>
      </c>
      <c r="O776">
        <v>5.7812960076165883E-2</v>
      </c>
      <c r="P776">
        <v>275.40593108861492</v>
      </c>
      <c r="Q776">
        <v>13.83772771617363</v>
      </c>
      <c r="R776" t="str">
        <f t="shared" si="24"/>
        <v>yes</v>
      </c>
      <c r="S776" t="str">
        <f t="shared" si="25"/>
        <v>yes</v>
      </c>
    </row>
    <row r="777" spans="1:19" x14ac:dyDescent="0.35">
      <c r="A777" s="1">
        <v>775</v>
      </c>
      <c r="B777" t="s">
        <v>75</v>
      </c>
      <c r="C777" t="s">
        <v>549</v>
      </c>
      <c r="D777" t="s">
        <v>754</v>
      </c>
      <c r="E777">
        <v>4.1061234567901228E-2</v>
      </c>
      <c r="F777">
        <v>5.7898293825518381E-3</v>
      </c>
      <c r="G777">
        <v>27</v>
      </c>
      <c r="H777" t="s">
        <v>58</v>
      </c>
      <c r="M777">
        <v>5.2640893333004903E-2</v>
      </c>
      <c r="N777">
        <v>2.948157580279755E-2</v>
      </c>
      <c r="O777">
        <v>2.3159317530207349E-2</v>
      </c>
      <c r="P777">
        <v>7.0919593402256176</v>
      </c>
      <c r="R777" t="str">
        <f t="shared" si="24"/>
        <v>yes</v>
      </c>
      <c r="S777" t="str">
        <f t="shared" si="25"/>
        <v>no</v>
      </c>
    </row>
    <row r="778" spans="1:19" x14ac:dyDescent="0.35">
      <c r="A778" s="1">
        <v>776</v>
      </c>
      <c r="B778" t="s">
        <v>75</v>
      </c>
      <c r="C778" t="s">
        <v>549</v>
      </c>
      <c r="D778" t="s">
        <v>755</v>
      </c>
      <c r="E778">
        <v>4.5206419753086417E-2</v>
      </c>
      <c r="F778">
        <v>1.0655213266139061E-2</v>
      </c>
      <c r="G778">
        <v>27</v>
      </c>
      <c r="H778" t="s">
        <v>58</v>
      </c>
      <c r="M778">
        <v>6.6516846285364542E-2</v>
      </c>
      <c r="N778">
        <v>2.38959932208083E-2</v>
      </c>
      <c r="O778">
        <v>4.2620853064556249E-2</v>
      </c>
      <c r="P778">
        <v>4.2426574319959212</v>
      </c>
      <c r="R778" t="str">
        <f t="shared" si="24"/>
        <v>yes</v>
      </c>
      <c r="S778" t="str">
        <f t="shared" si="25"/>
        <v>no</v>
      </c>
    </row>
    <row r="779" spans="1:19" x14ac:dyDescent="0.35">
      <c r="A779" s="1">
        <v>777</v>
      </c>
      <c r="B779" t="s">
        <v>75</v>
      </c>
      <c r="C779" t="s">
        <v>549</v>
      </c>
      <c r="D779" t="s">
        <v>756</v>
      </c>
      <c r="E779">
        <v>4.1076666666666671E-2</v>
      </c>
      <c r="F779">
        <v>8.6193472842742338E-3</v>
      </c>
      <c r="G779">
        <v>27</v>
      </c>
      <c r="H779" t="s">
        <v>58</v>
      </c>
      <c r="M779">
        <v>5.8315361235215142E-2</v>
      </c>
      <c r="N779">
        <v>2.38379720981182E-2</v>
      </c>
      <c r="O779">
        <v>3.4477389137096928E-2</v>
      </c>
      <c r="P779">
        <v>4.7656354143671571</v>
      </c>
      <c r="R779" t="str">
        <f t="shared" si="24"/>
        <v>yes</v>
      </c>
      <c r="S779" t="str">
        <f t="shared" si="25"/>
        <v>no</v>
      </c>
    </row>
    <row r="780" spans="1:19" x14ac:dyDescent="0.35">
      <c r="A780" s="1">
        <v>778</v>
      </c>
      <c r="B780" t="s">
        <v>75</v>
      </c>
      <c r="C780" t="s">
        <v>549</v>
      </c>
      <c r="D780" t="s">
        <v>757</v>
      </c>
      <c r="E780">
        <v>1.801221604938271</v>
      </c>
      <c r="F780">
        <v>4.5443499890737782E-3</v>
      </c>
      <c r="G780">
        <v>27</v>
      </c>
      <c r="H780" t="s">
        <v>58</v>
      </c>
      <c r="I780">
        <v>1.62</v>
      </c>
      <c r="J780">
        <v>1.98</v>
      </c>
      <c r="K780">
        <v>1.8</v>
      </c>
      <c r="L780">
        <v>0.35999999999999988</v>
      </c>
      <c r="M780">
        <v>1.8103103049164191</v>
      </c>
      <c r="N780">
        <v>1.7921329049601229</v>
      </c>
      <c r="O780">
        <v>1.81773999562953E-2</v>
      </c>
      <c r="P780">
        <v>396.36507075138218</v>
      </c>
      <c r="Q780">
        <v>19.804812617071921</v>
      </c>
      <c r="R780" t="str">
        <f t="shared" si="24"/>
        <v>yes</v>
      </c>
      <c r="S780" t="str">
        <f t="shared" si="25"/>
        <v>yes</v>
      </c>
    </row>
    <row r="781" spans="1:19" x14ac:dyDescent="0.35">
      <c r="A781" s="1">
        <v>779</v>
      </c>
      <c r="B781" t="s">
        <v>75</v>
      </c>
      <c r="C781" t="s">
        <v>549</v>
      </c>
      <c r="D781" t="s">
        <v>758</v>
      </c>
      <c r="E781">
        <v>4.0042469135802471E-2</v>
      </c>
      <c r="F781">
        <v>9.709082281707436E-3</v>
      </c>
      <c r="G781">
        <v>27</v>
      </c>
      <c r="H781" t="s">
        <v>58</v>
      </c>
      <c r="M781">
        <v>5.9460633699217343E-2</v>
      </c>
      <c r="N781">
        <v>2.0624304572387599E-2</v>
      </c>
      <c r="O781">
        <v>3.8836329126829737E-2</v>
      </c>
      <c r="P781">
        <v>4.1242280139334264</v>
      </c>
      <c r="R781" t="str">
        <f t="shared" si="24"/>
        <v>yes</v>
      </c>
      <c r="S781" t="str">
        <f t="shared" si="25"/>
        <v>no</v>
      </c>
    </row>
    <row r="782" spans="1:19" x14ac:dyDescent="0.35">
      <c r="A782" s="1">
        <v>780</v>
      </c>
      <c r="B782" t="s">
        <v>75</v>
      </c>
      <c r="C782" t="s">
        <v>549</v>
      </c>
      <c r="D782" t="s">
        <v>759</v>
      </c>
      <c r="E782">
        <v>3.8504197530864197E-2</v>
      </c>
      <c r="F782">
        <v>1.054335605348407E-2</v>
      </c>
      <c r="G782">
        <v>27</v>
      </c>
      <c r="H782" t="s">
        <v>58</v>
      </c>
      <c r="M782">
        <v>5.959090963783234E-2</v>
      </c>
      <c r="N782">
        <v>1.7417485423896061E-2</v>
      </c>
      <c r="O782">
        <v>4.2173424213936293E-2</v>
      </c>
      <c r="P782">
        <v>3.6519868375440492</v>
      </c>
      <c r="R782" t="str">
        <f t="shared" si="24"/>
        <v>yes</v>
      </c>
      <c r="S782" t="str">
        <f t="shared" si="25"/>
        <v>no</v>
      </c>
    </row>
    <row r="783" spans="1:19" x14ac:dyDescent="0.35">
      <c r="A783" s="1">
        <v>781</v>
      </c>
      <c r="B783" t="s">
        <v>75</v>
      </c>
      <c r="C783" t="s">
        <v>549</v>
      </c>
      <c r="D783" t="s">
        <v>760</v>
      </c>
      <c r="E783">
        <v>3.4263580246913582E-2</v>
      </c>
      <c r="F783">
        <v>8.1813705245812277E-3</v>
      </c>
      <c r="G783">
        <v>27</v>
      </c>
      <c r="H783" t="s">
        <v>58</v>
      </c>
      <c r="M783">
        <v>5.0626321296076041E-2</v>
      </c>
      <c r="N783">
        <v>1.790083919775113E-2</v>
      </c>
      <c r="O783">
        <v>3.2725482098324918E-2</v>
      </c>
      <c r="P783">
        <v>4.1880000598881812</v>
      </c>
      <c r="R783" t="str">
        <f t="shared" si="24"/>
        <v>yes</v>
      </c>
      <c r="S783" t="str">
        <f t="shared" si="25"/>
        <v>no</v>
      </c>
    </row>
    <row r="784" spans="1:19" x14ac:dyDescent="0.35">
      <c r="A784" s="1">
        <v>782</v>
      </c>
      <c r="B784" t="s">
        <v>75</v>
      </c>
      <c r="C784" t="s">
        <v>549</v>
      </c>
      <c r="D784" t="s">
        <v>761</v>
      </c>
      <c r="E784">
        <v>7.6402222222222219E-2</v>
      </c>
      <c r="F784">
        <v>6.3844945705437851E-3</v>
      </c>
      <c r="G784">
        <v>27</v>
      </c>
      <c r="H784" t="s">
        <v>58</v>
      </c>
      <c r="M784">
        <v>8.9171211363309785E-2</v>
      </c>
      <c r="N784">
        <v>6.3633233081134652E-2</v>
      </c>
      <c r="O784">
        <v>2.553797828217513E-2</v>
      </c>
      <c r="P784">
        <v>11.96683956388968</v>
      </c>
      <c r="R784" t="str">
        <f t="shared" si="24"/>
        <v>yes</v>
      </c>
      <c r="S784" t="str">
        <f t="shared" si="25"/>
        <v>no</v>
      </c>
    </row>
    <row r="785" spans="1:19" x14ac:dyDescent="0.35">
      <c r="A785" s="1">
        <v>783</v>
      </c>
      <c r="B785" t="s">
        <v>75</v>
      </c>
      <c r="C785" t="s">
        <v>549</v>
      </c>
      <c r="D785" t="s">
        <v>762</v>
      </c>
      <c r="E785">
        <v>3.9791304938271592</v>
      </c>
      <c r="F785">
        <v>1.168942970103426E-2</v>
      </c>
      <c r="G785">
        <v>27</v>
      </c>
      <c r="H785" t="s">
        <v>58</v>
      </c>
      <c r="I785">
        <v>3.6</v>
      </c>
      <c r="J785">
        <v>4.4000000000000004</v>
      </c>
      <c r="K785">
        <v>4</v>
      </c>
      <c r="L785">
        <v>0.80000000000000027</v>
      </c>
      <c r="M785">
        <v>4.002509353229228</v>
      </c>
      <c r="N785">
        <v>3.95575163442509</v>
      </c>
      <c r="O785">
        <v>4.6757718804137482E-2</v>
      </c>
      <c r="P785">
        <v>340.40415962081482</v>
      </c>
      <c r="Q785">
        <v>17.109474552236069</v>
      </c>
      <c r="R785" t="str">
        <f t="shared" si="24"/>
        <v>yes</v>
      </c>
      <c r="S785" t="str">
        <f t="shared" si="25"/>
        <v>yes</v>
      </c>
    </row>
    <row r="786" spans="1:19" x14ac:dyDescent="0.35">
      <c r="A786" s="1">
        <v>784</v>
      </c>
      <c r="B786" t="s">
        <v>75</v>
      </c>
      <c r="C786" t="s">
        <v>549</v>
      </c>
      <c r="D786" t="s">
        <v>763</v>
      </c>
      <c r="E786">
        <v>4.2326543209876548E-2</v>
      </c>
      <c r="F786">
        <v>6.0498100685190698E-3</v>
      </c>
      <c r="G786">
        <v>27</v>
      </c>
      <c r="H786" t="s">
        <v>58</v>
      </c>
      <c r="M786">
        <v>5.4426163346914691E-2</v>
      </c>
      <c r="N786">
        <v>3.0226923072838412E-2</v>
      </c>
      <c r="O786">
        <v>2.4199240274076279E-2</v>
      </c>
      <c r="P786">
        <v>6.9963424852174976</v>
      </c>
      <c r="R786" t="str">
        <f t="shared" si="24"/>
        <v>yes</v>
      </c>
      <c r="S786" t="str">
        <f t="shared" si="25"/>
        <v>no</v>
      </c>
    </row>
    <row r="787" spans="1:19" x14ac:dyDescent="0.35">
      <c r="A787" s="1">
        <v>785</v>
      </c>
      <c r="B787" t="s">
        <v>75</v>
      </c>
      <c r="C787" t="s">
        <v>549</v>
      </c>
      <c r="D787" t="s">
        <v>764</v>
      </c>
      <c r="E787">
        <v>4.3996790123456787E-2</v>
      </c>
      <c r="F787">
        <v>5.4081384647754333E-3</v>
      </c>
      <c r="G787">
        <v>27</v>
      </c>
      <c r="H787" t="s">
        <v>58</v>
      </c>
      <c r="M787">
        <v>5.4813067053007647E-2</v>
      </c>
      <c r="N787">
        <v>3.3180513193905921E-2</v>
      </c>
      <c r="O787">
        <v>2.163255385910173E-2</v>
      </c>
      <c r="P787">
        <v>8.1352928387501446</v>
      </c>
      <c r="R787" t="str">
        <f t="shared" si="24"/>
        <v>yes</v>
      </c>
      <c r="S787" t="str">
        <f t="shared" si="25"/>
        <v>no</v>
      </c>
    </row>
    <row r="788" spans="1:19" x14ac:dyDescent="0.35">
      <c r="A788" s="1">
        <v>786</v>
      </c>
      <c r="B788" t="s">
        <v>75</v>
      </c>
      <c r="C788" t="s">
        <v>549</v>
      </c>
      <c r="D788" t="s">
        <v>765</v>
      </c>
      <c r="E788">
        <v>4.1565308641975308E-2</v>
      </c>
      <c r="F788">
        <v>5.1915712485878706E-3</v>
      </c>
      <c r="G788">
        <v>27</v>
      </c>
      <c r="H788" t="s">
        <v>58</v>
      </c>
      <c r="M788">
        <v>5.1948451139151051E-2</v>
      </c>
      <c r="N788">
        <v>3.1182166144799569E-2</v>
      </c>
      <c r="O788">
        <v>2.0766284994351489E-2</v>
      </c>
      <c r="P788">
        <v>8.0063061165309541</v>
      </c>
      <c r="R788" t="str">
        <f t="shared" si="24"/>
        <v>yes</v>
      </c>
      <c r="S788" t="str">
        <f t="shared" si="25"/>
        <v>no</v>
      </c>
    </row>
    <row r="789" spans="1:19" x14ac:dyDescent="0.35">
      <c r="A789" s="1">
        <v>787</v>
      </c>
      <c r="B789" t="s">
        <v>75</v>
      </c>
      <c r="C789" t="s">
        <v>549</v>
      </c>
      <c r="D789" t="s">
        <v>766</v>
      </c>
      <c r="E789">
        <v>1.8033686419753081</v>
      </c>
      <c r="F789">
        <v>4.2703443222781058E-3</v>
      </c>
      <c r="G789">
        <v>27</v>
      </c>
      <c r="H789" t="s">
        <v>58</v>
      </c>
      <c r="I789">
        <v>1.62</v>
      </c>
      <c r="J789">
        <v>1.98</v>
      </c>
      <c r="K789">
        <v>1.8</v>
      </c>
      <c r="L789">
        <v>0.35999999999999988</v>
      </c>
      <c r="M789">
        <v>1.8119093306198639</v>
      </c>
      <c r="N789">
        <v>1.7948279533307521</v>
      </c>
      <c r="O789">
        <v>1.708137728911252E-2</v>
      </c>
      <c r="P789">
        <v>422.30052330142382</v>
      </c>
      <c r="Q789">
        <v>21.075583889213661</v>
      </c>
      <c r="R789" t="str">
        <f t="shared" si="24"/>
        <v>yes</v>
      </c>
      <c r="S789" t="str">
        <f t="shared" si="25"/>
        <v>yes</v>
      </c>
    </row>
    <row r="790" spans="1:19" x14ac:dyDescent="0.35">
      <c r="A790" s="1">
        <v>788</v>
      </c>
      <c r="B790" t="s">
        <v>75</v>
      </c>
      <c r="C790" t="s">
        <v>549</v>
      </c>
      <c r="D790" t="s">
        <v>767</v>
      </c>
      <c r="E790">
        <v>3.2961604938271598E-2</v>
      </c>
      <c r="F790">
        <v>8.614085618382207E-3</v>
      </c>
      <c r="G790">
        <v>27</v>
      </c>
      <c r="H790" t="s">
        <v>58</v>
      </c>
      <c r="M790">
        <v>5.0189776175036012E-2</v>
      </c>
      <c r="N790">
        <v>1.573343370150718E-2</v>
      </c>
      <c r="O790">
        <v>3.4456342473528828E-2</v>
      </c>
      <c r="P790">
        <v>3.8264775158413209</v>
      </c>
      <c r="R790" t="str">
        <f t="shared" si="24"/>
        <v>yes</v>
      </c>
      <c r="S790" t="str">
        <f t="shared" si="25"/>
        <v>no</v>
      </c>
    </row>
    <row r="791" spans="1:19" x14ac:dyDescent="0.35">
      <c r="A791" s="1">
        <v>789</v>
      </c>
      <c r="B791" t="s">
        <v>75</v>
      </c>
      <c r="C791" t="s">
        <v>549</v>
      </c>
      <c r="D791" t="s">
        <v>768</v>
      </c>
      <c r="E791">
        <v>3.5377037037037033E-2</v>
      </c>
      <c r="F791">
        <v>1.0029078016963341E-2</v>
      </c>
      <c r="G791">
        <v>27</v>
      </c>
      <c r="H791" t="s">
        <v>58</v>
      </c>
      <c r="M791">
        <v>5.5435193070963708E-2</v>
      </c>
      <c r="N791">
        <v>1.531888100311035E-2</v>
      </c>
      <c r="O791">
        <v>4.0116312067853363E-2</v>
      </c>
      <c r="P791">
        <v>3.5274465885298478</v>
      </c>
      <c r="R791" t="str">
        <f t="shared" si="24"/>
        <v>yes</v>
      </c>
      <c r="S791" t="str">
        <f t="shared" si="25"/>
        <v>no</v>
      </c>
    </row>
    <row r="792" spans="1:19" x14ac:dyDescent="0.35">
      <c r="A792" s="1">
        <v>790</v>
      </c>
      <c r="B792" t="s">
        <v>75</v>
      </c>
      <c r="C792" t="s">
        <v>549</v>
      </c>
      <c r="D792" t="s">
        <v>769</v>
      </c>
      <c r="E792">
        <v>2.6925802469135798E-2</v>
      </c>
      <c r="F792">
        <v>5.2162674219504964E-3</v>
      </c>
      <c r="G792">
        <v>27</v>
      </c>
      <c r="H792" t="s">
        <v>58</v>
      </c>
      <c r="M792">
        <v>3.7358337313036789E-2</v>
      </c>
      <c r="N792">
        <v>1.6493267625234811E-2</v>
      </c>
      <c r="O792">
        <v>2.0865069687801979E-2</v>
      </c>
      <c r="P792">
        <v>5.1618907335597353</v>
      </c>
      <c r="R792" t="str">
        <f t="shared" si="24"/>
        <v>yes</v>
      </c>
      <c r="S792" t="str">
        <f t="shared" si="25"/>
        <v>no</v>
      </c>
    </row>
    <row r="793" spans="1:19" x14ac:dyDescent="0.35">
      <c r="A793" s="1">
        <v>791</v>
      </c>
      <c r="B793" t="s">
        <v>75</v>
      </c>
      <c r="C793" t="s">
        <v>549</v>
      </c>
      <c r="D793" t="s">
        <v>770</v>
      </c>
      <c r="E793">
        <v>7.244271604938271E-2</v>
      </c>
      <c r="F793">
        <v>5.8354165075910659E-3</v>
      </c>
      <c r="G793">
        <v>27</v>
      </c>
      <c r="H793" t="s">
        <v>58</v>
      </c>
      <c r="M793">
        <v>8.4113549064564835E-2</v>
      </c>
      <c r="N793">
        <v>6.0771883034200579E-2</v>
      </c>
      <c r="O793">
        <v>2.334166603036426E-2</v>
      </c>
      <c r="P793">
        <v>12.41431797629952</v>
      </c>
      <c r="R793" t="str">
        <f t="shared" si="24"/>
        <v>yes</v>
      </c>
      <c r="S793" t="str">
        <f t="shared" si="25"/>
        <v>no</v>
      </c>
    </row>
    <row r="794" spans="1:19" x14ac:dyDescent="0.35">
      <c r="A794" s="1">
        <v>792</v>
      </c>
      <c r="B794" t="s">
        <v>75</v>
      </c>
      <c r="C794" t="s">
        <v>549</v>
      </c>
      <c r="D794" t="s">
        <v>771</v>
      </c>
      <c r="E794">
        <v>3.982217654320988</v>
      </c>
      <c r="F794">
        <v>9.7130019588917028E-3</v>
      </c>
      <c r="G794">
        <v>27</v>
      </c>
      <c r="H794" t="s">
        <v>58</v>
      </c>
      <c r="I794">
        <v>3.6</v>
      </c>
      <c r="J794">
        <v>4.4000000000000004</v>
      </c>
      <c r="K794">
        <v>4</v>
      </c>
      <c r="L794">
        <v>0.80000000000000027</v>
      </c>
      <c r="M794">
        <v>4.0016436582387724</v>
      </c>
      <c r="N794">
        <v>3.9627916504032039</v>
      </c>
      <c r="O794">
        <v>3.8852007835567193E-2</v>
      </c>
      <c r="P794">
        <v>409.9883507874199</v>
      </c>
      <c r="Q794">
        <v>20.59095641558164</v>
      </c>
      <c r="R794" t="str">
        <f t="shared" si="24"/>
        <v>yes</v>
      </c>
      <c r="S794" t="str">
        <f t="shared" si="25"/>
        <v>yes</v>
      </c>
    </row>
    <row r="795" spans="1:19" x14ac:dyDescent="0.35">
      <c r="A795" s="1">
        <v>793</v>
      </c>
      <c r="B795" t="s">
        <v>75</v>
      </c>
      <c r="C795" t="s">
        <v>549</v>
      </c>
      <c r="D795" t="s">
        <v>772</v>
      </c>
      <c r="E795">
        <v>3.694222222222223E-2</v>
      </c>
      <c r="F795">
        <v>3.9720877687399719E-3</v>
      </c>
      <c r="G795">
        <v>27</v>
      </c>
      <c r="H795" t="s">
        <v>58</v>
      </c>
      <c r="M795">
        <v>4.4886397759702171E-2</v>
      </c>
      <c r="N795">
        <v>2.899804668474229E-2</v>
      </c>
      <c r="O795">
        <v>1.5888351074959881E-2</v>
      </c>
      <c r="P795">
        <v>9.300454665920201</v>
      </c>
      <c r="R795" t="str">
        <f t="shared" si="24"/>
        <v>yes</v>
      </c>
      <c r="S795" t="str">
        <f t="shared" si="25"/>
        <v>no</v>
      </c>
    </row>
    <row r="796" spans="1:19" x14ac:dyDescent="0.35">
      <c r="A796" s="1">
        <v>794</v>
      </c>
      <c r="B796" t="s">
        <v>75</v>
      </c>
      <c r="C796" t="s">
        <v>549</v>
      </c>
      <c r="D796" t="s">
        <v>773</v>
      </c>
      <c r="E796">
        <v>4.3022592592592591E-2</v>
      </c>
      <c r="F796">
        <v>4.6382023865415654E-3</v>
      </c>
      <c r="G796">
        <v>27</v>
      </c>
      <c r="H796" t="s">
        <v>58</v>
      </c>
      <c r="M796">
        <v>5.2298997365675733E-2</v>
      </c>
      <c r="N796">
        <v>3.3746187819509457E-2</v>
      </c>
      <c r="O796">
        <v>1.8552809546166268E-2</v>
      </c>
      <c r="P796">
        <v>9.2757040351298699</v>
      </c>
      <c r="R796" t="str">
        <f t="shared" si="24"/>
        <v>yes</v>
      </c>
      <c r="S796" t="str">
        <f t="shared" si="25"/>
        <v>no</v>
      </c>
    </row>
    <row r="797" spans="1:19" x14ac:dyDescent="0.35">
      <c r="A797" s="1">
        <v>795</v>
      </c>
      <c r="B797" t="s">
        <v>75</v>
      </c>
      <c r="C797" t="s">
        <v>549</v>
      </c>
      <c r="D797" t="s">
        <v>774</v>
      </c>
      <c r="E797">
        <v>3.6496296296296298E-2</v>
      </c>
      <c r="F797">
        <v>5.04994497100336E-3</v>
      </c>
      <c r="G797">
        <v>27</v>
      </c>
      <c r="H797" t="s">
        <v>58</v>
      </c>
      <c r="M797">
        <v>4.6596186238303007E-2</v>
      </c>
      <c r="N797">
        <v>2.6396406354289581E-2</v>
      </c>
      <c r="O797">
        <v>2.019977988401344E-2</v>
      </c>
      <c r="P797">
        <v>7.2270681177432614</v>
      </c>
      <c r="R797" t="str">
        <f t="shared" si="24"/>
        <v>yes</v>
      </c>
      <c r="S797" t="str">
        <f t="shared" si="25"/>
        <v>no</v>
      </c>
    </row>
    <row r="798" spans="1:19" x14ac:dyDescent="0.35">
      <c r="A798" s="1">
        <v>796</v>
      </c>
      <c r="B798" t="s">
        <v>75</v>
      </c>
      <c r="C798" t="s">
        <v>549</v>
      </c>
      <c r="D798" t="s">
        <v>775</v>
      </c>
      <c r="E798">
        <v>3.4861728395061738E-3</v>
      </c>
      <c r="F798">
        <v>2.1136107263599992E-3</v>
      </c>
      <c r="G798">
        <v>27</v>
      </c>
      <c r="H798" t="s">
        <v>58</v>
      </c>
      <c r="M798">
        <v>7.7133942922261722E-3</v>
      </c>
      <c r="N798">
        <v>-7.4104861321382456E-4</v>
      </c>
      <c r="O798">
        <v>8.4544429054399968E-3</v>
      </c>
      <c r="P798">
        <v>1.649392102352718</v>
      </c>
      <c r="R798" t="str">
        <f t="shared" si="24"/>
        <v>yes</v>
      </c>
      <c r="S798" t="str">
        <f t="shared" si="25"/>
        <v>no</v>
      </c>
    </row>
    <row r="799" spans="1:19" x14ac:dyDescent="0.35">
      <c r="A799" s="1">
        <v>797</v>
      </c>
      <c r="B799" t="s">
        <v>75</v>
      </c>
      <c r="C799" t="s">
        <v>549</v>
      </c>
      <c r="D799" t="s">
        <v>776</v>
      </c>
      <c r="E799">
        <v>0.9950608641975307</v>
      </c>
      <c r="F799">
        <v>2.359030916599844E-3</v>
      </c>
      <c r="G799">
        <v>27</v>
      </c>
      <c r="H799" t="s">
        <v>58</v>
      </c>
      <c r="I799">
        <v>0.85</v>
      </c>
      <c r="J799">
        <v>1.2</v>
      </c>
      <c r="K799">
        <v>1.0249999999999999</v>
      </c>
      <c r="L799">
        <v>0.35</v>
      </c>
      <c r="M799">
        <v>0.99977892603073037</v>
      </c>
      <c r="N799">
        <v>0.99034280236433103</v>
      </c>
      <c r="O799">
        <v>9.4361236663993431E-3</v>
      </c>
      <c r="P799">
        <v>421.80916629602621</v>
      </c>
      <c r="Q799">
        <v>37.091502016479367</v>
      </c>
      <c r="R799" t="str">
        <f t="shared" si="24"/>
        <v>yes</v>
      </c>
      <c r="S799" t="str">
        <f t="shared" si="25"/>
        <v>yes</v>
      </c>
    </row>
    <row r="800" spans="1:19" x14ac:dyDescent="0.35">
      <c r="A800" s="1">
        <v>798</v>
      </c>
      <c r="B800" t="s">
        <v>75</v>
      </c>
      <c r="C800" t="s">
        <v>549</v>
      </c>
      <c r="D800" t="s">
        <v>777</v>
      </c>
      <c r="E800">
        <v>2.7129629629629639E-3</v>
      </c>
      <c r="F800">
        <v>2.0818020889629232E-3</v>
      </c>
      <c r="G800">
        <v>27</v>
      </c>
      <c r="H800" t="s">
        <v>58</v>
      </c>
      <c r="M800">
        <v>6.8765671408888103E-3</v>
      </c>
      <c r="N800">
        <v>-1.450641214962882E-3</v>
      </c>
      <c r="O800">
        <v>8.3272083558516927E-3</v>
      </c>
      <c r="P800">
        <v>1.303180056041956</v>
      </c>
      <c r="R800" t="str">
        <f t="shared" si="24"/>
        <v>yes</v>
      </c>
      <c r="S800" t="str">
        <f t="shared" si="25"/>
        <v>no</v>
      </c>
    </row>
    <row r="801" spans="1:19" x14ac:dyDescent="0.35">
      <c r="A801" s="1">
        <v>799</v>
      </c>
      <c r="B801" t="s">
        <v>75</v>
      </c>
      <c r="C801" t="s">
        <v>549</v>
      </c>
      <c r="D801" t="s">
        <v>778</v>
      </c>
      <c r="E801">
        <v>1.501025432098765</v>
      </c>
      <c r="F801">
        <v>3.3557772110269909E-3</v>
      </c>
      <c r="G801">
        <v>27</v>
      </c>
      <c r="H801" t="s">
        <v>58</v>
      </c>
      <c r="I801">
        <v>1.35</v>
      </c>
      <c r="J801">
        <v>1.65</v>
      </c>
      <c r="K801">
        <v>1.5</v>
      </c>
      <c r="L801">
        <v>0.29999999999999982</v>
      </c>
      <c r="M801">
        <v>1.507736986520819</v>
      </c>
      <c r="N801">
        <v>1.4943138776767111</v>
      </c>
      <c r="O801">
        <v>1.342310884410791E-2</v>
      </c>
      <c r="P801">
        <v>447.29591319901601</v>
      </c>
      <c r="Q801">
        <v>22.349517051832979</v>
      </c>
      <c r="R801" t="str">
        <f t="shared" si="24"/>
        <v>yes</v>
      </c>
      <c r="S801" t="str">
        <f t="shared" si="25"/>
        <v>yes</v>
      </c>
    </row>
    <row r="802" spans="1:19" x14ac:dyDescent="0.35">
      <c r="A802" s="1">
        <v>800</v>
      </c>
      <c r="B802" t="s">
        <v>75</v>
      </c>
      <c r="C802" t="s">
        <v>549</v>
      </c>
      <c r="D802" t="s">
        <v>779</v>
      </c>
      <c r="E802">
        <v>2.5413950617283951E-2</v>
      </c>
      <c r="F802">
        <v>3.310986360455276E-3</v>
      </c>
      <c r="G802">
        <v>27</v>
      </c>
      <c r="H802" t="s">
        <v>58</v>
      </c>
      <c r="M802">
        <v>3.2035923338194501E-2</v>
      </c>
      <c r="N802">
        <v>1.87919778963734E-2</v>
      </c>
      <c r="O802">
        <v>1.3243945441821101E-2</v>
      </c>
      <c r="P802">
        <v>7.6756434036742496</v>
      </c>
      <c r="R802" t="str">
        <f t="shared" si="24"/>
        <v>yes</v>
      </c>
      <c r="S802" t="str">
        <f t="shared" si="25"/>
        <v>no</v>
      </c>
    </row>
    <row r="803" spans="1:19" x14ac:dyDescent="0.35">
      <c r="A803" s="1">
        <v>801</v>
      </c>
      <c r="B803" t="s">
        <v>75</v>
      </c>
      <c r="C803" t="s">
        <v>549</v>
      </c>
      <c r="D803" t="s">
        <v>780</v>
      </c>
      <c r="E803">
        <v>35.913449629629639</v>
      </c>
      <c r="F803">
        <v>0.1058341378245686</v>
      </c>
      <c r="G803">
        <v>27</v>
      </c>
      <c r="H803" t="s">
        <v>58</v>
      </c>
      <c r="I803">
        <v>34.5</v>
      </c>
      <c r="J803">
        <v>37</v>
      </c>
      <c r="K803">
        <v>35.75</v>
      </c>
      <c r="L803">
        <v>2.5</v>
      </c>
      <c r="M803">
        <v>36.125117905278778</v>
      </c>
      <c r="N803">
        <v>35.7017813539805</v>
      </c>
      <c r="O803">
        <v>0.42333655129827719</v>
      </c>
      <c r="P803">
        <v>339.33710207154542</v>
      </c>
      <c r="Q803">
        <v>5.9054669206641073</v>
      </c>
      <c r="R803" t="str">
        <f t="shared" si="24"/>
        <v>yes</v>
      </c>
      <c r="S803" t="str">
        <f t="shared" si="25"/>
        <v>yes</v>
      </c>
    </row>
    <row r="804" spans="1:19" x14ac:dyDescent="0.35">
      <c r="A804" s="1">
        <v>802</v>
      </c>
      <c r="B804" t="s">
        <v>75</v>
      </c>
      <c r="C804" t="s">
        <v>549</v>
      </c>
      <c r="D804" t="s">
        <v>781</v>
      </c>
      <c r="E804">
        <v>3.8853086419753089E-3</v>
      </c>
      <c r="F804">
        <v>1.6075366224980331E-3</v>
      </c>
      <c r="G804">
        <v>27</v>
      </c>
      <c r="H804" t="s">
        <v>58</v>
      </c>
      <c r="M804">
        <v>7.100381886971375E-3</v>
      </c>
      <c r="N804">
        <v>6.7023539697924281E-4</v>
      </c>
      <c r="O804">
        <v>6.4301464899921322E-3</v>
      </c>
      <c r="P804">
        <v>2.416933205501552</v>
      </c>
      <c r="R804" t="str">
        <f t="shared" si="24"/>
        <v>yes</v>
      </c>
      <c r="S804" t="str">
        <f t="shared" si="25"/>
        <v>no</v>
      </c>
    </row>
    <row r="805" spans="1:19" x14ac:dyDescent="0.35">
      <c r="A805" s="1">
        <v>803</v>
      </c>
      <c r="B805" t="s">
        <v>75</v>
      </c>
      <c r="C805" t="s">
        <v>549</v>
      </c>
      <c r="D805" t="s">
        <v>782</v>
      </c>
      <c r="E805">
        <v>0.99720259259259236</v>
      </c>
      <c r="F805">
        <v>1.481250772538823E-3</v>
      </c>
      <c r="G805">
        <v>27</v>
      </c>
      <c r="H805" t="s">
        <v>58</v>
      </c>
      <c r="I805">
        <v>0.85</v>
      </c>
      <c r="J805">
        <v>1.2</v>
      </c>
      <c r="K805">
        <v>1.0249999999999999</v>
      </c>
      <c r="L805">
        <v>0.35</v>
      </c>
      <c r="M805">
        <v>1.0001650941376701</v>
      </c>
      <c r="N805">
        <v>0.99424009104751476</v>
      </c>
      <c r="O805">
        <v>5.9250030901553119E-3</v>
      </c>
      <c r="P805">
        <v>673.21658903401931</v>
      </c>
      <c r="Q805">
        <v>59.071699149244743</v>
      </c>
      <c r="R805" t="str">
        <f t="shared" si="24"/>
        <v>yes</v>
      </c>
      <c r="S805" t="str">
        <f t="shared" si="25"/>
        <v>yes</v>
      </c>
    </row>
    <row r="806" spans="1:19" x14ac:dyDescent="0.35">
      <c r="A806" s="1">
        <v>804</v>
      </c>
      <c r="B806" t="s">
        <v>75</v>
      </c>
      <c r="C806" t="s">
        <v>549</v>
      </c>
      <c r="D806" t="s">
        <v>783</v>
      </c>
      <c r="E806">
        <v>2.7176543209876539E-3</v>
      </c>
      <c r="F806">
        <v>1.75240141795562E-3</v>
      </c>
      <c r="G806">
        <v>27</v>
      </c>
      <c r="H806" t="s">
        <v>58</v>
      </c>
      <c r="M806">
        <v>6.2224571568988939E-3</v>
      </c>
      <c r="N806">
        <v>-7.8714851492358608E-4</v>
      </c>
      <c r="O806">
        <v>7.0096056718224799E-3</v>
      </c>
      <c r="P806">
        <v>1.5508172346482769</v>
      </c>
      <c r="R806" t="str">
        <f t="shared" si="24"/>
        <v>yes</v>
      </c>
      <c r="S806" t="str">
        <f t="shared" si="25"/>
        <v>no</v>
      </c>
    </row>
    <row r="807" spans="1:19" x14ac:dyDescent="0.35">
      <c r="A807" s="1">
        <v>805</v>
      </c>
      <c r="B807" t="s">
        <v>75</v>
      </c>
      <c r="C807" t="s">
        <v>549</v>
      </c>
      <c r="D807" t="s">
        <v>784</v>
      </c>
      <c r="E807">
        <v>1.502266049382716</v>
      </c>
      <c r="F807">
        <v>6.3116828007806084E-3</v>
      </c>
      <c r="G807">
        <v>27</v>
      </c>
      <c r="H807" t="s">
        <v>58</v>
      </c>
      <c r="I807">
        <v>1.35</v>
      </c>
      <c r="J807">
        <v>1.65</v>
      </c>
      <c r="K807">
        <v>1.5</v>
      </c>
      <c r="L807">
        <v>0.29999999999999982</v>
      </c>
      <c r="M807">
        <v>1.5148894149842771</v>
      </c>
      <c r="N807">
        <v>1.4896426837811549</v>
      </c>
      <c r="O807">
        <v>2.52467312031226E-2</v>
      </c>
      <c r="P807">
        <v>238.01355308871359</v>
      </c>
      <c r="Q807">
        <v>11.88272642451609</v>
      </c>
      <c r="R807" t="str">
        <f t="shared" si="24"/>
        <v>yes</v>
      </c>
      <c r="S807" t="str">
        <f t="shared" si="25"/>
        <v>yes</v>
      </c>
    </row>
    <row r="808" spans="1:19" x14ac:dyDescent="0.35">
      <c r="A808" s="1">
        <v>806</v>
      </c>
      <c r="B808" t="s">
        <v>75</v>
      </c>
      <c r="C808" t="s">
        <v>549</v>
      </c>
      <c r="D808" t="s">
        <v>785</v>
      </c>
      <c r="E808">
        <v>2.283913580246914E-2</v>
      </c>
      <c r="F808">
        <v>3.5597797337563052E-3</v>
      </c>
      <c r="G808">
        <v>27</v>
      </c>
      <c r="H808" t="s">
        <v>58</v>
      </c>
      <c r="M808">
        <v>2.9958695269981749E-2</v>
      </c>
      <c r="N808">
        <v>1.571957633495653E-2</v>
      </c>
      <c r="O808">
        <v>1.4239118935025221E-2</v>
      </c>
      <c r="P808">
        <v>6.4158845520391568</v>
      </c>
      <c r="R808" t="str">
        <f t="shared" si="24"/>
        <v>yes</v>
      </c>
      <c r="S808" t="str">
        <f t="shared" si="25"/>
        <v>no</v>
      </c>
    </row>
    <row r="809" spans="1:19" x14ac:dyDescent="0.35">
      <c r="A809" s="1">
        <v>807</v>
      </c>
      <c r="B809" t="s">
        <v>75</v>
      </c>
      <c r="C809" t="s">
        <v>549</v>
      </c>
      <c r="D809" t="s">
        <v>786</v>
      </c>
      <c r="E809">
        <v>35.96123469135803</v>
      </c>
      <c r="F809">
        <v>7.929976926534052E-2</v>
      </c>
      <c r="G809">
        <v>27</v>
      </c>
      <c r="H809" t="s">
        <v>58</v>
      </c>
      <c r="I809">
        <v>34.5</v>
      </c>
      <c r="J809">
        <v>37</v>
      </c>
      <c r="K809">
        <v>35.75</v>
      </c>
      <c r="L809">
        <v>2.5</v>
      </c>
      <c r="M809">
        <v>36.11983422988871</v>
      </c>
      <c r="N809">
        <v>35.802635152827349</v>
      </c>
      <c r="O809">
        <v>0.31719907706136041</v>
      </c>
      <c r="P809">
        <v>453.48473298869447</v>
      </c>
      <c r="Q809">
        <v>7.8814857318023934</v>
      </c>
      <c r="R809" t="str">
        <f t="shared" si="24"/>
        <v>yes</v>
      </c>
      <c r="S809" t="str">
        <f t="shared" si="25"/>
        <v>yes</v>
      </c>
    </row>
    <row r="810" spans="1:19" x14ac:dyDescent="0.35">
      <c r="A810" s="1">
        <v>808</v>
      </c>
      <c r="B810" t="s">
        <v>75</v>
      </c>
      <c r="C810" t="s">
        <v>549</v>
      </c>
      <c r="D810" t="s">
        <v>787</v>
      </c>
      <c r="E810">
        <v>3.6971604938271611E-3</v>
      </c>
      <c r="F810">
        <v>2.1748881234390578E-3</v>
      </c>
      <c r="G810">
        <v>27</v>
      </c>
      <c r="H810" t="s">
        <v>58</v>
      </c>
      <c r="M810">
        <v>8.046936740705276E-3</v>
      </c>
      <c r="N810">
        <v>-6.5261575305095455E-4</v>
      </c>
      <c r="O810">
        <v>8.6995524937562296E-3</v>
      </c>
      <c r="P810">
        <v>1.6999313454252529</v>
      </c>
      <c r="R810" t="str">
        <f t="shared" si="24"/>
        <v>yes</v>
      </c>
      <c r="S810" t="str">
        <f t="shared" si="25"/>
        <v>no</v>
      </c>
    </row>
    <row r="811" spans="1:19" x14ac:dyDescent="0.35">
      <c r="A811" s="1">
        <v>809</v>
      </c>
      <c r="B811" t="s">
        <v>75</v>
      </c>
      <c r="C811" t="s">
        <v>549</v>
      </c>
      <c r="D811" t="s">
        <v>788</v>
      </c>
      <c r="E811">
        <v>0.9945477777777777</v>
      </c>
      <c r="F811">
        <v>3.0509058872537679E-3</v>
      </c>
      <c r="G811">
        <v>27</v>
      </c>
      <c r="H811" t="s">
        <v>58</v>
      </c>
      <c r="I811">
        <v>0.85</v>
      </c>
      <c r="J811">
        <v>1.2</v>
      </c>
      <c r="K811">
        <v>1.0249999999999999</v>
      </c>
      <c r="L811">
        <v>0.35</v>
      </c>
      <c r="M811">
        <v>1.0006495895522849</v>
      </c>
      <c r="N811">
        <v>0.98844596600327017</v>
      </c>
      <c r="O811">
        <v>1.220362354901516E-2</v>
      </c>
      <c r="P811">
        <v>325.98441726205021</v>
      </c>
      <c r="Q811">
        <v>28.680006277991509</v>
      </c>
      <c r="R811" t="str">
        <f t="shared" si="24"/>
        <v>yes</v>
      </c>
      <c r="S811" t="str">
        <f t="shared" si="25"/>
        <v>yes</v>
      </c>
    </row>
    <row r="812" spans="1:19" x14ac:dyDescent="0.35">
      <c r="A812" s="1">
        <v>810</v>
      </c>
      <c r="B812" t="s">
        <v>75</v>
      </c>
      <c r="C812" t="s">
        <v>549</v>
      </c>
      <c r="D812" t="s">
        <v>789</v>
      </c>
      <c r="E812">
        <v>2.2572839506172851E-3</v>
      </c>
      <c r="F812">
        <v>1.5099562082666099E-3</v>
      </c>
      <c r="G812">
        <v>27</v>
      </c>
      <c r="H812" t="s">
        <v>58</v>
      </c>
      <c r="M812">
        <v>5.2771963671505049E-3</v>
      </c>
      <c r="N812">
        <v>-7.6262846591593474E-4</v>
      </c>
      <c r="O812">
        <v>6.0398248330664397E-3</v>
      </c>
      <c r="P812">
        <v>1.4949333883057361</v>
      </c>
      <c r="R812" t="str">
        <f t="shared" si="24"/>
        <v>yes</v>
      </c>
      <c r="S812" t="str">
        <f t="shared" si="25"/>
        <v>no</v>
      </c>
    </row>
    <row r="813" spans="1:19" x14ac:dyDescent="0.35">
      <c r="A813" s="1">
        <v>811</v>
      </c>
      <c r="B813" t="s">
        <v>75</v>
      </c>
      <c r="C813" t="s">
        <v>549</v>
      </c>
      <c r="D813" t="s">
        <v>790</v>
      </c>
      <c r="E813">
        <v>1.499190987654321</v>
      </c>
      <c r="F813">
        <v>4.1490324427402442E-3</v>
      </c>
      <c r="G813">
        <v>27</v>
      </c>
      <c r="H813" t="s">
        <v>58</v>
      </c>
      <c r="I813">
        <v>1.35</v>
      </c>
      <c r="J813">
        <v>1.65</v>
      </c>
      <c r="K813">
        <v>1.5</v>
      </c>
      <c r="L813">
        <v>0.29999999999999982</v>
      </c>
      <c r="M813">
        <v>1.507489052539801</v>
      </c>
      <c r="N813">
        <v>1.490892922768841</v>
      </c>
      <c r="O813">
        <v>1.6596129770960921E-2</v>
      </c>
      <c r="P813">
        <v>361.33508434659882</v>
      </c>
      <c r="Q813">
        <v>18.076503627063989</v>
      </c>
      <c r="R813" t="str">
        <f t="shared" si="24"/>
        <v>yes</v>
      </c>
      <c r="S813" t="str">
        <f t="shared" si="25"/>
        <v>yes</v>
      </c>
    </row>
    <row r="814" spans="1:19" x14ac:dyDescent="0.35">
      <c r="A814" s="1">
        <v>812</v>
      </c>
      <c r="B814" t="s">
        <v>75</v>
      </c>
      <c r="C814" t="s">
        <v>549</v>
      </c>
      <c r="D814" t="s">
        <v>791</v>
      </c>
      <c r="E814">
        <v>2.1940864197530861E-2</v>
      </c>
      <c r="F814">
        <v>2.785769783477359E-3</v>
      </c>
      <c r="G814">
        <v>27</v>
      </c>
      <c r="H814" t="s">
        <v>58</v>
      </c>
      <c r="M814">
        <v>2.751240376448558E-2</v>
      </c>
      <c r="N814">
        <v>1.6369324630576141E-2</v>
      </c>
      <c r="O814">
        <v>1.1143079133909431E-2</v>
      </c>
      <c r="P814">
        <v>7.8760507518115892</v>
      </c>
      <c r="R814" t="str">
        <f t="shared" si="24"/>
        <v>yes</v>
      </c>
      <c r="S814" t="str">
        <f t="shared" si="25"/>
        <v>no</v>
      </c>
    </row>
    <row r="815" spans="1:19" x14ac:dyDescent="0.35">
      <c r="A815" s="1">
        <v>813</v>
      </c>
      <c r="B815" t="s">
        <v>75</v>
      </c>
      <c r="C815" t="s">
        <v>549</v>
      </c>
      <c r="D815" t="s">
        <v>792</v>
      </c>
      <c r="E815">
        <v>35.845508518518507</v>
      </c>
      <c r="F815">
        <v>9.2902910047585024E-2</v>
      </c>
      <c r="G815">
        <v>27</v>
      </c>
      <c r="H815" t="s">
        <v>58</v>
      </c>
      <c r="I815">
        <v>34.5</v>
      </c>
      <c r="J815">
        <v>37</v>
      </c>
      <c r="K815">
        <v>35.75</v>
      </c>
      <c r="L815">
        <v>2.5</v>
      </c>
      <c r="M815">
        <v>36.031314338613683</v>
      </c>
      <c r="N815">
        <v>35.659702698423338</v>
      </c>
      <c r="O815">
        <v>0.37161164019033782</v>
      </c>
      <c r="P815">
        <v>385.83838224398329</v>
      </c>
      <c r="Q815">
        <v>6.7274534207795851</v>
      </c>
      <c r="R815" t="str">
        <f t="shared" si="24"/>
        <v>yes</v>
      </c>
      <c r="S815" t="str">
        <f t="shared" si="25"/>
        <v>yes</v>
      </c>
    </row>
    <row r="816" spans="1:19" x14ac:dyDescent="0.35">
      <c r="A816" s="1">
        <v>814</v>
      </c>
      <c r="B816" t="s">
        <v>75</v>
      </c>
      <c r="C816" t="s">
        <v>549</v>
      </c>
      <c r="D816" t="s">
        <v>793</v>
      </c>
      <c r="E816">
        <v>1.8026111111111109</v>
      </c>
      <c r="F816">
        <v>4.5370452304047586E-3</v>
      </c>
      <c r="G816">
        <v>27</v>
      </c>
      <c r="H816" t="s">
        <v>58</v>
      </c>
      <c r="I816">
        <v>1.62</v>
      </c>
      <c r="J816">
        <v>1.98</v>
      </c>
      <c r="K816">
        <v>1.8</v>
      </c>
      <c r="L816">
        <v>0.35999999999999988</v>
      </c>
      <c r="M816">
        <v>1.81168520157192</v>
      </c>
      <c r="N816">
        <v>1.793537020650301</v>
      </c>
      <c r="O816">
        <v>1.8148180921619069E-2</v>
      </c>
      <c r="P816">
        <v>397.30948658633861</v>
      </c>
      <c r="Q816">
        <v>19.836698871077971</v>
      </c>
      <c r="R816" t="str">
        <f t="shared" si="24"/>
        <v>yes</v>
      </c>
      <c r="S816" t="str">
        <f t="shared" si="25"/>
        <v>yes</v>
      </c>
    </row>
    <row r="817" spans="1:19" x14ac:dyDescent="0.35">
      <c r="A817" s="1">
        <v>815</v>
      </c>
      <c r="B817" t="s">
        <v>75</v>
      </c>
      <c r="C817" t="s">
        <v>549</v>
      </c>
      <c r="D817" t="s">
        <v>794</v>
      </c>
      <c r="E817">
        <v>3.5666049382716038E-2</v>
      </c>
      <c r="F817">
        <v>3.8414216595632649E-3</v>
      </c>
      <c r="G817">
        <v>27</v>
      </c>
      <c r="H817" t="s">
        <v>58</v>
      </c>
      <c r="M817">
        <v>4.334889270184257E-2</v>
      </c>
      <c r="N817">
        <v>2.7983206063589509E-2</v>
      </c>
      <c r="O817">
        <v>1.536568663825306E-2</v>
      </c>
      <c r="P817">
        <v>9.2845963144725303</v>
      </c>
      <c r="R817" t="str">
        <f t="shared" si="24"/>
        <v>yes</v>
      </c>
      <c r="S817" t="str">
        <f t="shared" si="25"/>
        <v>no</v>
      </c>
    </row>
    <row r="818" spans="1:19" x14ac:dyDescent="0.35">
      <c r="A818" s="1">
        <v>816</v>
      </c>
      <c r="B818" t="s">
        <v>75</v>
      </c>
      <c r="C818" t="s">
        <v>549</v>
      </c>
      <c r="D818" t="s">
        <v>795</v>
      </c>
      <c r="E818">
        <v>3.9772222222222223E-2</v>
      </c>
      <c r="F818">
        <v>9.0381382086188421E-3</v>
      </c>
      <c r="G818">
        <v>27</v>
      </c>
      <c r="H818" t="s">
        <v>58</v>
      </c>
      <c r="M818">
        <v>5.7848498639459907E-2</v>
      </c>
      <c r="N818">
        <v>2.1695945804984539E-2</v>
      </c>
      <c r="O818">
        <v>3.6152552834475368E-2</v>
      </c>
      <c r="P818">
        <v>4.4004883864571918</v>
      </c>
      <c r="R818" t="str">
        <f t="shared" si="24"/>
        <v>yes</v>
      </c>
      <c r="S818" t="str">
        <f t="shared" si="25"/>
        <v>no</v>
      </c>
    </row>
    <row r="819" spans="1:19" x14ac:dyDescent="0.35">
      <c r="A819" s="1">
        <v>817</v>
      </c>
      <c r="B819" t="s">
        <v>75</v>
      </c>
      <c r="C819" t="s">
        <v>549</v>
      </c>
      <c r="D819" t="s">
        <v>796</v>
      </c>
      <c r="E819">
        <v>3.258802469135802E-2</v>
      </c>
      <c r="F819">
        <v>5.9918096156845093E-3</v>
      </c>
      <c r="G819">
        <v>27</v>
      </c>
      <c r="H819" t="s">
        <v>58</v>
      </c>
      <c r="M819">
        <v>4.4571643922727042E-2</v>
      </c>
      <c r="N819">
        <v>2.0604405459989001E-2</v>
      </c>
      <c r="O819">
        <v>2.3967238462738041E-2</v>
      </c>
      <c r="P819">
        <v>5.4387617066559848</v>
      </c>
      <c r="R819" t="str">
        <f t="shared" si="24"/>
        <v>yes</v>
      </c>
      <c r="S819" t="str">
        <f t="shared" si="25"/>
        <v>no</v>
      </c>
    </row>
    <row r="820" spans="1:19" x14ac:dyDescent="0.35">
      <c r="A820" s="1">
        <v>818</v>
      </c>
      <c r="B820" t="s">
        <v>75</v>
      </c>
      <c r="C820" t="s">
        <v>549</v>
      </c>
      <c r="D820" t="s">
        <v>797</v>
      </c>
      <c r="E820">
        <v>7.3556913580246908E-2</v>
      </c>
      <c r="F820">
        <v>5.6027980679162837E-3</v>
      </c>
      <c r="G820">
        <v>27</v>
      </c>
      <c r="H820" t="s">
        <v>58</v>
      </c>
      <c r="M820">
        <v>8.4762509716079473E-2</v>
      </c>
      <c r="N820">
        <v>6.2351317444414342E-2</v>
      </c>
      <c r="O820">
        <v>2.2411192271665131E-2</v>
      </c>
      <c r="P820">
        <v>13.128603367210619</v>
      </c>
      <c r="R820" t="str">
        <f t="shared" si="24"/>
        <v>yes</v>
      </c>
      <c r="S820" t="str">
        <f t="shared" si="25"/>
        <v>no</v>
      </c>
    </row>
    <row r="821" spans="1:19" x14ac:dyDescent="0.35">
      <c r="A821" s="1">
        <v>819</v>
      </c>
      <c r="B821" t="s">
        <v>75</v>
      </c>
      <c r="C821" t="s">
        <v>549</v>
      </c>
      <c r="D821" t="s">
        <v>798</v>
      </c>
      <c r="E821">
        <v>3.97038901234568</v>
      </c>
      <c r="F821">
        <v>1.3397270493696999E-2</v>
      </c>
      <c r="G821">
        <v>27</v>
      </c>
      <c r="H821" t="s">
        <v>58</v>
      </c>
      <c r="I821">
        <v>3.6</v>
      </c>
      <c r="J821">
        <v>4.4000000000000004</v>
      </c>
      <c r="K821">
        <v>4</v>
      </c>
      <c r="L821">
        <v>0.80000000000000027</v>
      </c>
      <c r="M821">
        <v>3.9971835533330742</v>
      </c>
      <c r="N821">
        <v>3.9435944713582858</v>
      </c>
      <c r="O821">
        <v>5.35890819747884E-2</v>
      </c>
      <c r="P821">
        <v>296.35805399417927</v>
      </c>
      <c r="Q821">
        <v>14.928413970151039</v>
      </c>
      <c r="R821" t="str">
        <f t="shared" si="24"/>
        <v>yes</v>
      </c>
      <c r="S821" t="str">
        <f t="shared" si="25"/>
        <v>yes</v>
      </c>
    </row>
    <row r="822" spans="1:19" x14ac:dyDescent="0.35">
      <c r="A822" s="1">
        <v>820</v>
      </c>
      <c r="B822" t="s">
        <v>75</v>
      </c>
      <c r="C822" t="s">
        <v>549</v>
      </c>
      <c r="D822" t="s">
        <v>799</v>
      </c>
      <c r="E822">
        <v>3.8205432098765438E-2</v>
      </c>
      <c r="F822">
        <v>5.3290829481102463E-3</v>
      </c>
      <c r="G822">
        <v>27</v>
      </c>
      <c r="H822" t="s">
        <v>58</v>
      </c>
      <c r="M822">
        <v>4.8863597994985929E-2</v>
      </c>
      <c r="N822">
        <v>2.754726620254495E-2</v>
      </c>
      <c r="O822">
        <v>2.1316331792440978E-2</v>
      </c>
      <c r="P822">
        <v>7.169232018111769</v>
      </c>
      <c r="R822" t="str">
        <f t="shared" si="24"/>
        <v>yes</v>
      </c>
      <c r="S822" t="str">
        <f t="shared" si="25"/>
        <v>no</v>
      </c>
    </row>
    <row r="823" spans="1:19" x14ac:dyDescent="0.35">
      <c r="A823" s="1">
        <v>821</v>
      </c>
      <c r="B823" t="s">
        <v>75</v>
      </c>
      <c r="C823" t="s">
        <v>549</v>
      </c>
      <c r="D823" t="s">
        <v>800</v>
      </c>
      <c r="E823">
        <v>4.06962962962963E-2</v>
      </c>
      <c r="F823">
        <v>7.5134578551073854E-3</v>
      </c>
      <c r="G823">
        <v>27</v>
      </c>
      <c r="H823" t="s">
        <v>58</v>
      </c>
      <c r="M823">
        <v>5.5723212006511071E-2</v>
      </c>
      <c r="N823">
        <v>2.5669380586081529E-2</v>
      </c>
      <c r="O823">
        <v>3.0053831420429541E-2</v>
      </c>
      <c r="P823">
        <v>5.4164536596997586</v>
      </c>
      <c r="R823" t="str">
        <f t="shared" si="24"/>
        <v>yes</v>
      </c>
      <c r="S823" t="str">
        <f t="shared" si="25"/>
        <v>no</v>
      </c>
    </row>
    <row r="824" spans="1:19" x14ac:dyDescent="0.35">
      <c r="A824" s="1">
        <v>822</v>
      </c>
      <c r="B824" t="s">
        <v>75</v>
      </c>
      <c r="C824" t="s">
        <v>549</v>
      </c>
      <c r="D824" t="s">
        <v>801</v>
      </c>
      <c r="E824">
        <v>3.9678024691358033E-2</v>
      </c>
      <c r="F824">
        <v>5.7978791850327093E-3</v>
      </c>
      <c r="G824">
        <v>27</v>
      </c>
      <c r="H824" t="s">
        <v>58</v>
      </c>
      <c r="M824">
        <v>5.1273783061423453E-2</v>
      </c>
      <c r="N824">
        <v>2.8082266321292609E-2</v>
      </c>
      <c r="O824">
        <v>2.3191516740130841E-2</v>
      </c>
      <c r="P824">
        <v>6.8435411337627219</v>
      </c>
      <c r="R824" t="str">
        <f t="shared" si="24"/>
        <v>yes</v>
      </c>
      <c r="S824" t="str">
        <f t="shared" si="25"/>
        <v>no</v>
      </c>
    </row>
    <row r="825" spans="1:19" x14ac:dyDescent="0.35">
      <c r="A825" s="1">
        <v>823</v>
      </c>
      <c r="B825" t="s">
        <v>75</v>
      </c>
      <c r="C825" t="s">
        <v>549</v>
      </c>
      <c r="D825" t="s">
        <v>802</v>
      </c>
      <c r="E825">
        <v>1.801513456790123</v>
      </c>
      <c r="F825">
        <v>6.3121166147215874E-3</v>
      </c>
      <c r="G825">
        <v>27</v>
      </c>
      <c r="H825" t="s">
        <v>58</v>
      </c>
      <c r="I825">
        <v>1.62</v>
      </c>
      <c r="J825">
        <v>1.98</v>
      </c>
      <c r="K825">
        <v>1.8</v>
      </c>
      <c r="L825">
        <v>0.35999999999999988</v>
      </c>
      <c r="M825">
        <v>1.814137690019566</v>
      </c>
      <c r="N825">
        <v>1.7888892235606799</v>
      </c>
      <c r="O825">
        <v>2.5248466458886561E-2</v>
      </c>
      <c r="P825">
        <v>285.40560429262342</v>
      </c>
      <c r="Q825">
        <v>14.25829170996216</v>
      </c>
      <c r="R825" t="str">
        <f t="shared" si="24"/>
        <v>yes</v>
      </c>
      <c r="S825" t="str">
        <f t="shared" si="25"/>
        <v>yes</v>
      </c>
    </row>
    <row r="826" spans="1:19" x14ac:dyDescent="0.35">
      <c r="A826" s="1">
        <v>824</v>
      </c>
      <c r="B826" t="s">
        <v>75</v>
      </c>
      <c r="C826" t="s">
        <v>549</v>
      </c>
      <c r="D826" t="s">
        <v>803</v>
      </c>
      <c r="E826">
        <v>3.7068641975308653E-2</v>
      </c>
      <c r="F826">
        <v>1.1424293550658569E-2</v>
      </c>
      <c r="G826">
        <v>27</v>
      </c>
      <c r="H826" t="s">
        <v>58</v>
      </c>
      <c r="M826">
        <v>5.9917229076625791E-2</v>
      </c>
      <c r="N826">
        <v>1.422005487399151E-2</v>
      </c>
      <c r="O826">
        <v>4.5697174202634278E-2</v>
      </c>
      <c r="P826">
        <v>3.2447207182602358</v>
      </c>
      <c r="R826" t="str">
        <f t="shared" si="24"/>
        <v>yes</v>
      </c>
      <c r="S826" t="str">
        <f t="shared" si="25"/>
        <v>no</v>
      </c>
    </row>
    <row r="827" spans="1:19" x14ac:dyDescent="0.35">
      <c r="A827" s="1">
        <v>825</v>
      </c>
      <c r="B827" t="s">
        <v>75</v>
      </c>
      <c r="C827" t="s">
        <v>549</v>
      </c>
      <c r="D827" t="s">
        <v>804</v>
      </c>
      <c r="E827">
        <v>3.8700617283950613E-2</v>
      </c>
      <c r="F827">
        <v>1.2757288921067049E-2</v>
      </c>
      <c r="G827">
        <v>27</v>
      </c>
      <c r="H827" t="s">
        <v>58</v>
      </c>
      <c r="M827">
        <v>6.4215195126084715E-2</v>
      </c>
      <c r="N827">
        <v>1.3186039441816511E-2</v>
      </c>
      <c r="O827">
        <v>5.1029155684268197E-2</v>
      </c>
      <c r="P827">
        <v>3.0336082786399419</v>
      </c>
      <c r="R827" t="str">
        <f t="shared" si="24"/>
        <v>yes</v>
      </c>
      <c r="S827" t="str">
        <f t="shared" si="25"/>
        <v>no</v>
      </c>
    </row>
    <row r="828" spans="1:19" x14ac:dyDescent="0.35">
      <c r="A828" s="1">
        <v>826</v>
      </c>
      <c r="B828" t="s">
        <v>75</v>
      </c>
      <c r="C828" t="s">
        <v>549</v>
      </c>
      <c r="D828" t="s">
        <v>805</v>
      </c>
      <c r="E828">
        <v>3.5739012345679007E-2</v>
      </c>
      <c r="F828">
        <v>8.5563555316449345E-3</v>
      </c>
      <c r="G828">
        <v>27</v>
      </c>
      <c r="H828" t="s">
        <v>58</v>
      </c>
      <c r="M828">
        <v>5.2851723408968883E-2</v>
      </c>
      <c r="N828">
        <v>1.8626301282389141E-2</v>
      </c>
      <c r="O828">
        <v>3.4225422126579738E-2</v>
      </c>
      <c r="P828">
        <v>4.1768966020055371</v>
      </c>
      <c r="R828" t="str">
        <f t="shared" si="24"/>
        <v>yes</v>
      </c>
      <c r="S828" t="str">
        <f t="shared" si="25"/>
        <v>no</v>
      </c>
    </row>
    <row r="829" spans="1:19" x14ac:dyDescent="0.35">
      <c r="A829" s="1">
        <v>827</v>
      </c>
      <c r="B829" t="s">
        <v>75</v>
      </c>
      <c r="C829" t="s">
        <v>549</v>
      </c>
      <c r="D829" t="s">
        <v>806</v>
      </c>
      <c r="E829">
        <v>8.0207283950617284E-2</v>
      </c>
      <c r="F829">
        <v>9.9840245245986121E-3</v>
      </c>
      <c r="G829">
        <v>27</v>
      </c>
      <c r="H829" t="s">
        <v>58</v>
      </c>
      <c r="M829">
        <v>0.1001753329998145</v>
      </c>
      <c r="N829">
        <v>6.0239234901420059E-2</v>
      </c>
      <c r="O829">
        <v>3.9936098098394462E-2</v>
      </c>
      <c r="P829">
        <v>8.0335623929010591</v>
      </c>
      <c r="R829" t="str">
        <f t="shared" si="24"/>
        <v>yes</v>
      </c>
      <c r="S829" t="str">
        <f t="shared" si="25"/>
        <v>no</v>
      </c>
    </row>
    <row r="830" spans="1:19" x14ac:dyDescent="0.35">
      <c r="A830" s="1">
        <v>828</v>
      </c>
      <c r="B830" t="s">
        <v>75</v>
      </c>
      <c r="C830" t="s">
        <v>549</v>
      </c>
      <c r="D830" t="s">
        <v>807</v>
      </c>
      <c r="E830">
        <v>3.981988888888889</v>
      </c>
      <c r="F830">
        <v>1.2586077838272119E-2</v>
      </c>
      <c r="G830">
        <v>27</v>
      </c>
      <c r="H830" t="s">
        <v>58</v>
      </c>
      <c r="I830">
        <v>3.6</v>
      </c>
      <c r="J830">
        <v>4.4000000000000004</v>
      </c>
      <c r="K830">
        <v>4</v>
      </c>
      <c r="L830">
        <v>0.80000000000000027</v>
      </c>
      <c r="M830">
        <v>4.0071610445654331</v>
      </c>
      <c r="N830">
        <v>3.9568167332123449</v>
      </c>
      <c r="O830">
        <v>5.0344311353088138E-2</v>
      </c>
      <c r="P830">
        <v>316.38044353899818</v>
      </c>
      <c r="Q830">
        <v>15.890573899983</v>
      </c>
      <c r="R830" t="str">
        <f t="shared" si="24"/>
        <v>yes</v>
      </c>
      <c r="S830" t="str">
        <f t="shared" si="25"/>
        <v>yes</v>
      </c>
    </row>
    <row r="831" spans="1:19" x14ac:dyDescent="0.35">
      <c r="A831" s="1">
        <v>829</v>
      </c>
      <c r="B831" t="s">
        <v>75</v>
      </c>
      <c r="C831" t="s">
        <v>549</v>
      </c>
      <c r="D831" t="s">
        <v>808</v>
      </c>
      <c r="E831">
        <v>4.7240740740740743E-2</v>
      </c>
      <c r="F831">
        <v>1.150917526755379E-2</v>
      </c>
      <c r="G831">
        <v>27</v>
      </c>
      <c r="H831" t="s">
        <v>58</v>
      </c>
      <c r="M831">
        <v>7.0259091275848326E-2</v>
      </c>
      <c r="N831">
        <v>2.422239020563316E-2</v>
      </c>
      <c r="O831">
        <v>4.6036701070215173E-2</v>
      </c>
      <c r="P831">
        <v>4.1046156342687699</v>
      </c>
      <c r="R831" t="str">
        <f t="shared" si="24"/>
        <v>yes</v>
      </c>
      <c r="S831" t="str">
        <f t="shared" si="25"/>
        <v>no</v>
      </c>
    </row>
    <row r="832" spans="1:19" x14ac:dyDescent="0.35">
      <c r="A832" s="1">
        <v>830</v>
      </c>
      <c r="B832" t="s">
        <v>75</v>
      </c>
      <c r="C832" t="s">
        <v>549</v>
      </c>
      <c r="D832" t="s">
        <v>809</v>
      </c>
      <c r="E832">
        <v>5.1908888888888893E-2</v>
      </c>
      <c r="F832">
        <v>1.1719291152093921E-2</v>
      </c>
      <c r="G832">
        <v>27</v>
      </c>
      <c r="H832" t="s">
        <v>58</v>
      </c>
      <c r="M832">
        <v>7.5347471193076734E-2</v>
      </c>
      <c r="N832">
        <v>2.8470306584701049E-2</v>
      </c>
      <c r="O832">
        <v>4.6877164608375682E-2</v>
      </c>
      <c r="P832">
        <v>4.4293539784284803</v>
      </c>
      <c r="R832" t="str">
        <f t="shared" si="24"/>
        <v>yes</v>
      </c>
      <c r="S832" t="str">
        <f t="shared" si="25"/>
        <v>no</v>
      </c>
    </row>
    <row r="833" spans="1:19" x14ac:dyDescent="0.35">
      <c r="A833" s="1">
        <v>831</v>
      </c>
      <c r="B833" t="s">
        <v>75</v>
      </c>
      <c r="C833" t="s">
        <v>549</v>
      </c>
      <c r="D833" t="s">
        <v>810</v>
      </c>
      <c r="E833">
        <v>5.0519259259259257E-2</v>
      </c>
      <c r="F833">
        <v>1.4754353286023919E-2</v>
      </c>
      <c r="G833">
        <v>27</v>
      </c>
      <c r="H833" t="s">
        <v>58</v>
      </c>
      <c r="M833">
        <v>8.0027965831307099E-2</v>
      </c>
      <c r="N833">
        <v>2.1010552687211421E-2</v>
      </c>
      <c r="O833">
        <v>5.9017413144095678E-2</v>
      </c>
      <c r="P833">
        <v>3.4240239663444751</v>
      </c>
      <c r="R833" t="str">
        <f t="shared" si="24"/>
        <v>yes</v>
      </c>
      <c r="S833" t="str">
        <f t="shared" si="25"/>
        <v>no</v>
      </c>
    </row>
    <row r="834" spans="1:19" x14ac:dyDescent="0.35">
      <c r="A834" s="1">
        <v>832</v>
      </c>
      <c r="B834" t="s">
        <v>75</v>
      </c>
      <c r="C834" t="s">
        <v>549</v>
      </c>
      <c r="D834" t="s">
        <v>811</v>
      </c>
      <c r="E834">
        <v>1.801102098765432</v>
      </c>
      <c r="F834">
        <v>4.2834135435443534E-3</v>
      </c>
      <c r="G834">
        <v>27</v>
      </c>
      <c r="H834" t="s">
        <v>58</v>
      </c>
      <c r="I834">
        <v>1.62</v>
      </c>
      <c r="J834">
        <v>1.98</v>
      </c>
      <c r="K834">
        <v>1.8</v>
      </c>
      <c r="L834">
        <v>0.35999999999999988</v>
      </c>
      <c r="M834">
        <v>1.8096689258525209</v>
      </c>
      <c r="N834">
        <v>1.7925352716783429</v>
      </c>
      <c r="O834">
        <v>1.7133654174177341E-2</v>
      </c>
      <c r="P834">
        <v>420.48288834495582</v>
      </c>
      <c r="Q834">
        <v>21.01127969202081</v>
      </c>
      <c r="R834" t="str">
        <f t="shared" si="24"/>
        <v>yes</v>
      </c>
      <c r="S834" t="str">
        <f t="shared" si="25"/>
        <v>yes</v>
      </c>
    </row>
    <row r="835" spans="1:19" x14ac:dyDescent="0.35">
      <c r="A835" s="1">
        <v>833</v>
      </c>
      <c r="B835" t="s">
        <v>75</v>
      </c>
      <c r="C835" t="s">
        <v>549</v>
      </c>
      <c r="D835" t="s">
        <v>812</v>
      </c>
      <c r="E835">
        <v>4.1107407407407398E-2</v>
      </c>
      <c r="F835">
        <v>9.1461847975296811E-3</v>
      </c>
      <c r="G835">
        <v>27</v>
      </c>
      <c r="H835" t="s">
        <v>58</v>
      </c>
      <c r="M835">
        <v>5.9399777002466757E-2</v>
      </c>
      <c r="N835">
        <v>2.2815037812348039E-2</v>
      </c>
      <c r="O835">
        <v>3.6584739190118731E-2</v>
      </c>
      <c r="P835">
        <v>4.4944868617251439</v>
      </c>
      <c r="R835" t="str">
        <f t="shared" ref="R835:R898" si="26">IF(H835="yes","yes","no")</f>
        <v>yes</v>
      </c>
      <c r="S835" t="str">
        <f t="shared" ref="S835:S898" si="27">IF(I835,"yes","no")</f>
        <v>no</v>
      </c>
    </row>
    <row r="836" spans="1:19" x14ac:dyDescent="0.35">
      <c r="A836" s="1">
        <v>834</v>
      </c>
      <c r="B836" t="s">
        <v>75</v>
      </c>
      <c r="C836" t="s">
        <v>549</v>
      </c>
      <c r="D836" t="s">
        <v>813</v>
      </c>
      <c r="E836">
        <v>3.7030123456790118E-2</v>
      </c>
      <c r="F836">
        <v>9.3988160080757267E-3</v>
      </c>
      <c r="G836">
        <v>27</v>
      </c>
      <c r="H836" t="s">
        <v>58</v>
      </c>
      <c r="M836">
        <v>5.5827755472941568E-2</v>
      </c>
      <c r="N836">
        <v>1.8232491440638661E-2</v>
      </c>
      <c r="O836">
        <v>3.75952640323029E-2</v>
      </c>
      <c r="P836">
        <v>3.9398710885469819</v>
      </c>
      <c r="R836" t="str">
        <f t="shared" si="26"/>
        <v>yes</v>
      </c>
      <c r="S836" t="str">
        <f t="shared" si="27"/>
        <v>no</v>
      </c>
    </row>
    <row r="837" spans="1:19" x14ac:dyDescent="0.35">
      <c r="A837" s="1">
        <v>835</v>
      </c>
      <c r="B837" t="s">
        <v>75</v>
      </c>
      <c r="C837" t="s">
        <v>549</v>
      </c>
      <c r="D837" t="s">
        <v>814</v>
      </c>
      <c r="E837">
        <v>3.7954197530864188E-2</v>
      </c>
      <c r="F837">
        <v>9.1443962173718939E-3</v>
      </c>
      <c r="G837">
        <v>27</v>
      </c>
      <c r="H837" t="s">
        <v>58</v>
      </c>
      <c r="M837">
        <v>5.6242989965607983E-2</v>
      </c>
      <c r="N837">
        <v>1.96654050961204E-2</v>
      </c>
      <c r="O837">
        <v>3.6577584869487582E-2</v>
      </c>
      <c r="P837">
        <v>4.1505416682143998</v>
      </c>
      <c r="R837" t="str">
        <f t="shared" si="26"/>
        <v>yes</v>
      </c>
      <c r="S837" t="str">
        <f t="shared" si="27"/>
        <v>no</v>
      </c>
    </row>
    <row r="838" spans="1:19" x14ac:dyDescent="0.35">
      <c r="A838" s="1">
        <v>836</v>
      </c>
      <c r="B838" t="s">
        <v>75</v>
      </c>
      <c r="C838" t="s">
        <v>549</v>
      </c>
      <c r="D838" t="s">
        <v>815</v>
      </c>
      <c r="E838">
        <v>8.0053950617283945E-2</v>
      </c>
      <c r="F838">
        <v>8.8120243389775699E-3</v>
      </c>
      <c r="G838">
        <v>27</v>
      </c>
      <c r="H838" t="s">
        <v>58</v>
      </c>
      <c r="M838">
        <v>9.7677999295239085E-2</v>
      </c>
      <c r="N838">
        <v>6.2429901939328812E-2</v>
      </c>
      <c r="O838">
        <v>3.5248097355910279E-2</v>
      </c>
      <c r="P838">
        <v>9.0846265895098899</v>
      </c>
      <c r="R838" t="str">
        <f t="shared" si="26"/>
        <v>yes</v>
      </c>
      <c r="S838" t="str">
        <f t="shared" si="27"/>
        <v>no</v>
      </c>
    </row>
    <row r="839" spans="1:19" x14ac:dyDescent="0.35">
      <c r="A839" s="1">
        <v>837</v>
      </c>
      <c r="B839" t="s">
        <v>75</v>
      </c>
      <c r="C839" t="s">
        <v>549</v>
      </c>
      <c r="D839" t="s">
        <v>816</v>
      </c>
      <c r="E839">
        <v>3.9667340740740751</v>
      </c>
      <c r="F839">
        <v>1.1785721950795809E-2</v>
      </c>
      <c r="G839">
        <v>27</v>
      </c>
      <c r="H839" t="s">
        <v>58</v>
      </c>
      <c r="I839">
        <v>3.6</v>
      </c>
      <c r="J839">
        <v>4.4000000000000004</v>
      </c>
      <c r="K839">
        <v>4</v>
      </c>
      <c r="L839">
        <v>0.80000000000000027</v>
      </c>
      <c r="M839">
        <v>3.990305517975667</v>
      </c>
      <c r="N839">
        <v>3.943162630172484</v>
      </c>
      <c r="O839">
        <v>4.7142887803182987E-2</v>
      </c>
      <c r="P839">
        <v>336.57115708607301</v>
      </c>
      <c r="Q839">
        <v>16.969685933113031</v>
      </c>
      <c r="R839" t="str">
        <f t="shared" si="26"/>
        <v>yes</v>
      </c>
      <c r="S839" t="str">
        <f t="shared" si="27"/>
        <v>yes</v>
      </c>
    </row>
    <row r="840" spans="1:19" x14ac:dyDescent="0.35">
      <c r="A840" s="1">
        <v>838</v>
      </c>
      <c r="B840" t="s">
        <v>75</v>
      </c>
      <c r="C840" t="s">
        <v>549</v>
      </c>
      <c r="D840" t="s">
        <v>817</v>
      </c>
      <c r="E840">
        <v>4.9275555555555552E-2</v>
      </c>
      <c r="F840">
        <v>1.504027914756834E-2</v>
      </c>
      <c r="G840">
        <v>27</v>
      </c>
      <c r="H840" t="s">
        <v>58</v>
      </c>
      <c r="M840">
        <v>7.9356113850692231E-2</v>
      </c>
      <c r="N840">
        <v>1.9194997260418869E-2</v>
      </c>
      <c r="O840">
        <v>6.0161116590273359E-2</v>
      </c>
      <c r="P840">
        <v>3.2762394282769849</v>
      </c>
      <c r="R840" t="str">
        <f t="shared" si="26"/>
        <v>yes</v>
      </c>
      <c r="S840" t="str">
        <f t="shared" si="27"/>
        <v>no</v>
      </c>
    </row>
    <row r="841" spans="1:19" x14ac:dyDescent="0.35">
      <c r="A841" s="1">
        <v>839</v>
      </c>
      <c r="B841" t="s">
        <v>75</v>
      </c>
      <c r="C841" t="s">
        <v>549</v>
      </c>
      <c r="D841" t="s">
        <v>818</v>
      </c>
      <c r="E841">
        <v>4.9644691358024698E-2</v>
      </c>
      <c r="F841">
        <v>9.4720529764226926E-3</v>
      </c>
      <c r="G841">
        <v>27</v>
      </c>
      <c r="H841" t="s">
        <v>58</v>
      </c>
      <c r="M841">
        <v>6.8588797310870087E-2</v>
      </c>
      <c r="N841">
        <v>3.0700585405179309E-2</v>
      </c>
      <c r="O841">
        <v>3.7888211905690777E-2</v>
      </c>
      <c r="P841">
        <v>5.241175432780782</v>
      </c>
      <c r="R841" t="str">
        <f t="shared" si="26"/>
        <v>yes</v>
      </c>
      <c r="S841" t="str">
        <f t="shared" si="27"/>
        <v>no</v>
      </c>
    </row>
    <row r="842" spans="1:19" x14ac:dyDescent="0.35">
      <c r="A842" s="1">
        <v>840</v>
      </c>
      <c r="B842" t="s">
        <v>75</v>
      </c>
      <c r="C842" t="s">
        <v>549</v>
      </c>
      <c r="D842" t="s">
        <v>819</v>
      </c>
      <c r="E842">
        <v>4.7540246913580241E-2</v>
      </c>
      <c r="F842">
        <v>1.3197375769180611E-2</v>
      </c>
      <c r="G842">
        <v>27</v>
      </c>
      <c r="H842" t="s">
        <v>58</v>
      </c>
      <c r="M842">
        <v>7.3934998451941458E-2</v>
      </c>
      <c r="N842">
        <v>2.1145495375219019E-2</v>
      </c>
      <c r="O842">
        <v>5.2789503076722442E-2</v>
      </c>
      <c r="P842">
        <v>3.602250003716601</v>
      </c>
      <c r="R842" t="str">
        <f t="shared" si="26"/>
        <v>yes</v>
      </c>
      <c r="S842" t="str">
        <f t="shared" si="27"/>
        <v>no</v>
      </c>
    </row>
    <row r="843" spans="1:19" x14ac:dyDescent="0.35">
      <c r="A843" s="1">
        <v>841</v>
      </c>
      <c r="B843" t="s">
        <v>75</v>
      </c>
      <c r="C843" t="s">
        <v>820</v>
      </c>
      <c r="D843" t="s">
        <v>821</v>
      </c>
      <c r="G843">
        <v>27</v>
      </c>
      <c r="H843" t="s">
        <v>58</v>
      </c>
      <c r="R843" t="str">
        <f t="shared" si="26"/>
        <v>yes</v>
      </c>
      <c r="S843" t="str">
        <f t="shared" si="27"/>
        <v>no</v>
      </c>
    </row>
    <row r="844" spans="1:19" x14ac:dyDescent="0.35">
      <c r="A844" s="1">
        <v>842</v>
      </c>
      <c r="B844" t="s">
        <v>75</v>
      </c>
      <c r="C844" t="s">
        <v>820</v>
      </c>
      <c r="D844" t="s">
        <v>822</v>
      </c>
      <c r="E844">
        <v>28.46097407407408</v>
      </c>
      <c r="F844">
        <v>3.8497400450423158</v>
      </c>
      <c r="G844">
        <v>27</v>
      </c>
      <c r="H844" t="s">
        <v>58</v>
      </c>
      <c r="M844">
        <v>36.160454164158708</v>
      </c>
      <c r="N844">
        <v>20.76149398398945</v>
      </c>
      <c r="O844">
        <v>15.39896018016927</v>
      </c>
      <c r="P844">
        <v>7.3929599767979246</v>
      </c>
      <c r="R844" t="str">
        <f t="shared" si="26"/>
        <v>yes</v>
      </c>
      <c r="S844" t="str">
        <f t="shared" si="27"/>
        <v>no</v>
      </c>
    </row>
    <row r="845" spans="1:19" x14ac:dyDescent="0.35">
      <c r="A845" s="1">
        <v>843</v>
      </c>
      <c r="B845" t="s">
        <v>75</v>
      </c>
      <c r="C845" t="s">
        <v>820</v>
      </c>
      <c r="D845" t="s">
        <v>823</v>
      </c>
      <c r="E845">
        <v>0.1481481481481482</v>
      </c>
      <c r="F845">
        <v>0.44752022124424351</v>
      </c>
      <c r="G845">
        <v>27</v>
      </c>
      <c r="H845" t="s">
        <v>58</v>
      </c>
      <c r="M845">
        <v>1.0431885906366349</v>
      </c>
      <c r="N845">
        <v>-0.74689229434033888</v>
      </c>
      <c r="O845">
        <v>1.790080884976974</v>
      </c>
      <c r="P845">
        <v>0.33104235544094718</v>
      </c>
      <c r="R845" t="str">
        <f t="shared" si="26"/>
        <v>yes</v>
      </c>
      <c r="S845" t="str">
        <f t="shared" si="27"/>
        <v>no</v>
      </c>
    </row>
    <row r="846" spans="1:19" x14ac:dyDescent="0.35">
      <c r="A846" s="1">
        <v>844</v>
      </c>
      <c r="B846" t="s">
        <v>75</v>
      </c>
      <c r="C846" t="s">
        <v>820</v>
      </c>
      <c r="D846" t="s">
        <v>824</v>
      </c>
      <c r="G846">
        <v>27</v>
      </c>
      <c r="H846" t="s">
        <v>58</v>
      </c>
      <c r="R846" t="str">
        <f t="shared" si="26"/>
        <v>yes</v>
      </c>
      <c r="S846" t="str">
        <f t="shared" si="27"/>
        <v>no</v>
      </c>
    </row>
    <row r="847" spans="1:19" x14ac:dyDescent="0.35">
      <c r="A847" s="1">
        <v>845</v>
      </c>
      <c r="B847" t="s">
        <v>75</v>
      </c>
      <c r="C847" t="s">
        <v>820</v>
      </c>
      <c r="D847" t="s">
        <v>825</v>
      </c>
      <c r="E847">
        <v>100096395.5925926</v>
      </c>
      <c r="F847">
        <v>15.52837130869448</v>
      </c>
      <c r="G847">
        <v>27</v>
      </c>
      <c r="H847" t="s">
        <v>58</v>
      </c>
      <c r="M847">
        <v>100096426.64933521</v>
      </c>
      <c r="N847">
        <v>100096364.53585</v>
      </c>
      <c r="O847">
        <v>62.113485246896737</v>
      </c>
      <c r="P847">
        <v>6446033.1095088953</v>
      </c>
      <c r="R847" t="str">
        <f t="shared" si="26"/>
        <v>yes</v>
      </c>
      <c r="S847" t="str">
        <f t="shared" si="27"/>
        <v>no</v>
      </c>
    </row>
    <row r="848" spans="1:19" x14ac:dyDescent="0.35">
      <c r="A848" s="1">
        <v>846</v>
      </c>
      <c r="B848" t="s">
        <v>826</v>
      </c>
      <c r="C848" t="s">
        <v>76</v>
      </c>
      <c r="D848" t="s">
        <v>77</v>
      </c>
      <c r="G848">
        <v>12</v>
      </c>
      <c r="H848" t="s">
        <v>19</v>
      </c>
      <c r="R848" t="str">
        <f t="shared" si="26"/>
        <v>no</v>
      </c>
      <c r="S848" t="str">
        <f t="shared" si="27"/>
        <v>no</v>
      </c>
    </row>
    <row r="849" spans="1:19" x14ac:dyDescent="0.35">
      <c r="A849" s="1">
        <v>847</v>
      </c>
      <c r="B849" t="s">
        <v>826</v>
      </c>
      <c r="C849" t="s">
        <v>76</v>
      </c>
      <c r="D849" t="s">
        <v>78</v>
      </c>
      <c r="E849">
        <v>1</v>
      </c>
      <c r="F849">
        <v>0</v>
      </c>
      <c r="G849">
        <v>12</v>
      </c>
      <c r="H849" t="s">
        <v>19</v>
      </c>
      <c r="M849">
        <v>1</v>
      </c>
      <c r="N849">
        <v>1</v>
      </c>
      <c r="O849">
        <v>0</v>
      </c>
      <c r="P849" t="s">
        <v>21</v>
      </c>
      <c r="R849" t="str">
        <f t="shared" si="26"/>
        <v>no</v>
      </c>
      <c r="S849" t="str">
        <f t="shared" si="27"/>
        <v>no</v>
      </c>
    </row>
    <row r="850" spans="1:19" x14ac:dyDescent="0.35">
      <c r="A850" s="1">
        <v>848</v>
      </c>
      <c r="B850" t="s">
        <v>826</v>
      </c>
      <c r="C850" t="s">
        <v>76</v>
      </c>
      <c r="D850" t="s">
        <v>79</v>
      </c>
      <c r="E850">
        <v>1</v>
      </c>
      <c r="F850">
        <v>0</v>
      </c>
      <c r="G850">
        <v>12</v>
      </c>
      <c r="H850" t="s">
        <v>19</v>
      </c>
      <c r="M850">
        <v>1</v>
      </c>
      <c r="N850">
        <v>1</v>
      </c>
      <c r="O850">
        <v>0</v>
      </c>
      <c r="P850" t="s">
        <v>21</v>
      </c>
      <c r="R850" t="str">
        <f t="shared" si="26"/>
        <v>no</v>
      </c>
      <c r="S850" t="str">
        <f t="shared" si="27"/>
        <v>no</v>
      </c>
    </row>
    <row r="851" spans="1:19" x14ac:dyDescent="0.35">
      <c r="A851" s="1">
        <v>849</v>
      </c>
      <c r="B851" t="s">
        <v>826</v>
      </c>
      <c r="C851" t="s">
        <v>76</v>
      </c>
      <c r="D851" t="s">
        <v>80</v>
      </c>
      <c r="E851">
        <v>1</v>
      </c>
      <c r="F851">
        <v>0</v>
      </c>
      <c r="G851">
        <v>12</v>
      </c>
      <c r="H851" t="s">
        <v>19</v>
      </c>
      <c r="M851">
        <v>1</v>
      </c>
      <c r="N851">
        <v>1</v>
      </c>
      <c r="O851">
        <v>0</v>
      </c>
      <c r="P851" t="s">
        <v>21</v>
      </c>
      <c r="R851" t="str">
        <f t="shared" si="26"/>
        <v>no</v>
      </c>
      <c r="S851" t="str">
        <f t="shared" si="27"/>
        <v>no</v>
      </c>
    </row>
    <row r="852" spans="1:19" x14ac:dyDescent="0.35">
      <c r="A852" s="1">
        <v>850</v>
      </c>
      <c r="B852" t="s">
        <v>826</v>
      </c>
      <c r="C852" t="s">
        <v>76</v>
      </c>
      <c r="D852" t="s">
        <v>81</v>
      </c>
      <c r="E852">
        <v>1</v>
      </c>
      <c r="F852">
        <v>0</v>
      </c>
      <c r="G852">
        <v>12</v>
      </c>
      <c r="H852" t="s">
        <v>19</v>
      </c>
      <c r="M852">
        <v>1</v>
      </c>
      <c r="N852">
        <v>1</v>
      </c>
      <c r="O852">
        <v>0</v>
      </c>
      <c r="P852" t="s">
        <v>21</v>
      </c>
      <c r="R852" t="str">
        <f t="shared" si="26"/>
        <v>no</v>
      </c>
      <c r="S852" t="str">
        <f t="shared" si="27"/>
        <v>no</v>
      </c>
    </row>
    <row r="853" spans="1:19" x14ac:dyDescent="0.35">
      <c r="A853" s="1">
        <v>851</v>
      </c>
      <c r="B853" t="s">
        <v>826</v>
      </c>
      <c r="C853" t="s">
        <v>76</v>
      </c>
      <c r="D853" t="s">
        <v>82</v>
      </c>
      <c r="E853">
        <v>1</v>
      </c>
      <c r="F853">
        <v>0</v>
      </c>
      <c r="G853">
        <v>12</v>
      </c>
      <c r="H853" t="s">
        <v>19</v>
      </c>
      <c r="M853">
        <v>1</v>
      </c>
      <c r="N853">
        <v>1</v>
      </c>
      <c r="O853">
        <v>0</v>
      </c>
      <c r="P853" t="s">
        <v>21</v>
      </c>
      <c r="R853" t="str">
        <f t="shared" si="26"/>
        <v>no</v>
      </c>
      <c r="S853" t="str">
        <f t="shared" si="27"/>
        <v>no</v>
      </c>
    </row>
    <row r="854" spans="1:19" x14ac:dyDescent="0.35">
      <c r="A854" s="1">
        <v>852</v>
      </c>
      <c r="B854" t="s">
        <v>826</v>
      </c>
      <c r="C854" t="s">
        <v>76</v>
      </c>
      <c r="D854" t="s">
        <v>83</v>
      </c>
      <c r="E854">
        <v>1</v>
      </c>
      <c r="F854">
        <v>0</v>
      </c>
      <c r="G854">
        <v>12</v>
      </c>
      <c r="H854" t="s">
        <v>19</v>
      </c>
      <c r="M854">
        <v>1</v>
      </c>
      <c r="N854">
        <v>1</v>
      </c>
      <c r="O854">
        <v>0</v>
      </c>
      <c r="P854" t="s">
        <v>21</v>
      </c>
      <c r="R854" t="str">
        <f t="shared" si="26"/>
        <v>no</v>
      </c>
      <c r="S854" t="str">
        <f t="shared" si="27"/>
        <v>no</v>
      </c>
    </row>
    <row r="855" spans="1:19" x14ac:dyDescent="0.35">
      <c r="A855" s="1">
        <v>853</v>
      </c>
      <c r="B855" t="s">
        <v>826</v>
      </c>
      <c r="C855" t="s">
        <v>76</v>
      </c>
      <c r="D855" t="s">
        <v>84</v>
      </c>
      <c r="E855">
        <v>1</v>
      </c>
      <c r="F855">
        <v>0</v>
      </c>
      <c r="G855">
        <v>12</v>
      </c>
      <c r="H855" t="s">
        <v>19</v>
      </c>
      <c r="M855">
        <v>1</v>
      </c>
      <c r="N855">
        <v>1</v>
      </c>
      <c r="O855">
        <v>0</v>
      </c>
      <c r="P855" t="s">
        <v>21</v>
      </c>
      <c r="R855" t="str">
        <f t="shared" si="26"/>
        <v>no</v>
      </c>
      <c r="S855" t="str">
        <f t="shared" si="27"/>
        <v>no</v>
      </c>
    </row>
    <row r="856" spans="1:19" x14ac:dyDescent="0.35">
      <c r="A856" s="1">
        <v>854</v>
      </c>
      <c r="B856" t="s">
        <v>826</v>
      </c>
      <c r="C856" t="s">
        <v>76</v>
      </c>
      <c r="D856" t="s">
        <v>85</v>
      </c>
      <c r="E856">
        <v>44.972698047222217</v>
      </c>
      <c r="F856">
        <v>1.6773736745560059</v>
      </c>
      <c r="G856">
        <v>12</v>
      </c>
      <c r="H856" t="s">
        <v>19</v>
      </c>
      <c r="M856">
        <v>48.327445396334227</v>
      </c>
      <c r="N856">
        <v>41.617950698110207</v>
      </c>
      <c r="O856">
        <v>6.7094946982240202</v>
      </c>
      <c r="P856">
        <v>26.811377052955301</v>
      </c>
      <c r="R856" t="str">
        <f t="shared" si="26"/>
        <v>no</v>
      </c>
      <c r="S856" t="str">
        <f t="shared" si="27"/>
        <v>no</v>
      </c>
    </row>
    <row r="857" spans="1:19" x14ac:dyDescent="0.35">
      <c r="A857" s="1">
        <v>855</v>
      </c>
      <c r="B857" t="s">
        <v>826</v>
      </c>
      <c r="C857" t="s">
        <v>76</v>
      </c>
      <c r="D857" t="s">
        <v>86</v>
      </c>
      <c r="G857">
        <v>12</v>
      </c>
      <c r="H857" t="s">
        <v>19</v>
      </c>
      <c r="R857" t="str">
        <f t="shared" si="26"/>
        <v>no</v>
      </c>
      <c r="S857" t="str">
        <f t="shared" si="27"/>
        <v>no</v>
      </c>
    </row>
    <row r="858" spans="1:19" x14ac:dyDescent="0.35">
      <c r="A858" s="1">
        <v>856</v>
      </c>
      <c r="B858" t="s">
        <v>826</v>
      </c>
      <c r="C858" t="s">
        <v>251</v>
      </c>
      <c r="D858" t="s">
        <v>252</v>
      </c>
      <c r="G858">
        <v>12</v>
      </c>
      <c r="H858" t="s">
        <v>19</v>
      </c>
      <c r="R858" t="str">
        <f t="shared" si="26"/>
        <v>no</v>
      </c>
      <c r="S858" t="str">
        <f t="shared" si="27"/>
        <v>no</v>
      </c>
    </row>
    <row r="859" spans="1:19" x14ac:dyDescent="0.35">
      <c r="A859" s="1">
        <v>857</v>
      </c>
      <c r="B859" t="s">
        <v>826</v>
      </c>
      <c r="C859" t="s">
        <v>17</v>
      </c>
      <c r="D859" t="s">
        <v>18</v>
      </c>
      <c r="E859">
        <v>7721.6305555555546</v>
      </c>
      <c r="F859">
        <v>115.04740234955941</v>
      </c>
      <c r="G859">
        <v>12</v>
      </c>
      <c r="H859" t="s">
        <v>19</v>
      </c>
      <c r="M859">
        <v>7951.7253602546734</v>
      </c>
      <c r="N859">
        <v>7491.5357508564357</v>
      </c>
      <c r="O859">
        <v>460.18960939823768</v>
      </c>
      <c r="P859">
        <v>67.116948300094549</v>
      </c>
      <c r="R859" t="str">
        <f t="shared" si="26"/>
        <v>no</v>
      </c>
      <c r="S859" t="str">
        <f t="shared" si="27"/>
        <v>no</v>
      </c>
    </row>
    <row r="860" spans="1:19" x14ac:dyDescent="0.35">
      <c r="A860" s="1">
        <v>858</v>
      </c>
      <c r="B860" t="s">
        <v>826</v>
      </c>
      <c r="C860" t="s">
        <v>17</v>
      </c>
      <c r="D860" t="s">
        <v>20</v>
      </c>
      <c r="E860">
        <v>1</v>
      </c>
      <c r="F860">
        <v>0</v>
      </c>
      <c r="G860">
        <v>12</v>
      </c>
      <c r="H860" t="s">
        <v>19</v>
      </c>
      <c r="M860">
        <v>1</v>
      </c>
      <c r="N860">
        <v>1</v>
      </c>
      <c r="O860">
        <v>0</v>
      </c>
      <c r="P860" t="s">
        <v>21</v>
      </c>
      <c r="R860" t="str">
        <f t="shared" si="26"/>
        <v>no</v>
      </c>
      <c r="S860" t="str">
        <f t="shared" si="27"/>
        <v>no</v>
      </c>
    </row>
    <row r="861" spans="1:19" x14ac:dyDescent="0.35">
      <c r="A861" s="1">
        <v>859</v>
      </c>
      <c r="B861" t="s">
        <v>826</v>
      </c>
      <c r="C861" t="s">
        <v>17</v>
      </c>
      <c r="D861" t="s">
        <v>22</v>
      </c>
      <c r="E861">
        <v>7699.1972222222221</v>
      </c>
      <c r="F861">
        <v>175.02911209701449</v>
      </c>
      <c r="G861">
        <v>12</v>
      </c>
      <c r="H861" t="s">
        <v>19</v>
      </c>
      <c r="M861">
        <v>8049.2554464162513</v>
      </c>
      <c r="N861">
        <v>7349.1389980281929</v>
      </c>
      <c r="O861">
        <v>700.11644838805842</v>
      </c>
      <c r="P861">
        <v>43.988095065892473</v>
      </c>
      <c r="R861" t="str">
        <f t="shared" si="26"/>
        <v>no</v>
      </c>
      <c r="S861" t="str">
        <f t="shared" si="27"/>
        <v>no</v>
      </c>
    </row>
    <row r="862" spans="1:19" x14ac:dyDescent="0.35">
      <c r="A862" s="1">
        <v>860</v>
      </c>
      <c r="B862" t="s">
        <v>826</v>
      </c>
      <c r="C862" t="s">
        <v>17</v>
      </c>
      <c r="D862" t="s">
        <v>23</v>
      </c>
      <c r="E862">
        <v>1</v>
      </c>
      <c r="F862">
        <v>0</v>
      </c>
      <c r="G862">
        <v>12</v>
      </c>
      <c r="H862" t="s">
        <v>19</v>
      </c>
      <c r="M862">
        <v>1</v>
      </c>
      <c r="N862">
        <v>1</v>
      </c>
      <c r="O862">
        <v>0</v>
      </c>
      <c r="P862" t="s">
        <v>21</v>
      </c>
      <c r="R862" t="str">
        <f t="shared" si="26"/>
        <v>no</v>
      </c>
      <c r="S862" t="str">
        <f t="shared" si="27"/>
        <v>no</v>
      </c>
    </row>
    <row r="863" spans="1:19" x14ac:dyDescent="0.35">
      <c r="A863" s="1">
        <v>861</v>
      </c>
      <c r="B863" t="s">
        <v>826</v>
      </c>
      <c r="C863" t="s">
        <v>17</v>
      </c>
      <c r="D863" t="s">
        <v>24</v>
      </c>
      <c r="E863">
        <v>7693.8694444444454</v>
      </c>
      <c r="F863">
        <v>74.132111327691391</v>
      </c>
      <c r="G863">
        <v>12</v>
      </c>
      <c r="H863" t="s">
        <v>19</v>
      </c>
      <c r="M863">
        <v>7842.133667099828</v>
      </c>
      <c r="N863">
        <v>7545.6052217890629</v>
      </c>
      <c r="O863">
        <v>296.52844531076522</v>
      </c>
      <c r="P863">
        <v>103.7859209275005</v>
      </c>
      <c r="R863" t="str">
        <f t="shared" si="26"/>
        <v>no</v>
      </c>
      <c r="S863" t="str">
        <f t="shared" si="27"/>
        <v>no</v>
      </c>
    </row>
    <row r="864" spans="1:19" x14ac:dyDescent="0.35">
      <c r="A864" s="1">
        <v>862</v>
      </c>
      <c r="B864" t="s">
        <v>826</v>
      </c>
      <c r="C864" t="s">
        <v>17</v>
      </c>
      <c r="D864" t="s">
        <v>25</v>
      </c>
      <c r="E864">
        <v>1</v>
      </c>
      <c r="F864">
        <v>0</v>
      </c>
      <c r="G864">
        <v>12</v>
      </c>
      <c r="H864" t="s">
        <v>19</v>
      </c>
      <c r="M864">
        <v>1</v>
      </c>
      <c r="N864">
        <v>1</v>
      </c>
      <c r="O864">
        <v>0</v>
      </c>
      <c r="P864" t="s">
        <v>21</v>
      </c>
      <c r="R864" t="str">
        <f t="shared" si="26"/>
        <v>no</v>
      </c>
      <c r="S864" t="str">
        <f t="shared" si="27"/>
        <v>no</v>
      </c>
    </row>
    <row r="865" spans="1:19" x14ac:dyDescent="0.35">
      <c r="A865" s="1">
        <v>863</v>
      </c>
      <c r="B865" t="s">
        <v>826</v>
      </c>
      <c r="C865" t="s">
        <v>17</v>
      </c>
      <c r="D865" t="s">
        <v>26</v>
      </c>
      <c r="E865">
        <v>7634.0666666666666</v>
      </c>
      <c r="F865">
        <v>75.950449912311072</v>
      </c>
      <c r="G865">
        <v>12</v>
      </c>
      <c r="H865" t="s">
        <v>19</v>
      </c>
      <c r="M865">
        <v>7785.9675664912884</v>
      </c>
      <c r="N865">
        <v>7482.1657668420448</v>
      </c>
      <c r="O865">
        <v>303.80179964924349</v>
      </c>
      <c r="P865">
        <v>100.51377806820911</v>
      </c>
      <c r="R865" t="str">
        <f t="shared" si="26"/>
        <v>no</v>
      </c>
      <c r="S865" t="str">
        <f t="shared" si="27"/>
        <v>no</v>
      </c>
    </row>
    <row r="866" spans="1:19" x14ac:dyDescent="0.35">
      <c r="A866" s="1">
        <v>864</v>
      </c>
      <c r="B866" t="s">
        <v>826</v>
      </c>
      <c r="C866" t="s">
        <v>17</v>
      </c>
      <c r="D866" t="s">
        <v>27</v>
      </c>
      <c r="E866">
        <v>1</v>
      </c>
      <c r="F866">
        <v>0</v>
      </c>
      <c r="G866">
        <v>12</v>
      </c>
      <c r="H866" t="s">
        <v>19</v>
      </c>
      <c r="M866">
        <v>1</v>
      </c>
      <c r="N866">
        <v>1</v>
      </c>
      <c r="O866">
        <v>0</v>
      </c>
      <c r="P866" t="s">
        <v>21</v>
      </c>
      <c r="R866" t="str">
        <f t="shared" si="26"/>
        <v>no</v>
      </c>
      <c r="S866" t="str">
        <f t="shared" si="27"/>
        <v>no</v>
      </c>
    </row>
    <row r="867" spans="1:19" x14ac:dyDescent="0.35">
      <c r="A867" s="1">
        <v>865</v>
      </c>
      <c r="B867" t="s">
        <v>826</v>
      </c>
      <c r="C867" t="s">
        <v>17</v>
      </c>
      <c r="D867" t="s">
        <v>28</v>
      </c>
      <c r="E867">
        <v>7736.8916666666664</v>
      </c>
      <c r="F867">
        <v>111.0716074911652</v>
      </c>
      <c r="G867">
        <v>12</v>
      </c>
      <c r="H867" t="s">
        <v>19</v>
      </c>
      <c r="M867">
        <v>7959.0348816489968</v>
      </c>
      <c r="N867">
        <v>7514.748451684336</v>
      </c>
      <c r="O867">
        <v>444.28642996466078</v>
      </c>
      <c r="P867">
        <v>69.656790258321152</v>
      </c>
      <c r="R867" t="str">
        <f t="shared" si="26"/>
        <v>no</v>
      </c>
      <c r="S867" t="str">
        <f t="shared" si="27"/>
        <v>no</v>
      </c>
    </row>
    <row r="868" spans="1:19" x14ac:dyDescent="0.35">
      <c r="A868" s="1">
        <v>866</v>
      </c>
      <c r="B868" t="s">
        <v>826</v>
      </c>
      <c r="C868" t="s">
        <v>17</v>
      </c>
      <c r="D868" t="s">
        <v>29</v>
      </c>
      <c r="E868">
        <v>1</v>
      </c>
      <c r="F868">
        <v>0</v>
      </c>
      <c r="G868">
        <v>12</v>
      </c>
      <c r="H868" t="s">
        <v>19</v>
      </c>
      <c r="M868">
        <v>1</v>
      </c>
      <c r="N868">
        <v>1</v>
      </c>
      <c r="O868">
        <v>0</v>
      </c>
      <c r="P868" t="s">
        <v>21</v>
      </c>
      <c r="R868" t="str">
        <f t="shared" si="26"/>
        <v>no</v>
      </c>
      <c r="S868" t="str">
        <f t="shared" si="27"/>
        <v>no</v>
      </c>
    </row>
    <row r="869" spans="1:19" x14ac:dyDescent="0.35">
      <c r="A869" s="1">
        <v>867</v>
      </c>
      <c r="B869" t="s">
        <v>826</v>
      </c>
      <c r="C869" t="s">
        <v>17</v>
      </c>
      <c r="D869" t="s">
        <v>30</v>
      </c>
      <c r="E869">
        <v>7699.4194444444447</v>
      </c>
      <c r="F869">
        <v>200.51994071684601</v>
      </c>
      <c r="G869">
        <v>12</v>
      </c>
      <c r="H869" t="s">
        <v>19</v>
      </c>
      <c r="M869">
        <v>8100.459325878137</v>
      </c>
      <c r="N869">
        <v>7298.3795630107516</v>
      </c>
      <c r="O869">
        <v>802.07976286738449</v>
      </c>
      <c r="P869">
        <v>38.397275686994078</v>
      </c>
      <c r="R869" t="str">
        <f t="shared" si="26"/>
        <v>no</v>
      </c>
      <c r="S869" t="str">
        <f t="shared" si="27"/>
        <v>no</v>
      </c>
    </row>
    <row r="870" spans="1:19" x14ac:dyDescent="0.35">
      <c r="A870" s="1">
        <v>868</v>
      </c>
      <c r="B870" t="s">
        <v>826</v>
      </c>
      <c r="C870" t="s">
        <v>17</v>
      </c>
      <c r="D870" t="s">
        <v>31</v>
      </c>
      <c r="E870">
        <v>1</v>
      </c>
      <c r="F870">
        <v>0</v>
      </c>
      <c r="G870">
        <v>12</v>
      </c>
      <c r="H870" t="s">
        <v>19</v>
      </c>
      <c r="M870">
        <v>1</v>
      </c>
      <c r="N870">
        <v>1</v>
      </c>
      <c r="O870">
        <v>0</v>
      </c>
      <c r="P870" t="s">
        <v>21</v>
      </c>
      <c r="R870" t="str">
        <f t="shared" si="26"/>
        <v>no</v>
      </c>
      <c r="S870" t="str">
        <f t="shared" si="27"/>
        <v>no</v>
      </c>
    </row>
    <row r="871" spans="1:19" x14ac:dyDescent="0.35">
      <c r="A871" s="1">
        <v>869</v>
      </c>
      <c r="B871" t="s">
        <v>826</v>
      </c>
      <c r="C871" t="s">
        <v>17</v>
      </c>
      <c r="D871" t="s">
        <v>32</v>
      </c>
      <c r="E871">
        <v>7700.8666666666668</v>
      </c>
      <c r="F871">
        <v>64.083782006616701</v>
      </c>
      <c r="G871">
        <v>12</v>
      </c>
      <c r="H871" t="s">
        <v>19</v>
      </c>
      <c r="M871">
        <v>7829.0342306799002</v>
      </c>
      <c r="N871">
        <v>7572.6991026534333</v>
      </c>
      <c r="O871">
        <v>256.33512802646692</v>
      </c>
      <c r="P871">
        <v>120.1687295214809</v>
      </c>
      <c r="R871" t="str">
        <f t="shared" si="26"/>
        <v>no</v>
      </c>
      <c r="S871" t="str">
        <f t="shared" si="27"/>
        <v>no</v>
      </c>
    </row>
    <row r="872" spans="1:19" x14ac:dyDescent="0.35">
      <c r="A872" s="1">
        <v>870</v>
      </c>
      <c r="B872" t="s">
        <v>826</v>
      </c>
      <c r="C872" t="s">
        <v>17</v>
      </c>
      <c r="D872" t="s">
        <v>33</v>
      </c>
      <c r="E872">
        <v>1</v>
      </c>
      <c r="F872">
        <v>0</v>
      </c>
      <c r="G872">
        <v>12</v>
      </c>
      <c r="H872" t="s">
        <v>19</v>
      </c>
      <c r="M872">
        <v>1</v>
      </c>
      <c r="N872">
        <v>1</v>
      </c>
      <c r="O872">
        <v>0</v>
      </c>
      <c r="P872" t="s">
        <v>21</v>
      </c>
      <c r="R872" t="str">
        <f t="shared" si="26"/>
        <v>no</v>
      </c>
      <c r="S872" t="str">
        <f t="shared" si="27"/>
        <v>no</v>
      </c>
    </row>
    <row r="873" spans="1:19" x14ac:dyDescent="0.35">
      <c r="A873" s="1">
        <v>871</v>
      </c>
      <c r="B873" t="s">
        <v>826</v>
      </c>
      <c r="C873" t="s">
        <v>17</v>
      </c>
      <c r="D873" t="s">
        <v>34</v>
      </c>
      <c r="E873">
        <v>7658.75</v>
      </c>
      <c r="F873">
        <v>59.370388640457357</v>
      </c>
      <c r="G873">
        <v>12</v>
      </c>
      <c r="H873" t="s">
        <v>19</v>
      </c>
      <c r="M873">
        <v>7777.4907772809147</v>
      </c>
      <c r="N873">
        <v>7540.0092227190853</v>
      </c>
      <c r="O873">
        <v>237.4815545618294</v>
      </c>
      <c r="P873">
        <v>128.99949243015431</v>
      </c>
      <c r="R873" t="str">
        <f t="shared" si="26"/>
        <v>no</v>
      </c>
      <c r="S873" t="str">
        <f t="shared" si="27"/>
        <v>no</v>
      </c>
    </row>
    <row r="874" spans="1:19" x14ac:dyDescent="0.35">
      <c r="A874" s="1">
        <v>872</v>
      </c>
      <c r="B874" t="s">
        <v>826</v>
      </c>
      <c r="C874" t="s">
        <v>17</v>
      </c>
      <c r="D874" t="s">
        <v>35</v>
      </c>
      <c r="E874">
        <v>1</v>
      </c>
      <c r="F874">
        <v>0</v>
      </c>
      <c r="G874">
        <v>12</v>
      </c>
      <c r="H874" t="s">
        <v>19</v>
      </c>
      <c r="M874">
        <v>1</v>
      </c>
      <c r="N874">
        <v>1</v>
      </c>
      <c r="O874">
        <v>0</v>
      </c>
      <c r="P874" t="s">
        <v>21</v>
      </c>
      <c r="R874" t="str">
        <f t="shared" si="26"/>
        <v>no</v>
      </c>
      <c r="S874" t="str">
        <f t="shared" si="27"/>
        <v>no</v>
      </c>
    </row>
    <row r="875" spans="1:19" x14ac:dyDescent="0.35">
      <c r="A875" s="1">
        <v>873</v>
      </c>
      <c r="B875" t="s">
        <v>826</v>
      </c>
      <c r="C875" t="s">
        <v>17</v>
      </c>
      <c r="D875" t="s">
        <v>36</v>
      </c>
      <c r="E875">
        <v>2.845746666666666</v>
      </c>
      <c r="F875">
        <v>3.076736477161891E-2</v>
      </c>
      <c r="G875">
        <v>12</v>
      </c>
      <c r="H875" t="s">
        <v>19</v>
      </c>
      <c r="M875">
        <v>2.9072813962099038</v>
      </c>
      <c r="N875">
        <v>2.7842119371234282</v>
      </c>
      <c r="O875">
        <v>0.1230694590864756</v>
      </c>
      <c r="P875">
        <v>92.492375859621902</v>
      </c>
      <c r="R875" t="str">
        <f t="shared" si="26"/>
        <v>no</v>
      </c>
      <c r="S875" t="str">
        <f t="shared" si="27"/>
        <v>no</v>
      </c>
    </row>
    <row r="876" spans="1:19" x14ac:dyDescent="0.35">
      <c r="A876" s="1">
        <v>874</v>
      </c>
      <c r="B876" t="s">
        <v>826</v>
      </c>
      <c r="C876" t="s">
        <v>17</v>
      </c>
      <c r="D876" t="s">
        <v>37</v>
      </c>
      <c r="E876">
        <v>24.293457777777778</v>
      </c>
      <c r="F876">
        <v>0.30909152381254212</v>
      </c>
      <c r="G876">
        <v>12</v>
      </c>
      <c r="H876" t="s">
        <v>19</v>
      </c>
      <c r="M876">
        <v>24.911640825402859</v>
      </c>
      <c r="N876">
        <v>23.67527473015269</v>
      </c>
      <c r="O876">
        <v>1.2363660952501689</v>
      </c>
      <c r="P876">
        <v>78.596324732965755</v>
      </c>
      <c r="R876" t="str">
        <f t="shared" si="26"/>
        <v>no</v>
      </c>
      <c r="S876" t="str">
        <f t="shared" si="27"/>
        <v>no</v>
      </c>
    </row>
    <row r="877" spans="1:19" x14ac:dyDescent="0.35">
      <c r="A877" s="1">
        <v>875</v>
      </c>
      <c r="B877" t="s">
        <v>826</v>
      </c>
      <c r="C877" t="s">
        <v>17</v>
      </c>
      <c r="D877" t="s">
        <v>38</v>
      </c>
      <c r="E877">
        <v>8.5926111111111106E-2</v>
      </c>
      <c r="F877">
        <v>3.4428981441827259E-3</v>
      </c>
      <c r="G877">
        <v>12</v>
      </c>
      <c r="H877" t="s">
        <v>19</v>
      </c>
      <c r="M877">
        <v>9.2811907399476562E-2</v>
      </c>
      <c r="N877">
        <v>7.904031482274565E-2</v>
      </c>
      <c r="O877">
        <v>1.377159257673091E-2</v>
      </c>
      <c r="P877">
        <v>24.95749438777203</v>
      </c>
      <c r="R877" t="str">
        <f t="shared" si="26"/>
        <v>no</v>
      </c>
      <c r="S877" t="str">
        <f t="shared" si="27"/>
        <v>no</v>
      </c>
    </row>
    <row r="878" spans="1:19" x14ac:dyDescent="0.35">
      <c r="A878" s="1">
        <v>876</v>
      </c>
      <c r="B878" t="s">
        <v>826</v>
      </c>
      <c r="C878" t="s">
        <v>17</v>
      </c>
      <c r="D878" t="s">
        <v>39</v>
      </c>
      <c r="E878">
        <v>24.322433888888881</v>
      </c>
      <c r="F878">
        <v>0.31932352623840549</v>
      </c>
      <c r="G878">
        <v>12</v>
      </c>
      <c r="H878" t="s">
        <v>19</v>
      </c>
      <c r="M878">
        <v>24.96108094136569</v>
      </c>
      <c r="N878">
        <v>23.683786836412072</v>
      </c>
      <c r="O878">
        <v>1.2772941049536191</v>
      </c>
      <c r="P878">
        <v>76.168624890888438</v>
      </c>
      <c r="R878" t="str">
        <f t="shared" si="26"/>
        <v>no</v>
      </c>
      <c r="S878" t="str">
        <f t="shared" si="27"/>
        <v>no</v>
      </c>
    </row>
    <row r="879" spans="1:19" x14ac:dyDescent="0.35">
      <c r="A879" s="1">
        <v>877</v>
      </c>
      <c r="B879" t="s">
        <v>826</v>
      </c>
      <c r="C879" t="s">
        <v>17</v>
      </c>
      <c r="D879" t="s">
        <v>40</v>
      </c>
      <c r="E879">
        <v>9.7119999999999998E-2</v>
      </c>
      <c r="F879">
        <v>8.5622618313024347E-3</v>
      </c>
      <c r="G879">
        <v>12</v>
      </c>
      <c r="H879" t="s">
        <v>19</v>
      </c>
      <c r="M879">
        <v>0.1142445236626049</v>
      </c>
      <c r="N879">
        <v>7.9995476337395122E-2</v>
      </c>
      <c r="O879">
        <v>3.4249047325209753E-2</v>
      </c>
      <c r="P879">
        <v>11.342797255386751</v>
      </c>
      <c r="R879" t="str">
        <f t="shared" si="26"/>
        <v>no</v>
      </c>
      <c r="S879" t="str">
        <f t="shared" si="27"/>
        <v>no</v>
      </c>
    </row>
    <row r="880" spans="1:19" x14ac:dyDescent="0.35">
      <c r="A880" s="1">
        <v>878</v>
      </c>
      <c r="B880" t="s">
        <v>826</v>
      </c>
      <c r="C880" t="s">
        <v>17</v>
      </c>
      <c r="D880" t="s">
        <v>41</v>
      </c>
      <c r="E880">
        <v>24.27074</v>
      </c>
      <c r="F880">
        <v>0.2398530511198155</v>
      </c>
      <c r="G880">
        <v>12</v>
      </c>
      <c r="H880" t="s">
        <v>19</v>
      </c>
      <c r="M880">
        <v>24.750446102239628</v>
      </c>
      <c r="N880">
        <v>23.791033897760371</v>
      </c>
      <c r="O880">
        <v>0.95941220447926412</v>
      </c>
      <c r="P880">
        <v>101.19004067984891</v>
      </c>
      <c r="R880" t="str">
        <f t="shared" si="26"/>
        <v>no</v>
      </c>
      <c r="S880" t="str">
        <f t="shared" si="27"/>
        <v>no</v>
      </c>
    </row>
    <row r="881" spans="1:19" x14ac:dyDescent="0.35">
      <c r="A881" s="1">
        <v>879</v>
      </c>
      <c r="B881" t="s">
        <v>826</v>
      </c>
      <c r="C881" t="s">
        <v>17</v>
      </c>
      <c r="D881" t="s">
        <v>42</v>
      </c>
      <c r="E881">
        <v>1.9313611111111111E-2</v>
      </c>
      <c r="F881">
        <v>4.64937478760305E-3</v>
      </c>
      <c r="G881">
        <v>12</v>
      </c>
      <c r="H881" t="s">
        <v>19</v>
      </c>
      <c r="M881">
        <v>2.8612360686317211E-2</v>
      </c>
      <c r="N881">
        <v>1.001486153590501E-2</v>
      </c>
      <c r="O881">
        <v>1.85974991504122E-2</v>
      </c>
      <c r="P881">
        <v>4.1540232812825346</v>
      </c>
      <c r="R881" t="str">
        <f t="shared" si="26"/>
        <v>no</v>
      </c>
      <c r="S881" t="str">
        <f t="shared" si="27"/>
        <v>no</v>
      </c>
    </row>
    <row r="882" spans="1:19" x14ac:dyDescent="0.35">
      <c r="A882" s="1">
        <v>880</v>
      </c>
      <c r="B882" t="s">
        <v>826</v>
      </c>
      <c r="C882" t="s">
        <v>17</v>
      </c>
      <c r="D882" t="s">
        <v>43</v>
      </c>
      <c r="E882">
        <v>24.283873611111119</v>
      </c>
      <c r="F882">
        <v>0.27571904796679392</v>
      </c>
      <c r="G882">
        <v>12</v>
      </c>
      <c r="H882" t="s">
        <v>19</v>
      </c>
      <c r="M882">
        <v>24.83531170704471</v>
      </c>
      <c r="N882">
        <v>23.732435515177531</v>
      </c>
      <c r="O882">
        <v>1.102876191867175</v>
      </c>
      <c r="P882">
        <v>88.074704269382707</v>
      </c>
      <c r="R882" t="str">
        <f t="shared" si="26"/>
        <v>no</v>
      </c>
      <c r="S882" t="str">
        <f t="shared" si="27"/>
        <v>no</v>
      </c>
    </row>
    <row r="883" spans="1:19" x14ac:dyDescent="0.35">
      <c r="A883" s="1">
        <v>881</v>
      </c>
      <c r="B883" t="s">
        <v>826</v>
      </c>
      <c r="C883" t="s">
        <v>17</v>
      </c>
      <c r="D883" t="s">
        <v>44</v>
      </c>
      <c r="E883">
        <v>6.1399999999999996E-3</v>
      </c>
      <c r="F883">
        <v>6.2140480865315723E-4</v>
      </c>
      <c r="G883">
        <v>12</v>
      </c>
      <c r="H883" t="s">
        <v>19</v>
      </c>
      <c r="M883">
        <v>7.3828096173063143E-3</v>
      </c>
      <c r="N883">
        <v>4.897190382693685E-3</v>
      </c>
      <c r="O883">
        <v>2.4856192346126289E-3</v>
      </c>
      <c r="P883">
        <v>9.8808376029595504</v>
      </c>
      <c r="R883" t="str">
        <f t="shared" si="26"/>
        <v>no</v>
      </c>
      <c r="S883" t="str">
        <f t="shared" si="27"/>
        <v>no</v>
      </c>
    </row>
    <row r="884" spans="1:19" x14ac:dyDescent="0.35">
      <c r="A884" s="1">
        <v>882</v>
      </c>
      <c r="B884" t="s">
        <v>826</v>
      </c>
      <c r="C884" t="s">
        <v>17</v>
      </c>
      <c r="D884" t="s">
        <v>45</v>
      </c>
      <c r="E884">
        <v>35.987464444444441</v>
      </c>
      <c r="F884">
        <v>0.2207326090571122</v>
      </c>
      <c r="G884">
        <v>12</v>
      </c>
      <c r="H884" t="s">
        <v>19</v>
      </c>
      <c r="M884">
        <v>36.428929662558673</v>
      </c>
      <c r="N884">
        <v>35.545999226330217</v>
      </c>
      <c r="O884">
        <v>0.88293043622844891</v>
      </c>
      <c r="P884">
        <v>163.0364656956194</v>
      </c>
      <c r="R884" t="str">
        <f t="shared" si="26"/>
        <v>no</v>
      </c>
      <c r="S884" t="str">
        <f t="shared" si="27"/>
        <v>no</v>
      </c>
    </row>
    <row r="885" spans="1:19" x14ac:dyDescent="0.35">
      <c r="A885" s="1">
        <v>883</v>
      </c>
      <c r="B885" t="s">
        <v>826</v>
      </c>
      <c r="C885" t="s">
        <v>17</v>
      </c>
      <c r="D885" t="s">
        <v>46</v>
      </c>
      <c r="E885">
        <v>1.9890277777777781E-2</v>
      </c>
      <c r="F885">
        <v>1.203917525242745E-2</v>
      </c>
      <c r="G885">
        <v>12</v>
      </c>
      <c r="H885" t="s">
        <v>19</v>
      </c>
      <c r="M885">
        <v>4.3968628282632677E-2</v>
      </c>
      <c r="N885">
        <v>-4.1880727270771183E-3</v>
      </c>
      <c r="O885">
        <v>4.8156701009709799E-2</v>
      </c>
      <c r="P885">
        <v>1.6521295986423421</v>
      </c>
      <c r="R885" t="str">
        <f t="shared" si="26"/>
        <v>no</v>
      </c>
      <c r="S885" t="str">
        <f t="shared" si="27"/>
        <v>no</v>
      </c>
    </row>
    <row r="886" spans="1:19" x14ac:dyDescent="0.35">
      <c r="A886" s="1">
        <v>884</v>
      </c>
      <c r="B886" t="s">
        <v>826</v>
      </c>
      <c r="C886" t="s">
        <v>17</v>
      </c>
      <c r="D886" t="s">
        <v>47</v>
      </c>
      <c r="E886">
        <v>35.992015000000002</v>
      </c>
      <c r="F886">
        <v>0.1976677026437664</v>
      </c>
      <c r="G886">
        <v>12</v>
      </c>
      <c r="H886" t="s">
        <v>19</v>
      </c>
      <c r="M886">
        <v>36.387350405287528</v>
      </c>
      <c r="N886">
        <v>35.596679594712469</v>
      </c>
      <c r="O886">
        <v>0.79067081057506527</v>
      </c>
      <c r="P886">
        <v>182.0834386124487</v>
      </c>
      <c r="R886" t="str">
        <f t="shared" si="26"/>
        <v>no</v>
      </c>
      <c r="S886" t="str">
        <f t="shared" si="27"/>
        <v>no</v>
      </c>
    </row>
    <row r="887" spans="1:19" x14ac:dyDescent="0.35">
      <c r="A887" s="1">
        <v>885</v>
      </c>
      <c r="B887" t="s">
        <v>826</v>
      </c>
      <c r="C887" t="s">
        <v>17</v>
      </c>
      <c r="D887" t="s">
        <v>48</v>
      </c>
      <c r="E887">
        <v>6.163611111111111E-3</v>
      </c>
      <c r="F887">
        <v>5.9381529668951208E-4</v>
      </c>
      <c r="G887">
        <v>12</v>
      </c>
      <c r="H887" t="s">
        <v>19</v>
      </c>
      <c r="M887">
        <v>7.3512417044901352E-3</v>
      </c>
      <c r="N887">
        <v>4.9759805177320869E-3</v>
      </c>
      <c r="O887">
        <v>2.3752611867580479E-3</v>
      </c>
      <c r="P887">
        <v>10.379677225347519</v>
      </c>
      <c r="R887" t="str">
        <f t="shared" si="26"/>
        <v>no</v>
      </c>
      <c r="S887" t="str">
        <f t="shared" si="27"/>
        <v>no</v>
      </c>
    </row>
    <row r="888" spans="1:19" x14ac:dyDescent="0.35">
      <c r="A888" s="1">
        <v>886</v>
      </c>
      <c r="B888" t="s">
        <v>826</v>
      </c>
      <c r="C888" t="s">
        <v>17</v>
      </c>
      <c r="D888" t="s">
        <v>49</v>
      </c>
      <c r="E888">
        <v>35.950657500000013</v>
      </c>
      <c r="F888">
        <v>0.1267117217414801</v>
      </c>
      <c r="G888">
        <v>12</v>
      </c>
      <c r="H888" t="s">
        <v>19</v>
      </c>
      <c r="M888">
        <v>36.204080943482971</v>
      </c>
      <c r="N888">
        <v>35.697234056517047</v>
      </c>
      <c r="O888">
        <v>0.50684688696591707</v>
      </c>
      <c r="P888">
        <v>283.72006161629861</v>
      </c>
      <c r="R888" t="str">
        <f t="shared" si="26"/>
        <v>no</v>
      </c>
      <c r="S888" t="str">
        <f t="shared" si="27"/>
        <v>no</v>
      </c>
    </row>
    <row r="889" spans="1:19" x14ac:dyDescent="0.35">
      <c r="A889" s="1">
        <v>887</v>
      </c>
      <c r="B889" t="s">
        <v>826</v>
      </c>
      <c r="C889" t="s">
        <v>17</v>
      </c>
      <c r="D889" t="s">
        <v>50</v>
      </c>
      <c r="E889">
        <v>8.6977777777777765E-3</v>
      </c>
      <c r="F889">
        <v>8.6851986459131059E-3</v>
      </c>
      <c r="G889">
        <v>12</v>
      </c>
      <c r="H889" t="s">
        <v>19</v>
      </c>
      <c r="M889">
        <v>2.6068175069603992E-2</v>
      </c>
      <c r="N889">
        <v>-8.6726195140484352E-3</v>
      </c>
      <c r="O889">
        <v>3.4740794583652423E-2</v>
      </c>
      <c r="P889">
        <v>1.001448341296211</v>
      </c>
      <c r="R889" t="str">
        <f t="shared" si="26"/>
        <v>no</v>
      </c>
      <c r="S889" t="str">
        <f t="shared" si="27"/>
        <v>no</v>
      </c>
    </row>
    <row r="890" spans="1:19" x14ac:dyDescent="0.35">
      <c r="A890" s="1">
        <v>888</v>
      </c>
      <c r="B890" t="s">
        <v>826</v>
      </c>
      <c r="C890" t="s">
        <v>17</v>
      </c>
      <c r="D890" t="s">
        <v>51</v>
      </c>
      <c r="E890">
        <v>35.854332222222219</v>
      </c>
      <c r="F890">
        <v>0.2138520664291646</v>
      </c>
      <c r="G890">
        <v>12</v>
      </c>
      <c r="H890" t="s">
        <v>19</v>
      </c>
      <c r="M890">
        <v>36.28203635508055</v>
      </c>
      <c r="N890">
        <v>35.426628089363888</v>
      </c>
      <c r="O890">
        <v>0.85540826571666173</v>
      </c>
      <c r="P890">
        <v>167.65950790612749</v>
      </c>
      <c r="R890" t="str">
        <f t="shared" si="26"/>
        <v>no</v>
      </c>
      <c r="S890" t="str">
        <f t="shared" si="27"/>
        <v>no</v>
      </c>
    </row>
    <row r="891" spans="1:19" x14ac:dyDescent="0.35">
      <c r="A891" s="1">
        <v>889</v>
      </c>
      <c r="B891" t="s">
        <v>826</v>
      </c>
      <c r="C891" t="s">
        <v>17</v>
      </c>
      <c r="D891" t="s">
        <v>52</v>
      </c>
      <c r="E891">
        <v>8.1205555555555545E-3</v>
      </c>
      <c r="F891">
        <v>7.8008778879140152E-3</v>
      </c>
      <c r="G891">
        <v>12</v>
      </c>
      <c r="H891" t="s">
        <v>19</v>
      </c>
      <c r="M891">
        <v>2.372231133138358E-2</v>
      </c>
      <c r="N891">
        <v>-7.481200220272476E-3</v>
      </c>
      <c r="O891">
        <v>3.1203511551656061E-2</v>
      </c>
      <c r="P891">
        <v>1.0409797041095621</v>
      </c>
      <c r="R891" t="str">
        <f t="shared" si="26"/>
        <v>no</v>
      </c>
      <c r="S891" t="str">
        <f t="shared" si="27"/>
        <v>no</v>
      </c>
    </row>
    <row r="892" spans="1:19" x14ac:dyDescent="0.35">
      <c r="A892" s="1">
        <v>890</v>
      </c>
      <c r="B892" t="s">
        <v>826</v>
      </c>
      <c r="C892" t="s">
        <v>17</v>
      </c>
      <c r="D892" t="s">
        <v>53</v>
      </c>
      <c r="E892">
        <v>35.97965111111111</v>
      </c>
      <c r="F892">
        <v>0.2753682013807342</v>
      </c>
      <c r="G892">
        <v>12</v>
      </c>
      <c r="H892" t="s">
        <v>19</v>
      </c>
      <c r="M892">
        <v>36.530387513872583</v>
      </c>
      <c r="N892">
        <v>35.428914708349637</v>
      </c>
      <c r="O892">
        <v>1.101472805522931</v>
      </c>
      <c r="P892">
        <v>130.6601522278323</v>
      </c>
      <c r="R892" t="str">
        <f t="shared" si="26"/>
        <v>no</v>
      </c>
      <c r="S892" t="str">
        <f t="shared" si="27"/>
        <v>no</v>
      </c>
    </row>
    <row r="893" spans="1:19" x14ac:dyDescent="0.35">
      <c r="A893" s="1">
        <v>891</v>
      </c>
      <c r="B893" t="s">
        <v>826</v>
      </c>
      <c r="C893" t="s">
        <v>17</v>
      </c>
      <c r="D893" t="s">
        <v>54</v>
      </c>
      <c r="E893">
        <v>1.121722222222222E-2</v>
      </c>
      <c r="F893">
        <v>9.0615718382632444E-3</v>
      </c>
      <c r="G893">
        <v>12</v>
      </c>
      <c r="H893" t="s">
        <v>19</v>
      </c>
      <c r="M893">
        <v>2.9340365898748711E-2</v>
      </c>
      <c r="N893">
        <v>-6.9059214543042676E-3</v>
      </c>
      <c r="O893">
        <v>3.6246287353052978E-2</v>
      </c>
      <c r="P893">
        <v>1.2378892340572261</v>
      </c>
      <c r="R893" t="str">
        <f t="shared" si="26"/>
        <v>no</v>
      </c>
      <c r="S893" t="str">
        <f t="shared" si="27"/>
        <v>no</v>
      </c>
    </row>
    <row r="894" spans="1:19" x14ac:dyDescent="0.35">
      <c r="A894" s="1">
        <v>892</v>
      </c>
      <c r="B894" t="s">
        <v>826</v>
      </c>
      <c r="C894" t="s">
        <v>17</v>
      </c>
      <c r="D894" t="s">
        <v>55</v>
      </c>
      <c r="E894">
        <v>35.864260555555553</v>
      </c>
      <c r="F894">
        <v>6.9984177024000269E-2</v>
      </c>
      <c r="G894">
        <v>12</v>
      </c>
      <c r="H894" t="s">
        <v>19</v>
      </c>
      <c r="M894">
        <v>36.004228909603547</v>
      </c>
      <c r="N894">
        <v>35.724292201507552</v>
      </c>
      <c r="O894">
        <v>0.27993670809600252</v>
      </c>
      <c r="P894">
        <v>512.46241765844184</v>
      </c>
      <c r="R894" t="str">
        <f t="shared" si="26"/>
        <v>no</v>
      </c>
      <c r="S894" t="str">
        <f t="shared" si="27"/>
        <v>no</v>
      </c>
    </row>
    <row r="895" spans="1:19" x14ac:dyDescent="0.35">
      <c r="A895" s="1">
        <v>893</v>
      </c>
      <c r="B895" t="s">
        <v>826</v>
      </c>
      <c r="C895" t="s">
        <v>820</v>
      </c>
      <c r="D895" t="s">
        <v>821</v>
      </c>
      <c r="G895">
        <v>12</v>
      </c>
      <c r="H895" t="s">
        <v>58</v>
      </c>
      <c r="R895" t="str">
        <f t="shared" si="26"/>
        <v>yes</v>
      </c>
      <c r="S895" t="str">
        <f t="shared" si="27"/>
        <v>no</v>
      </c>
    </row>
    <row r="896" spans="1:19" x14ac:dyDescent="0.35">
      <c r="A896" s="1">
        <v>894</v>
      </c>
      <c r="B896" t="s">
        <v>826</v>
      </c>
      <c r="C896" t="s">
        <v>820</v>
      </c>
      <c r="D896" t="s">
        <v>822</v>
      </c>
      <c r="E896">
        <v>21.10779611111111</v>
      </c>
      <c r="F896">
        <v>2.9012359188745851</v>
      </c>
      <c r="G896">
        <v>12</v>
      </c>
      <c r="H896" t="s">
        <v>58</v>
      </c>
      <c r="M896">
        <v>26.91026794886028</v>
      </c>
      <c r="N896">
        <v>15.30532427336194</v>
      </c>
      <c r="O896">
        <v>11.60494367549834</v>
      </c>
      <c r="P896">
        <v>7.2754497398126139</v>
      </c>
      <c r="R896" t="str">
        <f t="shared" si="26"/>
        <v>yes</v>
      </c>
      <c r="S896" t="str">
        <f t="shared" si="27"/>
        <v>no</v>
      </c>
    </row>
    <row r="897" spans="1:19" x14ac:dyDescent="0.35">
      <c r="A897" s="1">
        <v>895</v>
      </c>
      <c r="B897" t="s">
        <v>826</v>
      </c>
      <c r="C897" t="s">
        <v>820</v>
      </c>
      <c r="D897" t="s">
        <v>823</v>
      </c>
      <c r="E897">
        <v>0</v>
      </c>
      <c r="F897">
        <v>0</v>
      </c>
      <c r="G897">
        <v>12</v>
      </c>
      <c r="H897" t="s">
        <v>58</v>
      </c>
      <c r="M897">
        <v>0</v>
      </c>
      <c r="N897">
        <v>0</v>
      </c>
      <c r="O897">
        <v>0</v>
      </c>
      <c r="R897" t="str">
        <f t="shared" si="26"/>
        <v>yes</v>
      </c>
      <c r="S897" t="str">
        <f t="shared" si="27"/>
        <v>no</v>
      </c>
    </row>
    <row r="898" spans="1:19" x14ac:dyDescent="0.35">
      <c r="A898" s="1">
        <v>896</v>
      </c>
      <c r="B898" t="s">
        <v>826</v>
      </c>
      <c r="C898" t="s">
        <v>820</v>
      </c>
      <c r="D898" t="s">
        <v>824</v>
      </c>
      <c r="G898">
        <v>12</v>
      </c>
      <c r="H898" t="s">
        <v>58</v>
      </c>
      <c r="R898" t="str">
        <f t="shared" si="26"/>
        <v>yes</v>
      </c>
      <c r="S898" t="str">
        <f t="shared" si="27"/>
        <v>no</v>
      </c>
    </row>
    <row r="899" spans="1:19" x14ac:dyDescent="0.35">
      <c r="A899" s="1">
        <v>897</v>
      </c>
      <c r="B899" t="s">
        <v>826</v>
      </c>
      <c r="C899" t="s">
        <v>820</v>
      </c>
      <c r="D899" t="s">
        <v>825</v>
      </c>
      <c r="E899">
        <v>100096383.25</v>
      </c>
      <c r="F899">
        <v>12.910751333675361</v>
      </c>
      <c r="G899">
        <v>12</v>
      </c>
      <c r="H899" t="s">
        <v>58</v>
      </c>
      <c r="M899">
        <v>100096409.0715027</v>
      </c>
      <c r="N899">
        <v>100096357.4284973</v>
      </c>
      <c r="O899">
        <v>51.643005341291428</v>
      </c>
      <c r="P899">
        <v>7752947.9627507562</v>
      </c>
      <c r="R899" t="str">
        <f t="shared" ref="R899:R962" si="28">IF(H899="yes","yes","no")</f>
        <v>yes</v>
      </c>
      <c r="S899" t="str">
        <f t="shared" ref="S899:S962" si="29">IF(I899,"yes","no")</f>
        <v>no</v>
      </c>
    </row>
    <row r="900" spans="1:19" x14ac:dyDescent="0.35">
      <c r="A900" s="1">
        <v>898</v>
      </c>
      <c r="B900" t="s">
        <v>827</v>
      </c>
      <c r="C900" t="s">
        <v>76</v>
      </c>
      <c r="D900" t="s">
        <v>77</v>
      </c>
      <c r="G900">
        <v>6</v>
      </c>
      <c r="H900" t="s">
        <v>19</v>
      </c>
      <c r="R900" t="str">
        <f t="shared" si="28"/>
        <v>no</v>
      </c>
      <c r="S900" t="str">
        <f t="shared" si="29"/>
        <v>no</v>
      </c>
    </row>
    <row r="901" spans="1:19" x14ac:dyDescent="0.35">
      <c r="A901" s="1">
        <v>899</v>
      </c>
      <c r="B901" t="s">
        <v>827</v>
      </c>
      <c r="C901" t="s">
        <v>76</v>
      </c>
      <c r="D901" t="s">
        <v>78</v>
      </c>
      <c r="E901">
        <v>1</v>
      </c>
      <c r="F901">
        <v>0</v>
      </c>
      <c r="G901">
        <v>6</v>
      </c>
      <c r="H901" t="s">
        <v>19</v>
      </c>
      <c r="M901">
        <v>1</v>
      </c>
      <c r="N901">
        <v>1</v>
      </c>
      <c r="O901">
        <v>0</v>
      </c>
      <c r="P901" t="s">
        <v>21</v>
      </c>
      <c r="R901" t="str">
        <f t="shared" si="28"/>
        <v>no</v>
      </c>
      <c r="S901" t="str">
        <f t="shared" si="29"/>
        <v>no</v>
      </c>
    </row>
    <row r="902" spans="1:19" x14ac:dyDescent="0.35">
      <c r="A902" s="1">
        <v>900</v>
      </c>
      <c r="B902" t="s">
        <v>827</v>
      </c>
      <c r="C902" t="s">
        <v>76</v>
      </c>
      <c r="D902" t="s">
        <v>79</v>
      </c>
      <c r="E902">
        <v>1</v>
      </c>
      <c r="F902">
        <v>0</v>
      </c>
      <c r="G902">
        <v>6</v>
      </c>
      <c r="H902" t="s">
        <v>19</v>
      </c>
      <c r="M902">
        <v>1</v>
      </c>
      <c r="N902">
        <v>1</v>
      </c>
      <c r="O902">
        <v>0</v>
      </c>
      <c r="P902" t="s">
        <v>21</v>
      </c>
      <c r="R902" t="str">
        <f t="shared" si="28"/>
        <v>no</v>
      </c>
      <c r="S902" t="str">
        <f t="shared" si="29"/>
        <v>no</v>
      </c>
    </row>
    <row r="903" spans="1:19" x14ac:dyDescent="0.35">
      <c r="A903" s="1">
        <v>901</v>
      </c>
      <c r="B903" t="s">
        <v>827</v>
      </c>
      <c r="C903" t="s">
        <v>76</v>
      </c>
      <c r="D903" t="s">
        <v>80</v>
      </c>
      <c r="E903">
        <v>1</v>
      </c>
      <c r="F903">
        <v>0</v>
      </c>
      <c r="G903">
        <v>6</v>
      </c>
      <c r="H903" t="s">
        <v>19</v>
      </c>
      <c r="M903">
        <v>1</v>
      </c>
      <c r="N903">
        <v>1</v>
      </c>
      <c r="O903">
        <v>0</v>
      </c>
      <c r="P903" t="s">
        <v>21</v>
      </c>
      <c r="R903" t="str">
        <f t="shared" si="28"/>
        <v>no</v>
      </c>
      <c r="S903" t="str">
        <f t="shared" si="29"/>
        <v>no</v>
      </c>
    </row>
    <row r="904" spans="1:19" x14ac:dyDescent="0.35">
      <c r="A904" s="1">
        <v>902</v>
      </c>
      <c r="B904" t="s">
        <v>827</v>
      </c>
      <c r="C904" t="s">
        <v>76</v>
      </c>
      <c r="D904" t="s">
        <v>81</v>
      </c>
      <c r="E904">
        <v>1</v>
      </c>
      <c r="F904">
        <v>0</v>
      </c>
      <c r="G904">
        <v>6</v>
      </c>
      <c r="H904" t="s">
        <v>19</v>
      </c>
      <c r="M904">
        <v>1</v>
      </c>
      <c r="N904">
        <v>1</v>
      </c>
      <c r="O904">
        <v>0</v>
      </c>
      <c r="P904" t="s">
        <v>21</v>
      </c>
      <c r="R904" t="str">
        <f t="shared" si="28"/>
        <v>no</v>
      </c>
      <c r="S904" t="str">
        <f t="shared" si="29"/>
        <v>no</v>
      </c>
    </row>
    <row r="905" spans="1:19" x14ac:dyDescent="0.35">
      <c r="A905" s="1">
        <v>903</v>
      </c>
      <c r="B905" t="s">
        <v>827</v>
      </c>
      <c r="C905" t="s">
        <v>76</v>
      </c>
      <c r="D905" t="s">
        <v>82</v>
      </c>
      <c r="E905">
        <v>1</v>
      </c>
      <c r="F905">
        <v>0</v>
      </c>
      <c r="G905">
        <v>6</v>
      </c>
      <c r="H905" t="s">
        <v>19</v>
      </c>
      <c r="M905">
        <v>1</v>
      </c>
      <c r="N905">
        <v>1</v>
      </c>
      <c r="O905">
        <v>0</v>
      </c>
      <c r="P905" t="s">
        <v>21</v>
      </c>
      <c r="R905" t="str">
        <f t="shared" si="28"/>
        <v>no</v>
      </c>
      <c r="S905" t="str">
        <f t="shared" si="29"/>
        <v>no</v>
      </c>
    </row>
    <row r="906" spans="1:19" x14ac:dyDescent="0.35">
      <c r="A906" s="1">
        <v>904</v>
      </c>
      <c r="B906" t="s">
        <v>827</v>
      </c>
      <c r="C906" t="s">
        <v>76</v>
      </c>
      <c r="D906" t="s">
        <v>83</v>
      </c>
      <c r="E906">
        <v>1</v>
      </c>
      <c r="F906">
        <v>0</v>
      </c>
      <c r="G906">
        <v>6</v>
      </c>
      <c r="H906" t="s">
        <v>19</v>
      </c>
      <c r="M906">
        <v>1</v>
      </c>
      <c r="N906">
        <v>1</v>
      </c>
      <c r="O906">
        <v>0</v>
      </c>
      <c r="P906" t="s">
        <v>21</v>
      </c>
      <c r="R906" t="str">
        <f t="shared" si="28"/>
        <v>no</v>
      </c>
      <c r="S906" t="str">
        <f t="shared" si="29"/>
        <v>no</v>
      </c>
    </row>
    <row r="907" spans="1:19" x14ac:dyDescent="0.35">
      <c r="A907" s="1">
        <v>905</v>
      </c>
      <c r="B907" t="s">
        <v>827</v>
      </c>
      <c r="C907" t="s">
        <v>76</v>
      </c>
      <c r="D907" t="s">
        <v>84</v>
      </c>
      <c r="E907">
        <v>1</v>
      </c>
      <c r="F907">
        <v>0</v>
      </c>
      <c r="G907">
        <v>6</v>
      </c>
      <c r="H907" t="s">
        <v>19</v>
      </c>
      <c r="M907">
        <v>1</v>
      </c>
      <c r="N907">
        <v>1</v>
      </c>
      <c r="O907">
        <v>0</v>
      </c>
      <c r="P907" t="s">
        <v>21</v>
      </c>
      <c r="R907" t="str">
        <f t="shared" si="28"/>
        <v>no</v>
      </c>
      <c r="S907" t="str">
        <f t="shared" si="29"/>
        <v>no</v>
      </c>
    </row>
    <row r="908" spans="1:19" x14ac:dyDescent="0.35">
      <c r="A908" s="1">
        <v>906</v>
      </c>
      <c r="B908" t="s">
        <v>827</v>
      </c>
      <c r="C908" t="s">
        <v>76</v>
      </c>
      <c r="D908" t="s">
        <v>85</v>
      </c>
      <c r="E908">
        <v>48.600484238888882</v>
      </c>
      <c r="F908">
        <v>2.049871913961038</v>
      </c>
      <c r="G908">
        <v>6</v>
      </c>
      <c r="H908" t="s">
        <v>19</v>
      </c>
      <c r="M908">
        <v>52.700228066810958</v>
      </c>
      <c r="N908">
        <v>44.500740410966813</v>
      </c>
      <c r="O908">
        <v>8.1994876558441518</v>
      </c>
      <c r="P908">
        <v>23.709034651329262</v>
      </c>
      <c r="R908" t="str">
        <f t="shared" si="28"/>
        <v>no</v>
      </c>
      <c r="S908" t="str">
        <f t="shared" si="29"/>
        <v>no</v>
      </c>
    </row>
    <row r="909" spans="1:19" x14ac:dyDescent="0.35">
      <c r="A909" s="1">
        <v>907</v>
      </c>
      <c r="B909" t="s">
        <v>827</v>
      </c>
      <c r="C909" t="s">
        <v>76</v>
      </c>
      <c r="D909" t="s">
        <v>86</v>
      </c>
      <c r="G909">
        <v>6</v>
      </c>
      <c r="H909" t="s">
        <v>19</v>
      </c>
      <c r="R909" t="str">
        <f t="shared" si="28"/>
        <v>no</v>
      </c>
      <c r="S909" t="str">
        <f t="shared" si="29"/>
        <v>no</v>
      </c>
    </row>
    <row r="910" spans="1:19" x14ac:dyDescent="0.35">
      <c r="A910" s="1">
        <v>908</v>
      </c>
      <c r="B910" t="s">
        <v>827</v>
      </c>
      <c r="C910" t="s">
        <v>87</v>
      </c>
      <c r="D910" t="s">
        <v>88</v>
      </c>
      <c r="G910">
        <v>6</v>
      </c>
      <c r="H910" t="s">
        <v>19</v>
      </c>
      <c r="R910" t="str">
        <f t="shared" si="28"/>
        <v>no</v>
      </c>
      <c r="S910" t="str">
        <f t="shared" si="29"/>
        <v>no</v>
      </c>
    </row>
    <row r="911" spans="1:19" x14ac:dyDescent="0.35">
      <c r="A911" s="1">
        <v>909</v>
      </c>
      <c r="B911" t="s">
        <v>827</v>
      </c>
      <c r="C911" t="s">
        <v>87</v>
      </c>
      <c r="D911" t="s">
        <v>89</v>
      </c>
      <c r="E911">
        <v>1</v>
      </c>
      <c r="F911">
        <v>0</v>
      </c>
      <c r="G911">
        <v>6</v>
      </c>
      <c r="H911" t="s">
        <v>19</v>
      </c>
      <c r="M911">
        <v>1</v>
      </c>
      <c r="N911">
        <v>1</v>
      </c>
      <c r="O911">
        <v>0</v>
      </c>
      <c r="P911" t="s">
        <v>21</v>
      </c>
      <c r="R911" t="str">
        <f t="shared" si="28"/>
        <v>no</v>
      </c>
      <c r="S911" t="str">
        <f t="shared" si="29"/>
        <v>no</v>
      </c>
    </row>
    <row r="912" spans="1:19" x14ac:dyDescent="0.35">
      <c r="A912" s="1">
        <v>910</v>
      </c>
      <c r="B912" t="s">
        <v>827</v>
      </c>
      <c r="C912" t="s">
        <v>87</v>
      </c>
      <c r="D912" t="s">
        <v>90</v>
      </c>
      <c r="E912">
        <v>1</v>
      </c>
      <c r="F912">
        <v>0</v>
      </c>
      <c r="G912">
        <v>6</v>
      </c>
      <c r="H912" t="s">
        <v>19</v>
      </c>
      <c r="M912">
        <v>1</v>
      </c>
      <c r="N912">
        <v>1</v>
      </c>
      <c r="O912">
        <v>0</v>
      </c>
      <c r="P912" t="s">
        <v>21</v>
      </c>
      <c r="R912" t="str">
        <f t="shared" si="28"/>
        <v>no</v>
      </c>
      <c r="S912" t="str">
        <f t="shared" si="29"/>
        <v>no</v>
      </c>
    </row>
    <row r="913" spans="1:19" x14ac:dyDescent="0.35">
      <c r="A913" s="1">
        <v>911</v>
      </c>
      <c r="B913" t="s">
        <v>827</v>
      </c>
      <c r="C913" t="s">
        <v>87</v>
      </c>
      <c r="D913" t="s">
        <v>91</v>
      </c>
      <c r="G913">
        <v>6</v>
      </c>
      <c r="H913" t="s">
        <v>19</v>
      </c>
      <c r="R913" t="str">
        <f t="shared" si="28"/>
        <v>no</v>
      </c>
      <c r="S913" t="str">
        <f t="shared" si="29"/>
        <v>no</v>
      </c>
    </row>
    <row r="914" spans="1:19" x14ac:dyDescent="0.35">
      <c r="A914" s="1">
        <v>912</v>
      </c>
      <c r="B914" t="s">
        <v>827</v>
      </c>
      <c r="C914" t="s">
        <v>87</v>
      </c>
      <c r="D914" t="s">
        <v>92</v>
      </c>
      <c r="E914">
        <v>34.62083333333333</v>
      </c>
      <c r="F914">
        <v>1.1145390798446779</v>
      </c>
      <c r="G914">
        <v>6</v>
      </c>
      <c r="H914" t="s">
        <v>19</v>
      </c>
      <c r="M914">
        <v>36.849911493022688</v>
      </c>
      <c r="N914">
        <v>32.391755173643972</v>
      </c>
      <c r="O914">
        <v>4.4581563193787161</v>
      </c>
      <c r="P914">
        <v>31.062915566996619</v>
      </c>
      <c r="R914" t="str">
        <f t="shared" si="28"/>
        <v>no</v>
      </c>
      <c r="S914" t="str">
        <f t="shared" si="29"/>
        <v>no</v>
      </c>
    </row>
    <row r="915" spans="1:19" x14ac:dyDescent="0.35">
      <c r="A915" s="1">
        <v>913</v>
      </c>
      <c r="B915" t="s">
        <v>827</v>
      </c>
      <c r="C915" t="s">
        <v>87</v>
      </c>
      <c r="D915" t="s">
        <v>93</v>
      </c>
      <c r="E915">
        <v>36.245138888888889</v>
      </c>
      <c r="F915">
        <v>0.86128068591958873</v>
      </c>
      <c r="G915">
        <v>6</v>
      </c>
      <c r="H915" t="s">
        <v>19</v>
      </c>
      <c r="M915">
        <v>37.967700260728073</v>
      </c>
      <c r="N915">
        <v>34.522577517049712</v>
      </c>
      <c r="O915">
        <v>3.445122743678354</v>
      </c>
      <c r="P915">
        <v>42.082841844049923</v>
      </c>
      <c r="R915" t="str">
        <f t="shared" si="28"/>
        <v>no</v>
      </c>
      <c r="S915" t="str">
        <f t="shared" si="29"/>
        <v>no</v>
      </c>
    </row>
    <row r="916" spans="1:19" x14ac:dyDescent="0.35">
      <c r="A916" s="1">
        <v>914</v>
      </c>
      <c r="B916" t="s">
        <v>827</v>
      </c>
      <c r="C916" t="s">
        <v>94</v>
      </c>
      <c r="D916" t="s">
        <v>95</v>
      </c>
      <c r="E916">
        <v>30.542727611111111</v>
      </c>
      <c r="F916">
        <v>0.98455142970485054</v>
      </c>
      <c r="G916">
        <v>6</v>
      </c>
      <c r="H916" t="s">
        <v>19</v>
      </c>
      <c r="M916">
        <v>32.511830470520813</v>
      </c>
      <c r="N916">
        <v>28.573624751701409</v>
      </c>
      <c r="O916">
        <v>3.938205718819404</v>
      </c>
      <c r="P916">
        <v>31.021972737642791</v>
      </c>
      <c r="R916" t="str">
        <f t="shared" si="28"/>
        <v>no</v>
      </c>
      <c r="S916" t="str">
        <f t="shared" si="29"/>
        <v>no</v>
      </c>
    </row>
    <row r="917" spans="1:19" x14ac:dyDescent="0.35">
      <c r="A917" s="1">
        <v>915</v>
      </c>
      <c r="B917" t="s">
        <v>827</v>
      </c>
      <c r="C917" t="s">
        <v>94</v>
      </c>
      <c r="D917" t="s">
        <v>96</v>
      </c>
      <c r="E917">
        <v>60</v>
      </c>
      <c r="F917">
        <v>0</v>
      </c>
      <c r="G917">
        <v>6</v>
      </c>
      <c r="H917" t="s">
        <v>19</v>
      </c>
      <c r="M917">
        <v>60</v>
      </c>
      <c r="N917">
        <v>60</v>
      </c>
      <c r="O917">
        <v>0</v>
      </c>
      <c r="P917" t="s">
        <v>21</v>
      </c>
      <c r="R917" t="str">
        <f t="shared" si="28"/>
        <v>no</v>
      </c>
      <c r="S917" t="str">
        <f t="shared" si="29"/>
        <v>no</v>
      </c>
    </row>
    <row r="918" spans="1:19" x14ac:dyDescent="0.35">
      <c r="A918" s="1">
        <v>916</v>
      </c>
      <c r="B918" t="s">
        <v>827</v>
      </c>
      <c r="C918" t="s">
        <v>94</v>
      </c>
      <c r="D918" t="s">
        <v>97</v>
      </c>
      <c r="E918">
        <v>33.22827927777778</v>
      </c>
      <c r="F918">
        <v>1.008723427526278</v>
      </c>
      <c r="G918">
        <v>6</v>
      </c>
      <c r="H918" t="s">
        <v>19</v>
      </c>
      <c r="M918">
        <v>35.245726132830328</v>
      </c>
      <c r="N918">
        <v>31.210832422725229</v>
      </c>
      <c r="O918">
        <v>4.0348937101051092</v>
      </c>
      <c r="P918">
        <v>32.940921536108718</v>
      </c>
      <c r="R918" t="str">
        <f t="shared" si="28"/>
        <v>no</v>
      </c>
      <c r="S918" t="str">
        <f t="shared" si="29"/>
        <v>no</v>
      </c>
    </row>
    <row r="919" spans="1:19" x14ac:dyDescent="0.35">
      <c r="A919" s="1">
        <v>917</v>
      </c>
      <c r="B919" t="s">
        <v>827</v>
      </c>
      <c r="C919" t="s">
        <v>94</v>
      </c>
      <c r="D919" t="s">
        <v>98</v>
      </c>
      <c r="E919">
        <v>27.85717593888889</v>
      </c>
      <c r="F919">
        <v>0.96935562217816329</v>
      </c>
      <c r="G919">
        <v>6</v>
      </c>
      <c r="H919" t="s">
        <v>19</v>
      </c>
      <c r="M919">
        <v>29.79588718324522</v>
      </c>
      <c r="N919">
        <v>25.91846469453256</v>
      </c>
      <c r="O919">
        <v>3.877422488712654</v>
      </c>
      <c r="P919">
        <v>28.737828823123969</v>
      </c>
      <c r="R919" t="str">
        <f t="shared" si="28"/>
        <v>no</v>
      </c>
      <c r="S919" t="str">
        <f t="shared" si="29"/>
        <v>no</v>
      </c>
    </row>
    <row r="920" spans="1:19" x14ac:dyDescent="0.35">
      <c r="A920" s="1">
        <v>918</v>
      </c>
      <c r="B920" t="s">
        <v>827</v>
      </c>
      <c r="C920" t="s">
        <v>99</v>
      </c>
      <c r="D920" t="s">
        <v>100</v>
      </c>
      <c r="G920">
        <v>6</v>
      </c>
      <c r="H920" t="s">
        <v>19</v>
      </c>
      <c r="R920" t="str">
        <f t="shared" si="28"/>
        <v>no</v>
      </c>
      <c r="S920" t="str">
        <f t="shared" si="29"/>
        <v>no</v>
      </c>
    </row>
    <row r="921" spans="1:19" x14ac:dyDescent="0.35">
      <c r="A921" s="1">
        <v>919</v>
      </c>
      <c r="B921" t="s">
        <v>827</v>
      </c>
      <c r="C921" t="s">
        <v>99</v>
      </c>
      <c r="D921" t="s">
        <v>101</v>
      </c>
      <c r="E921">
        <v>1</v>
      </c>
      <c r="F921">
        <v>0</v>
      </c>
      <c r="G921">
        <v>6</v>
      </c>
      <c r="H921" t="s">
        <v>19</v>
      </c>
      <c r="M921">
        <v>1</v>
      </c>
      <c r="N921">
        <v>1</v>
      </c>
      <c r="O921">
        <v>0</v>
      </c>
      <c r="P921" t="s">
        <v>21</v>
      </c>
      <c r="R921" t="str">
        <f t="shared" si="28"/>
        <v>no</v>
      </c>
      <c r="S921" t="str">
        <f t="shared" si="29"/>
        <v>no</v>
      </c>
    </row>
    <row r="922" spans="1:19" x14ac:dyDescent="0.35">
      <c r="A922" s="1">
        <v>920</v>
      </c>
      <c r="B922" t="s">
        <v>827</v>
      </c>
      <c r="C922" t="s">
        <v>99</v>
      </c>
      <c r="D922" t="s">
        <v>102</v>
      </c>
      <c r="E922">
        <v>1</v>
      </c>
      <c r="F922">
        <v>0</v>
      </c>
      <c r="G922">
        <v>6</v>
      </c>
      <c r="H922" t="s">
        <v>19</v>
      </c>
      <c r="M922">
        <v>1</v>
      </c>
      <c r="N922">
        <v>1</v>
      </c>
      <c r="O922">
        <v>0</v>
      </c>
      <c r="P922" t="s">
        <v>21</v>
      </c>
      <c r="R922" t="str">
        <f t="shared" si="28"/>
        <v>no</v>
      </c>
      <c r="S922" t="str">
        <f t="shared" si="29"/>
        <v>no</v>
      </c>
    </row>
    <row r="923" spans="1:19" x14ac:dyDescent="0.35">
      <c r="A923" s="1">
        <v>921</v>
      </c>
      <c r="B923" t="s">
        <v>827</v>
      </c>
      <c r="C923" t="s">
        <v>99</v>
      </c>
      <c r="D923" t="s">
        <v>103</v>
      </c>
      <c r="E923">
        <v>1</v>
      </c>
      <c r="F923">
        <v>0</v>
      </c>
      <c r="G923">
        <v>6</v>
      </c>
      <c r="H923" t="s">
        <v>19</v>
      </c>
      <c r="M923">
        <v>1</v>
      </c>
      <c r="N923">
        <v>1</v>
      </c>
      <c r="O923">
        <v>0</v>
      </c>
      <c r="P923" t="s">
        <v>21</v>
      </c>
      <c r="R923" t="str">
        <f t="shared" si="28"/>
        <v>no</v>
      </c>
      <c r="S923" t="str">
        <f t="shared" si="29"/>
        <v>no</v>
      </c>
    </row>
    <row r="924" spans="1:19" x14ac:dyDescent="0.35">
      <c r="A924" s="1">
        <v>922</v>
      </c>
      <c r="B924" t="s">
        <v>827</v>
      </c>
      <c r="C924" t="s">
        <v>99</v>
      </c>
      <c r="D924" t="s">
        <v>104</v>
      </c>
      <c r="E924">
        <v>1</v>
      </c>
      <c r="F924">
        <v>0</v>
      </c>
      <c r="G924">
        <v>6</v>
      </c>
      <c r="H924" t="s">
        <v>19</v>
      </c>
      <c r="M924">
        <v>1</v>
      </c>
      <c r="N924">
        <v>1</v>
      </c>
      <c r="O924">
        <v>0</v>
      </c>
      <c r="P924" t="s">
        <v>21</v>
      </c>
      <c r="R924" t="str">
        <f t="shared" si="28"/>
        <v>no</v>
      </c>
      <c r="S924" t="str">
        <f t="shared" si="29"/>
        <v>no</v>
      </c>
    </row>
    <row r="925" spans="1:19" x14ac:dyDescent="0.35">
      <c r="A925" s="1">
        <v>923</v>
      </c>
      <c r="B925" t="s">
        <v>827</v>
      </c>
      <c r="C925" t="s">
        <v>99</v>
      </c>
      <c r="D925" t="s">
        <v>105</v>
      </c>
      <c r="E925">
        <v>40.4</v>
      </c>
      <c r="F925">
        <v>5.9370004653274142</v>
      </c>
      <c r="G925">
        <v>6</v>
      </c>
      <c r="H925" t="s">
        <v>19</v>
      </c>
      <c r="M925">
        <v>52.274000930654829</v>
      </c>
      <c r="N925">
        <v>28.525999069345168</v>
      </c>
      <c r="O925">
        <v>23.74800186130966</v>
      </c>
      <c r="P925">
        <v>6.8047830273787957</v>
      </c>
      <c r="R925" t="str">
        <f t="shared" si="28"/>
        <v>no</v>
      </c>
      <c r="S925" t="str">
        <f t="shared" si="29"/>
        <v>no</v>
      </c>
    </row>
    <row r="926" spans="1:19" x14ac:dyDescent="0.35">
      <c r="A926" s="1">
        <v>924</v>
      </c>
      <c r="B926" t="s">
        <v>827</v>
      </c>
      <c r="C926" t="s">
        <v>99</v>
      </c>
      <c r="D926" t="s">
        <v>106</v>
      </c>
      <c r="E926">
        <v>39.56666666666667</v>
      </c>
      <c r="F926">
        <v>5.5493127286553579</v>
      </c>
      <c r="G926">
        <v>6</v>
      </c>
      <c r="H926" t="s">
        <v>19</v>
      </c>
      <c r="M926">
        <v>50.665292123977387</v>
      </c>
      <c r="N926">
        <v>28.468041209355949</v>
      </c>
      <c r="O926">
        <v>22.197250914621431</v>
      </c>
      <c r="P926">
        <v>7.1300120575929382</v>
      </c>
      <c r="R926" t="str">
        <f t="shared" si="28"/>
        <v>no</v>
      </c>
      <c r="S926" t="str">
        <f t="shared" si="29"/>
        <v>no</v>
      </c>
    </row>
    <row r="927" spans="1:19" x14ac:dyDescent="0.35">
      <c r="A927" s="1">
        <v>925</v>
      </c>
      <c r="B927" t="s">
        <v>827</v>
      </c>
      <c r="C927" t="s">
        <v>99</v>
      </c>
      <c r="D927" t="s">
        <v>107</v>
      </c>
      <c r="G927">
        <v>6</v>
      </c>
      <c r="H927" t="s">
        <v>19</v>
      </c>
      <c r="R927" t="str">
        <f t="shared" si="28"/>
        <v>no</v>
      </c>
      <c r="S927" t="str">
        <f t="shared" si="29"/>
        <v>no</v>
      </c>
    </row>
    <row r="928" spans="1:19" x14ac:dyDescent="0.35">
      <c r="A928" s="1">
        <v>926</v>
      </c>
      <c r="B928" t="s">
        <v>827</v>
      </c>
      <c r="C928" t="s">
        <v>99</v>
      </c>
      <c r="D928" t="s">
        <v>108</v>
      </c>
      <c r="E928">
        <v>1</v>
      </c>
      <c r="F928">
        <v>0</v>
      </c>
      <c r="G928">
        <v>6</v>
      </c>
      <c r="H928" t="s">
        <v>19</v>
      </c>
      <c r="M928">
        <v>1</v>
      </c>
      <c r="N928">
        <v>1</v>
      </c>
      <c r="O928">
        <v>0</v>
      </c>
      <c r="P928" t="s">
        <v>21</v>
      </c>
      <c r="R928" t="str">
        <f t="shared" si="28"/>
        <v>no</v>
      </c>
      <c r="S928" t="str">
        <f t="shared" si="29"/>
        <v>no</v>
      </c>
    </row>
    <row r="929" spans="1:19" x14ac:dyDescent="0.35">
      <c r="A929" s="1">
        <v>927</v>
      </c>
      <c r="B929" t="s">
        <v>827</v>
      </c>
      <c r="C929" t="s">
        <v>99</v>
      </c>
      <c r="D929" t="s">
        <v>109</v>
      </c>
      <c r="E929">
        <v>1</v>
      </c>
      <c r="F929">
        <v>0</v>
      </c>
      <c r="G929">
        <v>6</v>
      </c>
      <c r="H929" t="s">
        <v>19</v>
      </c>
      <c r="M929">
        <v>1</v>
      </c>
      <c r="N929">
        <v>1</v>
      </c>
      <c r="O929">
        <v>0</v>
      </c>
      <c r="P929" t="s">
        <v>21</v>
      </c>
      <c r="R929" t="str">
        <f t="shared" si="28"/>
        <v>no</v>
      </c>
      <c r="S929" t="str">
        <f t="shared" si="29"/>
        <v>no</v>
      </c>
    </row>
    <row r="930" spans="1:19" x14ac:dyDescent="0.35">
      <c r="A930" s="1">
        <v>928</v>
      </c>
      <c r="B930" t="s">
        <v>827</v>
      </c>
      <c r="C930" t="s">
        <v>99</v>
      </c>
      <c r="D930" t="s">
        <v>110</v>
      </c>
      <c r="E930">
        <v>1</v>
      </c>
      <c r="F930">
        <v>0</v>
      </c>
      <c r="G930">
        <v>6</v>
      </c>
      <c r="H930" t="s">
        <v>19</v>
      </c>
      <c r="M930">
        <v>1</v>
      </c>
      <c r="N930">
        <v>1</v>
      </c>
      <c r="O930">
        <v>0</v>
      </c>
      <c r="P930" t="s">
        <v>21</v>
      </c>
      <c r="R930" t="str">
        <f t="shared" si="28"/>
        <v>no</v>
      </c>
      <c r="S930" t="str">
        <f t="shared" si="29"/>
        <v>no</v>
      </c>
    </row>
    <row r="931" spans="1:19" x14ac:dyDescent="0.35">
      <c r="A931" s="1">
        <v>929</v>
      </c>
      <c r="B931" t="s">
        <v>827</v>
      </c>
      <c r="C931" t="s">
        <v>99</v>
      </c>
      <c r="D931" t="s">
        <v>111</v>
      </c>
      <c r="E931">
        <v>1</v>
      </c>
      <c r="F931">
        <v>0</v>
      </c>
      <c r="G931">
        <v>6</v>
      </c>
      <c r="H931" t="s">
        <v>19</v>
      </c>
      <c r="M931">
        <v>1</v>
      </c>
      <c r="N931">
        <v>1</v>
      </c>
      <c r="O931">
        <v>0</v>
      </c>
      <c r="P931" t="s">
        <v>21</v>
      </c>
      <c r="R931" t="str">
        <f t="shared" si="28"/>
        <v>no</v>
      </c>
      <c r="S931" t="str">
        <f t="shared" si="29"/>
        <v>no</v>
      </c>
    </row>
    <row r="932" spans="1:19" x14ac:dyDescent="0.35">
      <c r="A932" s="1">
        <v>930</v>
      </c>
      <c r="B932" t="s">
        <v>827</v>
      </c>
      <c r="C932" t="s">
        <v>99</v>
      </c>
      <c r="D932" t="s">
        <v>112</v>
      </c>
      <c r="E932">
        <v>39.677777777777777</v>
      </c>
      <c r="F932">
        <v>6.2194764183722793</v>
      </c>
      <c r="G932">
        <v>6</v>
      </c>
      <c r="H932" t="s">
        <v>19</v>
      </c>
      <c r="M932">
        <v>52.116730614522339</v>
      </c>
      <c r="N932">
        <v>27.238824941033219</v>
      </c>
      <c r="O932">
        <v>24.877905673489121</v>
      </c>
      <c r="P932">
        <v>6.3796009677872512</v>
      </c>
      <c r="R932" t="str">
        <f t="shared" si="28"/>
        <v>no</v>
      </c>
      <c r="S932" t="str">
        <f t="shared" si="29"/>
        <v>no</v>
      </c>
    </row>
    <row r="933" spans="1:19" x14ac:dyDescent="0.35">
      <c r="A933" s="1">
        <v>931</v>
      </c>
      <c r="B933" t="s">
        <v>827</v>
      </c>
      <c r="C933" t="s">
        <v>99</v>
      </c>
      <c r="D933" t="s">
        <v>113</v>
      </c>
      <c r="E933">
        <v>40.666666666666657</v>
      </c>
      <c r="F933">
        <v>3.8346874172037011</v>
      </c>
      <c r="G933">
        <v>6</v>
      </c>
      <c r="H933" t="s">
        <v>19</v>
      </c>
      <c r="M933">
        <v>48.336041501074057</v>
      </c>
      <c r="N933">
        <v>32.997291832259258</v>
      </c>
      <c r="O933">
        <v>15.338749668814801</v>
      </c>
      <c r="P933">
        <v>10.60494956752466</v>
      </c>
      <c r="R933" t="str">
        <f t="shared" si="28"/>
        <v>no</v>
      </c>
      <c r="S933" t="str">
        <f t="shared" si="29"/>
        <v>no</v>
      </c>
    </row>
    <row r="934" spans="1:19" x14ac:dyDescent="0.35">
      <c r="A934" s="1">
        <v>932</v>
      </c>
      <c r="B934" t="s">
        <v>827</v>
      </c>
      <c r="C934" t="s">
        <v>99</v>
      </c>
      <c r="D934" t="s">
        <v>114</v>
      </c>
      <c r="G934">
        <v>6</v>
      </c>
      <c r="H934" t="s">
        <v>19</v>
      </c>
      <c r="R934" t="str">
        <f t="shared" si="28"/>
        <v>no</v>
      </c>
      <c r="S934" t="str">
        <f t="shared" si="29"/>
        <v>no</v>
      </c>
    </row>
    <row r="935" spans="1:19" x14ac:dyDescent="0.35">
      <c r="A935" s="1">
        <v>933</v>
      </c>
      <c r="B935" t="s">
        <v>827</v>
      </c>
      <c r="C935" t="s">
        <v>99</v>
      </c>
      <c r="D935" t="s">
        <v>115</v>
      </c>
      <c r="E935">
        <v>1</v>
      </c>
      <c r="F935">
        <v>0</v>
      </c>
      <c r="G935">
        <v>6</v>
      </c>
      <c r="H935" t="s">
        <v>19</v>
      </c>
      <c r="M935">
        <v>1</v>
      </c>
      <c r="N935">
        <v>1</v>
      </c>
      <c r="O935">
        <v>0</v>
      </c>
      <c r="P935" t="s">
        <v>21</v>
      </c>
      <c r="R935" t="str">
        <f t="shared" si="28"/>
        <v>no</v>
      </c>
      <c r="S935" t="str">
        <f t="shared" si="29"/>
        <v>no</v>
      </c>
    </row>
    <row r="936" spans="1:19" x14ac:dyDescent="0.35">
      <c r="A936" s="1">
        <v>934</v>
      </c>
      <c r="B936" t="s">
        <v>827</v>
      </c>
      <c r="C936" t="s">
        <v>99</v>
      </c>
      <c r="D936" t="s">
        <v>116</v>
      </c>
      <c r="E936">
        <v>1</v>
      </c>
      <c r="F936">
        <v>0</v>
      </c>
      <c r="G936">
        <v>6</v>
      </c>
      <c r="H936" t="s">
        <v>19</v>
      </c>
      <c r="M936">
        <v>1</v>
      </c>
      <c r="N936">
        <v>1</v>
      </c>
      <c r="O936">
        <v>0</v>
      </c>
      <c r="P936" t="s">
        <v>21</v>
      </c>
      <c r="R936" t="str">
        <f t="shared" si="28"/>
        <v>no</v>
      </c>
      <c r="S936" t="str">
        <f t="shared" si="29"/>
        <v>no</v>
      </c>
    </row>
    <row r="937" spans="1:19" x14ac:dyDescent="0.35">
      <c r="A937" s="1">
        <v>935</v>
      </c>
      <c r="B937" t="s">
        <v>827</v>
      </c>
      <c r="C937" t="s">
        <v>99</v>
      </c>
      <c r="D937" t="s">
        <v>117</v>
      </c>
      <c r="E937">
        <v>1</v>
      </c>
      <c r="F937">
        <v>0</v>
      </c>
      <c r="G937">
        <v>6</v>
      </c>
      <c r="H937" t="s">
        <v>19</v>
      </c>
      <c r="M937">
        <v>1</v>
      </c>
      <c r="N937">
        <v>1</v>
      </c>
      <c r="O937">
        <v>0</v>
      </c>
      <c r="P937" t="s">
        <v>21</v>
      </c>
      <c r="R937" t="str">
        <f t="shared" si="28"/>
        <v>no</v>
      </c>
      <c r="S937" t="str">
        <f t="shared" si="29"/>
        <v>no</v>
      </c>
    </row>
    <row r="938" spans="1:19" x14ac:dyDescent="0.35">
      <c r="A938" s="1">
        <v>936</v>
      </c>
      <c r="B938" t="s">
        <v>827</v>
      </c>
      <c r="C938" t="s">
        <v>99</v>
      </c>
      <c r="D938" t="s">
        <v>118</v>
      </c>
      <c r="E938">
        <v>1</v>
      </c>
      <c r="F938">
        <v>0</v>
      </c>
      <c r="G938">
        <v>6</v>
      </c>
      <c r="H938" t="s">
        <v>19</v>
      </c>
      <c r="M938">
        <v>1</v>
      </c>
      <c r="N938">
        <v>1</v>
      </c>
      <c r="O938">
        <v>0</v>
      </c>
      <c r="P938" t="s">
        <v>21</v>
      </c>
      <c r="R938" t="str">
        <f t="shared" si="28"/>
        <v>no</v>
      </c>
      <c r="S938" t="str">
        <f t="shared" si="29"/>
        <v>no</v>
      </c>
    </row>
    <row r="939" spans="1:19" x14ac:dyDescent="0.35">
      <c r="A939" s="1">
        <v>937</v>
      </c>
      <c r="B939" t="s">
        <v>827</v>
      </c>
      <c r="C939" t="s">
        <v>99</v>
      </c>
      <c r="D939" t="s">
        <v>119</v>
      </c>
      <c r="E939">
        <v>47.577777777777783</v>
      </c>
      <c r="F939">
        <v>4.0431462923907411</v>
      </c>
      <c r="G939">
        <v>6</v>
      </c>
      <c r="H939" t="s">
        <v>19</v>
      </c>
      <c r="M939">
        <v>55.664070362559258</v>
      </c>
      <c r="N939">
        <v>39.491485192996301</v>
      </c>
      <c r="O939">
        <v>16.172585169562961</v>
      </c>
      <c r="P939">
        <v>11.76751330203407</v>
      </c>
      <c r="R939" t="str">
        <f t="shared" si="28"/>
        <v>no</v>
      </c>
      <c r="S939" t="str">
        <f t="shared" si="29"/>
        <v>no</v>
      </c>
    </row>
    <row r="940" spans="1:19" x14ac:dyDescent="0.35">
      <c r="A940" s="1">
        <v>938</v>
      </c>
      <c r="B940" t="s">
        <v>827</v>
      </c>
      <c r="C940" t="s">
        <v>99</v>
      </c>
      <c r="D940" t="s">
        <v>120</v>
      </c>
      <c r="E940">
        <v>43.533333333333331</v>
      </c>
      <c r="F940">
        <v>4.6759668444820583</v>
      </c>
      <c r="G940">
        <v>6</v>
      </c>
      <c r="H940" t="s">
        <v>19</v>
      </c>
      <c r="M940">
        <v>52.885267022297448</v>
      </c>
      <c r="N940">
        <v>34.181399644369208</v>
      </c>
      <c r="O940">
        <v>18.70386737792823</v>
      </c>
      <c r="P940">
        <v>9.3100175388765773</v>
      </c>
      <c r="R940" t="str">
        <f t="shared" si="28"/>
        <v>no</v>
      </c>
      <c r="S940" t="str">
        <f t="shared" si="29"/>
        <v>no</v>
      </c>
    </row>
    <row r="941" spans="1:19" x14ac:dyDescent="0.35">
      <c r="A941" s="1">
        <v>939</v>
      </c>
      <c r="B941" t="s">
        <v>827</v>
      </c>
      <c r="C941" t="s">
        <v>99</v>
      </c>
      <c r="D941" t="s">
        <v>121</v>
      </c>
      <c r="G941">
        <v>6</v>
      </c>
      <c r="H941" t="s">
        <v>19</v>
      </c>
      <c r="R941" t="str">
        <f t="shared" si="28"/>
        <v>no</v>
      </c>
      <c r="S941" t="str">
        <f t="shared" si="29"/>
        <v>no</v>
      </c>
    </row>
    <row r="942" spans="1:19" x14ac:dyDescent="0.35">
      <c r="A942" s="1">
        <v>940</v>
      </c>
      <c r="B942" t="s">
        <v>827</v>
      </c>
      <c r="C942" t="s">
        <v>99</v>
      </c>
      <c r="D942" t="s">
        <v>122</v>
      </c>
      <c r="E942">
        <v>1</v>
      </c>
      <c r="F942">
        <v>0</v>
      </c>
      <c r="G942">
        <v>6</v>
      </c>
      <c r="H942" t="s">
        <v>19</v>
      </c>
      <c r="M942">
        <v>1</v>
      </c>
      <c r="N942">
        <v>1</v>
      </c>
      <c r="O942">
        <v>0</v>
      </c>
      <c r="P942" t="s">
        <v>21</v>
      </c>
      <c r="R942" t="str">
        <f t="shared" si="28"/>
        <v>no</v>
      </c>
      <c r="S942" t="str">
        <f t="shared" si="29"/>
        <v>no</v>
      </c>
    </row>
    <row r="943" spans="1:19" x14ac:dyDescent="0.35">
      <c r="A943" s="1">
        <v>941</v>
      </c>
      <c r="B943" t="s">
        <v>827</v>
      </c>
      <c r="C943" t="s">
        <v>99</v>
      </c>
      <c r="D943" t="s">
        <v>123</v>
      </c>
      <c r="E943">
        <v>1</v>
      </c>
      <c r="F943">
        <v>0</v>
      </c>
      <c r="G943">
        <v>6</v>
      </c>
      <c r="H943" t="s">
        <v>19</v>
      </c>
      <c r="M943">
        <v>1</v>
      </c>
      <c r="N943">
        <v>1</v>
      </c>
      <c r="O943">
        <v>0</v>
      </c>
      <c r="P943" t="s">
        <v>21</v>
      </c>
      <c r="R943" t="str">
        <f t="shared" si="28"/>
        <v>no</v>
      </c>
      <c r="S943" t="str">
        <f t="shared" si="29"/>
        <v>no</v>
      </c>
    </row>
    <row r="944" spans="1:19" x14ac:dyDescent="0.35">
      <c r="A944" s="1">
        <v>942</v>
      </c>
      <c r="B944" t="s">
        <v>827</v>
      </c>
      <c r="C944" t="s">
        <v>99</v>
      </c>
      <c r="D944" t="s">
        <v>124</v>
      </c>
      <c r="E944">
        <v>1</v>
      </c>
      <c r="F944">
        <v>0</v>
      </c>
      <c r="G944">
        <v>6</v>
      </c>
      <c r="H944" t="s">
        <v>19</v>
      </c>
      <c r="M944">
        <v>1</v>
      </c>
      <c r="N944">
        <v>1</v>
      </c>
      <c r="O944">
        <v>0</v>
      </c>
      <c r="P944" t="s">
        <v>21</v>
      </c>
      <c r="R944" t="str">
        <f t="shared" si="28"/>
        <v>no</v>
      </c>
      <c r="S944" t="str">
        <f t="shared" si="29"/>
        <v>no</v>
      </c>
    </row>
    <row r="945" spans="1:19" x14ac:dyDescent="0.35">
      <c r="A945" s="1">
        <v>943</v>
      </c>
      <c r="B945" t="s">
        <v>827</v>
      </c>
      <c r="C945" t="s">
        <v>99</v>
      </c>
      <c r="D945" t="s">
        <v>125</v>
      </c>
      <c r="E945">
        <v>1</v>
      </c>
      <c r="F945">
        <v>0</v>
      </c>
      <c r="G945">
        <v>6</v>
      </c>
      <c r="H945" t="s">
        <v>19</v>
      </c>
      <c r="M945">
        <v>1</v>
      </c>
      <c r="N945">
        <v>1</v>
      </c>
      <c r="O945">
        <v>0</v>
      </c>
      <c r="P945" t="s">
        <v>21</v>
      </c>
      <c r="R945" t="str">
        <f t="shared" si="28"/>
        <v>no</v>
      </c>
      <c r="S945" t="str">
        <f t="shared" si="29"/>
        <v>no</v>
      </c>
    </row>
    <row r="946" spans="1:19" x14ac:dyDescent="0.35">
      <c r="A946" s="1">
        <v>944</v>
      </c>
      <c r="B946" t="s">
        <v>827</v>
      </c>
      <c r="C946" t="s">
        <v>99</v>
      </c>
      <c r="D946" t="s">
        <v>126</v>
      </c>
      <c r="E946">
        <v>44.261111111111113</v>
      </c>
      <c r="F946">
        <v>2.65105579523278</v>
      </c>
      <c r="G946">
        <v>6</v>
      </c>
      <c r="H946" t="s">
        <v>19</v>
      </c>
      <c r="M946">
        <v>49.56322270157667</v>
      </c>
      <c r="N946">
        <v>38.958999520645563</v>
      </c>
      <c r="O946">
        <v>10.604223180931109</v>
      </c>
      <c r="P946">
        <v>16.695654309012649</v>
      </c>
      <c r="R946" t="str">
        <f t="shared" si="28"/>
        <v>no</v>
      </c>
      <c r="S946" t="str">
        <f t="shared" si="29"/>
        <v>no</v>
      </c>
    </row>
    <row r="947" spans="1:19" x14ac:dyDescent="0.35">
      <c r="A947" s="1">
        <v>945</v>
      </c>
      <c r="B947" t="s">
        <v>827</v>
      </c>
      <c r="C947" t="s">
        <v>99</v>
      </c>
      <c r="D947" t="s">
        <v>127</v>
      </c>
      <c r="E947">
        <v>38.572222222222223</v>
      </c>
      <c r="F947">
        <v>4.2630098426588701</v>
      </c>
      <c r="G947">
        <v>6</v>
      </c>
      <c r="H947" t="s">
        <v>19</v>
      </c>
      <c r="M947">
        <v>47.098241907539958</v>
      </c>
      <c r="N947">
        <v>30.046202536904481</v>
      </c>
      <c r="O947">
        <v>17.05203937063548</v>
      </c>
      <c r="P947">
        <v>9.0481194381114651</v>
      </c>
      <c r="R947" t="str">
        <f t="shared" si="28"/>
        <v>no</v>
      </c>
      <c r="S947" t="str">
        <f t="shared" si="29"/>
        <v>no</v>
      </c>
    </row>
    <row r="948" spans="1:19" x14ac:dyDescent="0.35">
      <c r="A948" s="1">
        <v>946</v>
      </c>
      <c r="B948" t="s">
        <v>827</v>
      </c>
      <c r="C948" t="s">
        <v>99</v>
      </c>
      <c r="D948" t="s">
        <v>128</v>
      </c>
      <c r="G948">
        <v>6</v>
      </c>
      <c r="H948" t="s">
        <v>19</v>
      </c>
      <c r="R948" t="str">
        <f t="shared" si="28"/>
        <v>no</v>
      </c>
      <c r="S948" t="str">
        <f t="shared" si="29"/>
        <v>no</v>
      </c>
    </row>
    <row r="949" spans="1:19" x14ac:dyDescent="0.35">
      <c r="A949" s="1">
        <v>947</v>
      </c>
      <c r="B949" t="s">
        <v>827</v>
      </c>
      <c r="C949" t="s">
        <v>99</v>
      </c>
      <c r="D949" t="s">
        <v>129</v>
      </c>
      <c r="E949">
        <v>1</v>
      </c>
      <c r="F949">
        <v>0</v>
      </c>
      <c r="G949">
        <v>6</v>
      </c>
      <c r="H949" t="s">
        <v>19</v>
      </c>
      <c r="M949">
        <v>1</v>
      </c>
      <c r="N949">
        <v>1</v>
      </c>
      <c r="O949">
        <v>0</v>
      </c>
      <c r="P949" t="s">
        <v>21</v>
      </c>
      <c r="R949" t="str">
        <f t="shared" si="28"/>
        <v>no</v>
      </c>
      <c r="S949" t="str">
        <f t="shared" si="29"/>
        <v>no</v>
      </c>
    </row>
    <row r="950" spans="1:19" x14ac:dyDescent="0.35">
      <c r="A950" s="1">
        <v>948</v>
      </c>
      <c r="B950" t="s">
        <v>827</v>
      </c>
      <c r="C950" t="s">
        <v>99</v>
      </c>
      <c r="D950" t="s">
        <v>130</v>
      </c>
      <c r="E950">
        <v>1</v>
      </c>
      <c r="F950">
        <v>0</v>
      </c>
      <c r="G950">
        <v>6</v>
      </c>
      <c r="H950" t="s">
        <v>19</v>
      </c>
      <c r="M950">
        <v>1</v>
      </c>
      <c r="N950">
        <v>1</v>
      </c>
      <c r="O950">
        <v>0</v>
      </c>
      <c r="P950" t="s">
        <v>21</v>
      </c>
      <c r="R950" t="str">
        <f t="shared" si="28"/>
        <v>no</v>
      </c>
      <c r="S950" t="str">
        <f t="shared" si="29"/>
        <v>no</v>
      </c>
    </row>
    <row r="951" spans="1:19" x14ac:dyDescent="0.35">
      <c r="A951" s="1">
        <v>949</v>
      </c>
      <c r="B951" t="s">
        <v>827</v>
      </c>
      <c r="C951" t="s">
        <v>99</v>
      </c>
      <c r="D951" t="s">
        <v>131</v>
      </c>
      <c r="E951">
        <v>1</v>
      </c>
      <c r="F951">
        <v>0</v>
      </c>
      <c r="G951">
        <v>6</v>
      </c>
      <c r="H951" t="s">
        <v>19</v>
      </c>
      <c r="M951">
        <v>1</v>
      </c>
      <c r="N951">
        <v>1</v>
      </c>
      <c r="O951">
        <v>0</v>
      </c>
      <c r="P951" t="s">
        <v>21</v>
      </c>
      <c r="R951" t="str">
        <f t="shared" si="28"/>
        <v>no</v>
      </c>
      <c r="S951" t="str">
        <f t="shared" si="29"/>
        <v>no</v>
      </c>
    </row>
    <row r="952" spans="1:19" x14ac:dyDescent="0.35">
      <c r="A952" s="1">
        <v>950</v>
      </c>
      <c r="B952" t="s">
        <v>827</v>
      </c>
      <c r="C952" t="s">
        <v>99</v>
      </c>
      <c r="D952" t="s">
        <v>132</v>
      </c>
      <c r="E952">
        <v>1</v>
      </c>
      <c r="F952">
        <v>0</v>
      </c>
      <c r="G952">
        <v>6</v>
      </c>
      <c r="H952" t="s">
        <v>19</v>
      </c>
      <c r="M952">
        <v>1</v>
      </c>
      <c r="N952">
        <v>1</v>
      </c>
      <c r="O952">
        <v>0</v>
      </c>
      <c r="P952" t="s">
        <v>21</v>
      </c>
      <c r="R952" t="str">
        <f t="shared" si="28"/>
        <v>no</v>
      </c>
      <c r="S952" t="str">
        <f t="shared" si="29"/>
        <v>no</v>
      </c>
    </row>
    <row r="953" spans="1:19" x14ac:dyDescent="0.35">
      <c r="A953" s="1">
        <v>951</v>
      </c>
      <c r="B953" t="s">
        <v>827</v>
      </c>
      <c r="C953" t="s">
        <v>99</v>
      </c>
      <c r="D953" t="s">
        <v>133</v>
      </c>
      <c r="E953">
        <v>42.022222222222233</v>
      </c>
      <c r="F953">
        <v>4.5407365786477918</v>
      </c>
      <c r="G953">
        <v>6</v>
      </c>
      <c r="H953" t="s">
        <v>19</v>
      </c>
      <c r="M953">
        <v>51.103695379517823</v>
      </c>
      <c r="N953">
        <v>32.940749064926649</v>
      </c>
      <c r="O953">
        <v>18.162946314591171</v>
      </c>
      <c r="P953">
        <v>9.2544946165399971</v>
      </c>
      <c r="R953" t="str">
        <f t="shared" si="28"/>
        <v>no</v>
      </c>
      <c r="S953" t="str">
        <f t="shared" si="29"/>
        <v>no</v>
      </c>
    </row>
    <row r="954" spans="1:19" x14ac:dyDescent="0.35">
      <c r="A954" s="1">
        <v>952</v>
      </c>
      <c r="B954" t="s">
        <v>827</v>
      </c>
      <c r="C954" t="s">
        <v>99</v>
      </c>
      <c r="D954" t="s">
        <v>134</v>
      </c>
      <c r="E954">
        <v>41.155555555555551</v>
      </c>
      <c r="F954">
        <v>5.2794902513295678</v>
      </c>
      <c r="G954">
        <v>6</v>
      </c>
      <c r="H954" t="s">
        <v>19</v>
      </c>
      <c r="M954">
        <v>51.714536058214691</v>
      </c>
      <c r="N954">
        <v>30.596575052896419</v>
      </c>
      <c r="O954">
        <v>21.117961005318271</v>
      </c>
      <c r="P954">
        <v>7.7953653849803182</v>
      </c>
      <c r="R954" t="str">
        <f t="shared" si="28"/>
        <v>no</v>
      </c>
      <c r="S954" t="str">
        <f t="shared" si="29"/>
        <v>no</v>
      </c>
    </row>
    <row r="955" spans="1:19" x14ac:dyDescent="0.35">
      <c r="A955" s="1">
        <v>953</v>
      </c>
      <c r="B955" t="s">
        <v>827</v>
      </c>
      <c r="C955" t="s">
        <v>99</v>
      </c>
      <c r="D955" t="s">
        <v>135</v>
      </c>
      <c r="G955">
        <v>6</v>
      </c>
      <c r="H955" t="s">
        <v>19</v>
      </c>
      <c r="R955" t="str">
        <f t="shared" si="28"/>
        <v>no</v>
      </c>
      <c r="S955" t="str">
        <f t="shared" si="29"/>
        <v>no</v>
      </c>
    </row>
    <row r="956" spans="1:19" x14ac:dyDescent="0.35">
      <c r="A956" s="1">
        <v>954</v>
      </c>
      <c r="B956" t="s">
        <v>827</v>
      </c>
      <c r="C956" t="s">
        <v>99</v>
      </c>
      <c r="D956" t="s">
        <v>136</v>
      </c>
      <c r="E956">
        <v>1</v>
      </c>
      <c r="F956">
        <v>0</v>
      </c>
      <c r="G956">
        <v>6</v>
      </c>
      <c r="H956" t="s">
        <v>19</v>
      </c>
      <c r="M956">
        <v>1</v>
      </c>
      <c r="N956">
        <v>1</v>
      </c>
      <c r="O956">
        <v>0</v>
      </c>
      <c r="P956" t="s">
        <v>21</v>
      </c>
      <c r="R956" t="str">
        <f t="shared" si="28"/>
        <v>no</v>
      </c>
      <c r="S956" t="str">
        <f t="shared" si="29"/>
        <v>no</v>
      </c>
    </row>
    <row r="957" spans="1:19" x14ac:dyDescent="0.35">
      <c r="A957" s="1">
        <v>955</v>
      </c>
      <c r="B957" t="s">
        <v>827</v>
      </c>
      <c r="C957" t="s">
        <v>99</v>
      </c>
      <c r="D957" t="s">
        <v>137</v>
      </c>
      <c r="E957">
        <v>1</v>
      </c>
      <c r="F957">
        <v>0</v>
      </c>
      <c r="G957">
        <v>6</v>
      </c>
      <c r="H957" t="s">
        <v>19</v>
      </c>
      <c r="M957">
        <v>1</v>
      </c>
      <c r="N957">
        <v>1</v>
      </c>
      <c r="O957">
        <v>0</v>
      </c>
      <c r="P957" t="s">
        <v>21</v>
      </c>
      <c r="R957" t="str">
        <f t="shared" si="28"/>
        <v>no</v>
      </c>
      <c r="S957" t="str">
        <f t="shared" si="29"/>
        <v>no</v>
      </c>
    </row>
    <row r="958" spans="1:19" x14ac:dyDescent="0.35">
      <c r="A958" s="1">
        <v>956</v>
      </c>
      <c r="B958" t="s">
        <v>827</v>
      </c>
      <c r="C958" t="s">
        <v>99</v>
      </c>
      <c r="D958" t="s">
        <v>138</v>
      </c>
      <c r="E958">
        <v>1</v>
      </c>
      <c r="F958">
        <v>0</v>
      </c>
      <c r="G958">
        <v>6</v>
      </c>
      <c r="H958" t="s">
        <v>19</v>
      </c>
      <c r="M958">
        <v>1</v>
      </c>
      <c r="N958">
        <v>1</v>
      </c>
      <c r="O958">
        <v>0</v>
      </c>
      <c r="P958" t="s">
        <v>21</v>
      </c>
      <c r="R958" t="str">
        <f t="shared" si="28"/>
        <v>no</v>
      </c>
      <c r="S958" t="str">
        <f t="shared" si="29"/>
        <v>no</v>
      </c>
    </row>
    <row r="959" spans="1:19" x14ac:dyDescent="0.35">
      <c r="A959" s="1">
        <v>957</v>
      </c>
      <c r="B959" t="s">
        <v>827</v>
      </c>
      <c r="C959" t="s">
        <v>99</v>
      </c>
      <c r="D959" t="s">
        <v>139</v>
      </c>
      <c r="E959">
        <v>1</v>
      </c>
      <c r="F959">
        <v>0</v>
      </c>
      <c r="G959">
        <v>6</v>
      </c>
      <c r="H959" t="s">
        <v>19</v>
      </c>
      <c r="M959">
        <v>1</v>
      </c>
      <c r="N959">
        <v>1</v>
      </c>
      <c r="O959">
        <v>0</v>
      </c>
      <c r="P959" t="s">
        <v>21</v>
      </c>
      <c r="R959" t="str">
        <f t="shared" si="28"/>
        <v>no</v>
      </c>
      <c r="S959" t="str">
        <f t="shared" si="29"/>
        <v>no</v>
      </c>
    </row>
    <row r="960" spans="1:19" x14ac:dyDescent="0.35">
      <c r="A960" s="1">
        <v>958</v>
      </c>
      <c r="B960" t="s">
        <v>827</v>
      </c>
      <c r="C960" t="s">
        <v>99</v>
      </c>
      <c r="D960" t="s">
        <v>140</v>
      </c>
      <c r="E960">
        <v>39.522222222222233</v>
      </c>
      <c r="F960">
        <v>3.2457392114862502</v>
      </c>
      <c r="G960">
        <v>6</v>
      </c>
      <c r="H960" t="s">
        <v>19</v>
      </c>
      <c r="M960">
        <v>46.013700645194731</v>
      </c>
      <c r="N960">
        <v>33.030743799249727</v>
      </c>
      <c r="O960">
        <v>12.982956845945001</v>
      </c>
      <c r="P960">
        <v>12.176647489840899</v>
      </c>
      <c r="R960" t="str">
        <f t="shared" si="28"/>
        <v>no</v>
      </c>
      <c r="S960" t="str">
        <f t="shared" si="29"/>
        <v>no</v>
      </c>
    </row>
    <row r="961" spans="1:19" x14ac:dyDescent="0.35">
      <c r="A961" s="1">
        <v>959</v>
      </c>
      <c r="B961" t="s">
        <v>827</v>
      </c>
      <c r="C961" t="s">
        <v>99</v>
      </c>
      <c r="D961" t="s">
        <v>141</v>
      </c>
      <c r="E961">
        <v>41.988888888888887</v>
      </c>
      <c r="F961">
        <v>3.3472308022918842</v>
      </c>
      <c r="G961">
        <v>6</v>
      </c>
      <c r="H961" t="s">
        <v>19</v>
      </c>
      <c r="M961">
        <v>48.683350493472659</v>
      </c>
      <c r="N961">
        <v>35.294427284305122</v>
      </c>
      <c r="O961">
        <v>13.38892320916754</v>
      </c>
      <c r="P961">
        <v>12.544366184769411</v>
      </c>
      <c r="R961" t="str">
        <f t="shared" si="28"/>
        <v>no</v>
      </c>
      <c r="S961" t="str">
        <f t="shared" si="29"/>
        <v>no</v>
      </c>
    </row>
    <row r="962" spans="1:19" x14ac:dyDescent="0.35">
      <c r="A962" s="1">
        <v>960</v>
      </c>
      <c r="B962" t="s">
        <v>827</v>
      </c>
      <c r="C962" t="s">
        <v>251</v>
      </c>
      <c r="D962" t="s">
        <v>252</v>
      </c>
      <c r="G962">
        <v>6</v>
      </c>
      <c r="H962" t="s">
        <v>19</v>
      </c>
      <c r="R962" t="str">
        <f t="shared" si="28"/>
        <v>no</v>
      </c>
      <c r="S962" t="str">
        <f t="shared" si="29"/>
        <v>no</v>
      </c>
    </row>
    <row r="963" spans="1:19" x14ac:dyDescent="0.35">
      <c r="A963" s="1">
        <v>961</v>
      </c>
      <c r="B963" t="s">
        <v>827</v>
      </c>
      <c r="C963" t="s">
        <v>17</v>
      </c>
      <c r="D963" t="s">
        <v>18</v>
      </c>
      <c r="E963">
        <v>7547.75</v>
      </c>
      <c r="F963">
        <v>119.2454437381045</v>
      </c>
      <c r="G963">
        <v>6</v>
      </c>
      <c r="H963" t="s">
        <v>19</v>
      </c>
      <c r="M963">
        <v>7786.2408874762086</v>
      </c>
      <c r="N963">
        <v>7309.2591125237914</v>
      </c>
      <c r="O963">
        <v>476.98177495241731</v>
      </c>
      <c r="P963">
        <v>63.295919436359483</v>
      </c>
      <c r="R963" t="str">
        <f t="shared" ref="R963:R1026" si="30">IF(H963="yes","yes","no")</f>
        <v>no</v>
      </c>
      <c r="S963" t="str">
        <f t="shared" ref="S963:S1026" si="31">IF(I963,"yes","no")</f>
        <v>no</v>
      </c>
    </row>
    <row r="964" spans="1:19" x14ac:dyDescent="0.35">
      <c r="A964" s="1">
        <v>962</v>
      </c>
      <c r="B964" t="s">
        <v>827</v>
      </c>
      <c r="C964" t="s">
        <v>17</v>
      </c>
      <c r="D964" t="s">
        <v>20</v>
      </c>
      <c r="E964">
        <v>1</v>
      </c>
      <c r="F964">
        <v>0</v>
      </c>
      <c r="G964">
        <v>6</v>
      </c>
      <c r="H964" t="s">
        <v>19</v>
      </c>
      <c r="M964">
        <v>1</v>
      </c>
      <c r="N964">
        <v>1</v>
      </c>
      <c r="O964">
        <v>0</v>
      </c>
      <c r="P964" t="s">
        <v>21</v>
      </c>
      <c r="R964" t="str">
        <f t="shared" si="30"/>
        <v>no</v>
      </c>
      <c r="S964" t="str">
        <f t="shared" si="31"/>
        <v>no</v>
      </c>
    </row>
    <row r="965" spans="1:19" x14ac:dyDescent="0.35">
      <c r="A965" s="1">
        <v>963</v>
      </c>
      <c r="B965" t="s">
        <v>827</v>
      </c>
      <c r="C965" t="s">
        <v>17</v>
      </c>
      <c r="D965" t="s">
        <v>22</v>
      </c>
      <c r="E965">
        <v>7519.9111111111106</v>
      </c>
      <c r="F965">
        <v>154.15602835570311</v>
      </c>
      <c r="G965">
        <v>6</v>
      </c>
      <c r="H965" t="s">
        <v>19</v>
      </c>
      <c r="M965">
        <v>7828.2231678225171</v>
      </c>
      <c r="N965">
        <v>7211.5990543997041</v>
      </c>
      <c r="O965">
        <v>616.62411342281302</v>
      </c>
      <c r="P965">
        <v>48.78116795899475</v>
      </c>
      <c r="R965" t="str">
        <f t="shared" si="30"/>
        <v>no</v>
      </c>
      <c r="S965" t="str">
        <f t="shared" si="31"/>
        <v>no</v>
      </c>
    </row>
    <row r="966" spans="1:19" x14ac:dyDescent="0.35">
      <c r="A966" s="1">
        <v>964</v>
      </c>
      <c r="B966" t="s">
        <v>827</v>
      </c>
      <c r="C966" t="s">
        <v>17</v>
      </c>
      <c r="D966" t="s">
        <v>23</v>
      </c>
      <c r="E966">
        <v>1</v>
      </c>
      <c r="F966">
        <v>0</v>
      </c>
      <c r="G966">
        <v>6</v>
      </c>
      <c r="H966" t="s">
        <v>19</v>
      </c>
      <c r="M966">
        <v>1</v>
      </c>
      <c r="N966">
        <v>1</v>
      </c>
      <c r="O966">
        <v>0</v>
      </c>
      <c r="P966" t="s">
        <v>21</v>
      </c>
      <c r="R966" t="str">
        <f t="shared" si="30"/>
        <v>no</v>
      </c>
      <c r="S966" t="str">
        <f t="shared" si="31"/>
        <v>no</v>
      </c>
    </row>
    <row r="967" spans="1:19" x14ac:dyDescent="0.35">
      <c r="A967" s="1">
        <v>965</v>
      </c>
      <c r="B967" t="s">
        <v>827</v>
      </c>
      <c r="C967" t="s">
        <v>17</v>
      </c>
      <c r="D967" t="s">
        <v>24</v>
      </c>
      <c r="E967">
        <v>7643.9111111111106</v>
      </c>
      <c r="F967">
        <v>112.6853605993763</v>
      </c>
      <c r="G967">
        <v>6</v>
      </c>
      <c r="H967" t="s">
        <v>19</v>
      </c>
      <c r="M967">
        <v>7869.2818323098636</v>
      </c>
      <c r="N967">
        <v>7418.5403899123576</v>
      </c>
      <c r="O967">
        <v>450.74144239750598</v>
      </c>
      <c r="P967">
        <v>67.834109687833035</v>
      </c>
      <c r="R967" t="str">
        <f t="shared" si="30"/>
        <v>no</v>
      </c>
      <c r="S967" t="str">
        <f t="shared" si="31"/>
        <v>no</v>
      </c>
    </row>
    <row r="968" spans="1:19" x14ac:dyDescent="0.35">
      <c r="A968" s="1">
        <v>966</v>
      </c>
      <c r="B968" t="s">
        <v>827</v>
      </c>
      <c r="C968" t="s">
        <v>17</v>
      </c>
      <c r="D968" t="s">
        <v>25</v>
      </c>
      <c r="E968">
        <v>1</v>
      </c>
      <c r="F968">
        <v>0</v>
      </c>
      <c r="G968">
        <v>6</v>
      </c>
      <c r="H968" t="s">
        <v>19</v>
      </c>
      <c r="M968">
        <v>1</v>
      </c>
      <c r="N968">
        <v>1</v>
      </c>
      <c r="O968">
        <v>0</v>
      </c>
      <c r="P968" t="s">
        <v>21</v>
      </c>
      <c r="R968" t="str">
        <f t="shared" si="30"/>
        <v>no</v>
      </c>
      <c r="S968" t="str">
        <f t="shared" si="31"/>
        <v>no</v>
      </c>
    </row>
    <row r="969" spans="1:19" x14ac:dyDescent="0.35">
      <c r="A969" s="1">
        <v>967</v>
      </c>
      <c r="B969" t="s">
        <v>827</v>
      </c>
      <c r="C969" t="s">
        <v>17</v>
      </c>
      <c r="D969" t="s">
        <v>26</v>
      </c>
      <c r="E969">
        <v>7574.3722222222223</v>
      </c>
      <c r="F969">
        <v>113.60997267277661</v>
      </c>
      <c r="G969">
        <v>6</v>
      </c>
      <c r="H969" t="s">
        <v>19</v>
      </c>
      <c r="M969">
        <v>7801.5921675677764</v>
      </c>
      <c r="N969">
        <v>7347.152276876669</v>
      </c>
      <c r="O969">
        <v>454.43989069110648</v>
      </c>
      <c r="P969">
        <v>66.669959018810715</v>
      </c>
      <c r="R969" t="str">
        <f t="shared" si="30"/>
        <v>no</v>
      </c>
      <c r="S969" t="str">
        <f t="shared" si="31"/>
        <v>no</v>
      </c>
    </row>
    <row r="970" spans="1:19" x14ac:dyDescent="0.35">
      <c r="A970" s="1">
        <v>968</v>
      </c>
      <c r="B970" t="s">
        <v>827</v>
      </c>
      <c r="C970" t="s">
        <v>17</v>
      </c>
      <c r="D970" t="s">
        <v>27</v>
      </c>
      <c r="E970">
        <v>1</v>
      </c>
      <c r="F970">
        <v>0</v>
      </c>
      <c r="G970">
        <v>6</v>
      </c>
      <c r="H970" t="s">
        <v>19</v>
      </c>
      <c r="M970">
        <v>1</v>
      </c>
      <c r="N970">
        <v>1</v>
      </c>
      <c r="O970">
        <v>0</v>
      </c>
      <c r="P970" t="s">
        <v>21</v>
      </c>
      <c r="R970" t="str">
        <f t="shared" si="30"/>
        <v>no</v>
      </c>
      <c r="S970" t="str">
        <f t="shared" si="31"/>
        <v>no</v>
      </c>
    </row>
    <row r="971" spans="1:19" x14ac:dyDescent="0.35">
      <c r="A971" s="1">
        <v>969</v>
      </c>
      <c r="B971" t="s">
        <v>827</v>
      </c>
      <c r="C971" t="s">
        <v>17</v>
      </c>
      <c r="D971" t="s">
        <v>28</v>
      </c>
      <c r="E971">
        <v>7635.1222222222223</v>
      </c>
      <c r="F971">
        <v>141.03354694907631</v>
      </c>
      <c r="G971">
        <v>6</v>
      </c>
      <c r="H971" t="s">
        <v>19</v>
      </c>
      <c r="M971">
        <v>7917.1893161203752</v>
      </c>
      <c r="N971">
        <v>7353.0551283240693</v>
      </c>
      <c r="O971">
        <v>564.13418779630592</v>
      </c>
      <c r="P971">
        <v>54.136922649893179</v>
      </c>
      <c r="R971" t="str">
        <f t="shared" si="30"/>
        <v>no</v>
      </c>
      <c r="S971" t="str">
        <f t="shared" si="31"/>
        <v>no</v>
      </c>
    </row>
    <row r="972" spans="1:19" x14ac:dyDescent="0.35">
      <c r="A972" s="1">
        <v>970</v>
      </c>
      <c r="B972" t="s">
        <v>827</v>
      </c>
      <c r="C972" t="s">
        <v>17</v>
      </c>
      <c r="D972" t="s">
        <v>29</v>
      </c>
      <c r="E972">
        <v>1</v>
      </c>
      <c r="F972">
        <v>0</v>
      </c>
      <c r="G972">
        <v>6</v>
      </c>
      <c r="H972" t="s">
        <v>19</v>
      </c>
      <c r="M972">
        <v>1</v>
      </c>
      <c r="N972">
        <v>1</v>
      </c>
      <c r="O972">
        <v>0</v>
      </c>
      <c r="P972" t="s">
        <v>21</v>
      </c>
      <c r="R972" t="str">
        <f t="shared" si="30"/>
        <v>no</v>
      </c>
      <c r="S972" t="str">
        <f t="shared" si="31"/>
        <v>no</v>
      </c>
    </row>
    <row r="973" spans="1:19" x14ac:dyDescent="0.35">
      <c r="A973" s="1">
        <v>971</v>
      </c>
      <c r="B973" t="s">
        <v>827</v>
      </c>
      <c r="C973" t="s">
        <v>17</v>
      </c>
      <c r="D973" t="s">
        <v>30</v>
      </c>
      <c r="E973">
        <v>7644.2222222222217</v>
      </c>
      <c r="F973">
        <v>70.713775565232709</v>
      </c>
      <c r="G973">
        <v>6</v>
      </c>
      <c r="H973" t="s">
        <v>19</v>
      </c>
      <c r="M973">
        <v>7785.6497733526867</v>
      </c>
      <c r="N973">
        <v>7502.7946710917568</v>
      </c>
      <c r="O973">
        <v>282.85510226092993</v>
      </c>
      <c r="P973">
        <v>108.10089209803979</v>
      </c>
      <c r="R973" t="str">
        <f t="shared" si="30"/>
        <v>no</v>
      </c>
      <c r="S973" t="str">
        <f t="shared" si="31"/>
        <v>no</v>
      </c>
    </row>
    <row r="974" spans="1:19" x14ac:dyDescent="0.35">
      <c r="A974" s="1">
        <v>972</v>
      </c>
      <c r="B974" t="s">
        <v>827</v>
      </c>
      <c r="C974" t="s">
        <v>17</v>
      </c>
      <c r="D974" t="s">
        <v>31</v>
      </c>
      <c r="E974">
        <v>1</v>
      </c>
      <c r="F974">
        <v>0</v>
      </c>
      <c r="G974">
        <v>6</v>
      </c>
      <c r="H974" t="s">
        <v>19</v>
      </c>
      <c r="M974">
        <v>1</v>
      </c>
      <c r="N974">
        <v>1</v>
      </c>
      <c r="O974">
        <v>0</v>
      </c>
      <c r="P974" t="s">
        <v>21</v>
      </c>
      <c r="R974" t="str">
        <f t="shared" si="30"/>
        <v>no</v>
      </c>
      <c r="S974" t="str">
        <f t="shared" si="31"/>
        <v>no</v>
      </c>
    </row>
    <row r="975" spans="1:19" x14ac:dyDescent="0.35">
      <c r="A975" s="1">
        <v>973</v>
      </c>
      <c r="B975" t="s">
        <v>827</v>
      </c>
      <c r="C975" t="s">
        <v>17</v>
      </c>
      <c r="D975" t="s">
        <v>32</v>
      </c>
      <c r="E975">
        <v>7647.6444444444451</v>
      </c>
      <c r="F975">
        <v>127.2617994337137</v>
      </c>
      <c r="G975">
        <v>6</v>
      </c>
      <c r="H975" t="s">
        <v>19</v>
      </c>
      <c r="M975">
        <v>7902.1680433118727</v>
      </c>
      <c r="N975">
        <v>7393.1208455770166</v>
      </c>
      <c r="O975">
        <v>509.04719773485522</v>
      </c>
      <c r="P975">
        <v>60.093794669529572</v>
      </c>
      <c r="R975" t="str">
        <f t="shared" si="30"/>
        <v>no</v>
      </c>
      <c r="S975" t="str">
        <f t="shared" si="31"/>
        <v>no</v>
      </c>
    </row>
    <row r="976" spans="1:19" x14ac:dyDescent="0.35">
      <c r="A976" s="1">
        <v>974</v>
      </c>
      <c r="B976" t="s">
        <v>827</v>
      </c>
      <c r="C976" t="s">
        <v>17</v>
      </c>
      <c r="D976" t="s">
        <v>33</v>
      </c>
      <c r="E976">
        <v>1</v>
      </c>
      <c r="F976">
        <v>0</v>
      </c>
      <c r="G976">
        <v>6</v>
      </c>
      <c r="H976" t="s">
        <v>19</v>
      </c>
      <c r="M976">
        <v>1</v>
      </c>
      <c r="N976">
        <v>1</v>
      </c>
      <c r="O976">
        <v>0</v>
      </c>
      <c r="P976" t="s">
        <v>21</v>
      </c>
      <c r="R976" t="str">
        <f t="shared" si="30"/>
        <v>no</v>
      </c>
      <c r="S976" t="str">
        <f t="shared" si="31"/>
        <v>no</v>
      </c>
    </row>
    <row r="977" spans="1:19" x14ac:dyDescent="0.35">
      <c r="A977" s="1">
        <v>975</v>
      </c>
      <c r="B977" t="s">
        <v>827</v>
      </c>
      <c r="C977" t="s">
        <v>17</v>
      </c>
      <c r="D977" t="s">
        <v>34</v>
      </c>
      <c r="E977">
        <v>7622.9722222222217</v>
      </c>
      <c r="F977">
        <v>82.545654836388493</v>
      </c>
      <c r="G977">
        <v>6</v>
      </c>
      <c r="H977" t="s">
        <v>19</v>
      </c>
      <c r="M977">
        <v>7788.063531894999</v>
      </c>
      <c r="N977">
        <v>7457.8809125494436</v>
      </c>
      <c r="O977">
        <v>330.18261934555449</v>
      </c>
      <c r="P977">
        <v>92.348558350303335</v>
      </c>
      <c r="R977" t="str">
        <f t="shared" si="30"/>
        <v>no</v>
      </c>
      <c r="S977" t="str">
        <f t="shared" si="31"/>
        <v>no</v>
      </c>
    </row>
    <row r="978" spans="1:19" x14ac:dyDescent="0.35">
      <c r="A978" s="1">
        <v>976</v>
      </c>
      <c r="B978" t="s">
        <v>827</v>
      </c>
      <c r="C978" t="s">
        <v>17</v>
      </c>
      <c r="D978" t="s">
        <v>35</v>
      </c>
      <c r="E978">
        <v>1</v>
      </c>
      <c r="F978">
        <v>0</v>
      </c>
      <c r="G978">
        <v>6</v>
      </c>
      <c r="H978" t="s">
        <v>19</v>
      </c>
      <c r="M978">
        <v>1</v>
      </c>
      <c r="N978">
        <v>1</v>
      </c>
      <c r="O978">
        <v>0</v>
      </c>
      <c r="P978" t="s">
        <v>21</v>
      </c>
      <c r="R978" t="str">
        <f t="shared" si="30"/>
        <v>no</v>
      </c>
      <c r="S978" t="str">
        <f t="shared" si="31"/>
        <v>no</v>
      </c>
    </row>
    <row r="979" spans="1:19" x14ac:dyDescent="0.35">
      <c r="A979" s="1">
        <v>977</v>
      </c>
      <c r="B979" t="s">
        <v>827</v>
      </c>
      <c r="C979" t="s">
        <v>17</v>
      </c>
      <c r="D979" t="s">
        <v>36</v>
      </c>
      <c r="E979">
        <v>2.9344120689655169</v>
      </c>
      <c r="F979">
        <v>2.34794635745974E-2</v>
      </c>
      <c r="G979">
        <v>6</v>
      </c>
      <c r="H979" t="s">
        <v>19</v>
      </c>
      <c r="M979">
        <v>2.9813709961147121</v>
      </c>
      <c r="N979">
        <v>2.8874531418163221</v>
      </c>
      <c r="O979">
        <v>9.3917854298389614E-2</v>
      </c>
      <c r="P979">
        <v>124.9778155979798</v>
      </c>
      <c r="R979" t="str">
        <f t="shared" si="30"/>
        <v>no</v>
      </c>
      <c r="S979" t="str">
        <f t="shared" si="31"/>
        <v>no</v>
      </c>
    </row>
    <row r="980" spans="1:19" x14ac:dyDescent="0.35">
      <c r="A980" s="1">
        <v>978</v>
      </c>
      <c r="B980" t="s">
        <v>827</v>
      </c>
      <c r="C980" t="s">
        <v>17</v>
      </c>
      <c r="D980" t="s">
        <v>37</v>
      </c>
      <c r="E980">
        <v>24.11512298850575</v>
      </c>
      <c r="F980">
        <v>0.30189167430744002</v>
      </c>
      <c r="G980">
        <v>6</v>
      </c>
      <c r="H980" t="s">
        <v>19</v>
      </c>
      <c r="M980">
        <v>24.718906337120629</v>
      </c>
      <c r="N980">
        <v>23.511339639890871</v>
      </c>
      <c r="O980">
        <v>1.2075666972297581</v>
      </c>
      <c r="P980">
        <v>79.880053147631443</v>
      </c>
      <c r="R980" t="str">
        <f t="shared" si="30"/>
        <v>no</v>
      </c>
      <c r="S980" t="str">
        <f t="shared" si="31"/>
        <v>no</v>
      </c>
    </row>
    <row r="981" spans="1:19" x14ac:dyDescent="0.35">
      <c r="A981" s="1">
        <v>979</v>
      </c>
      <c r="B981" t="s">
        <v>827</v>
      </c>
      <c r="C981" t="s">
        <v>17</v>
      </c>
      <c r="D981" t="s">
        <v>38</v>
      </c>
      <c r="E981">
        <v>9.9187356321839087E-2</v>
      </c>
      <c r="F981">
        <v>1.372620936856875E-2</v>
      </c>
      <c r="G981">
        <v>6</v>
      </c>
      <c r="H981" t="s">
        <v>19</v>
      </c>
      <c r="M981">
        <v>0.12663977505897661</v>
      </c>
      <c r="N981">
        <v>7.1734937584701591E-2</v>
      </c>
      <c r="O981">
        <v>5.4904837474274992E-2</v>
      </c>
      <c r="P981">
        <v>7.2261287627569883</v>
      </c>
      <c r="R981" t="str">
        <f t="shared" si="30"/>
        <v>no</v>
      </c>
      <c r="S981" t="str">
        <f t="shared" si="31"/>
        <v>no</v>
      </c>
    </row>
    <row r="982" spans="1:19" x14ac:dyDescent="0.35">
      <c r="A982" s="1">
        <v>980</v>
      </c>
      <c r="B982" t="s">
        <v>827</v>
      </c>
      <c r="C982" t="s">
        <v>17</v>
      </c>
      <c r="D982" t="s">
        <v>39</v>
      </c>
      <c r="E982">
        <v>24.12233275862069</v>
      </c>
      <c r="F982">
        <v>0.32227546030018128</v>
      </c>
      <c r="G982">
        <v>6</v>
      </c>
      <c r="H982" t="s">
        <v>19</v>
      </c>
      <c r="M982">
        <v>24.766883679221049</v>
      </c>
      <c r="N982">
        <v>23.477781838020331</v>
      </c>
      <c r="O982">
        <v>1.289101841200726</v>
      </c>
      <c r="P982">
        <v>74.850045163699733</v>
      </c>
      <c r="R982" t="str">
        <f t="shared" si="30"/>
        <v>no</v>
      </c>
      <c r="S982" t="str">
        <f t="shared" si="31"/>
        <v>no</v>
      </c>
    </row>
    <row r="983" spans="1:19" x14ac:dyDescent="0.35">
      <c r="A983" s="1">
        <v>981</v>
      </c>
      <c r="B983" t="s">
        <v>827</v>
      </c>
      <c r="C983" t="s">
        <v>17</v>
      </c>
      <c r="D983" t="s">
        <v>40</v>
      </c>
      <c r="E983">
        <v>0.1018385057471264</v>
      </c>
      <c r="F983">
        <v>7.9052096800100377E-3</v>
      </c>
      <c r="G983">
        <v>6</v>
      </c>
      <c r="H983" t="s">
        <v>19</v>
      </c>
      <c r="M983">
        <v>0.1176489251071465</v>
      </c>
      <c r="N983">
        <v>8.6028086387106323E-2</v>
      </c>
      <c r="O983">
        <v>3.1620838720040151E-2</v>
      </c>
      <c r="P983">
        <v>12.882454719024871</v>
      </c>
      <c r="R983" t="str">
        <f t="shared" si="30"/>
        <v>no</v>
      </c>
      <c r="S983" t="str">
        <f t="shared" si="31"/>
        <v>no</v>
      </c>
    </row>
    <row r="984" spans="1:19" x14ac:dyDescent="0.35">
      <c r="A984" s="1">
        <v>982</v>
      </c>
      <c r="B984" t="s">
        <v>827</v>
      </c>
      <c r="C984" t="s">
        <v>17</v>
      </c>
      <c r="D984" t="s">
        <v>41</v>
      </c>
      <c r="E984">
        <v>24.10561264367816</v>
      </c>
      <c r="F984">
        <v>0.25184697353960078</v>
      </c>
      <c r="G984">
        <v>6</v>
      </c>
      <c r="H984" t="s">
        <v>19</v>
      </c>
      <c r="M984">
        <v>24.60930659075736</v>
      </c>
      <c r="N984">
        <v>23.601918696598961</v>
      </c>
      <c r="O984">
        <v>1.007387894158406</v>
      </c>
      <c r="P984">
        <v>95.715315951127593</v>
      </c>
      <c r="R984" t="str">
        <f t="shared" si="30"/>
        <v>no</v>
      </c>
      <c r="S984" t="str">
        <f t="shared" si="31"/>
        <v>no</v>
      </c>
    </row>
    <row r="985" spans="1:19" x14ac:dyDescent="0.35">
      <c r="A985" s="1">
        <v>983</v>
      </c>
      <c r="B985" t="s">
        <v>827</v>
      </c>
      <c r="C985" t="s">
        <v>17</v>
      </c>
      <c r="D985" t="s">
        <v>42</v>
      </c>
      <c r="E985">
        <v>2.1466666666666669E-2</v>
      </c>
      <c r="F985">
        <v>6.4492631006157434E-3</v>
      </c>
      <c r="G985">
        <v>6</v>
      </c>
      <c r="H985" t="s">
        <v>19</v>
      </c>
      <c r="M985">
        <v>3.4365192867898159E-2</v>
      </c>
      <c r="N985">
        <v>8.5681404654351818E-3</v>
      </c>
      <c r="O985">
        <v>2.579705240246298E-2</v>
      </c>
      <c r="P985">
        <v>3.328545654249575</v>
      </c>
      <c r="R985" t="str">
        <f t="shared" si="30"/>
        <v>no</v>
      </c>
      <c r="S985" t="str">
        <f t="shared" si="31"/>
        <v>no</v>
      </c>
    </row>
    <row r="986" spans="1:19" x14ac:dyDescent="0.35">
      <c r="A986" s="1">
        <v>984</v>
      </c>
      <c r="B986" t="s">
        <v>827</v>
      </c>
      <c r="C986" t="s">
        <v>17</v>
      </c>
      <c r="D986" t="s">
        <v>43</v>
      </c>
      <c r="E986">
        <v>24.151762068965521</v>
      </c>
      <c r="F986">
        <v>0.25383908079102091</v>
      </c>
      <c r="G986">
        <v>6</v>
      </c>
      <c r="H986" t="s">
        <v>19</v>
      </c>
      <c r="M986">
        <v>24.65944023054756</v>
      </c>
      <c r="N986">
        <v>23.644083907383479</v>
      </c>
      <c r="O986">
        <v>1.015356323164085</v>
      </c>
      <c r="P986">
        <v>95.145956224325587</v>
      </c>
      <c r="R986" t="str">
        <f t="shared" si="30"/>
        <v>no</v>
      </c>
      <c r="S986" t="str">
        <f t="shared" si="31"/>
        <v>no</v>
      </c>
    </row>
    <row r="987" spans="1:19" x14ac:dyDescent="0.35">
      <c r="A987" s="1">
        <v>985</v>
      </c>
      <c r="B987" t="s">
        <v>827</v>
      </c>
      <c r="C987" t="s">
        <v>17</v>
      </c>
      <c r="D987" t="s">
        <v>44</v>
      </c>
      <c r="E987">
        <v>0.68983735632183918</v>
      </c>
      <c r="F987">
        <v>1.6963565386939189E-2</v>
      </c>
      <c r="G987">
        <v>6</v>
      </c>
      <c r="H987" t="s">
        <v>19</v>
      </c>
      <c r="M987">
        <v>0.72376448709571761</v>
      </c>
      <c r="N987">
        <v>0.65591022554796075</v>
      </c>
      <c r="O987">
        <v>6.7854261547756867E-2</v>
      </c>
      <c r="P987">
        <v>40.665823521567447</v>
      </c>
      <c r="R987" t="str">
        <f t="shared" si="30"/>
        <v>no</v>
      </c>
      <c r="S987" t="str">
        <f t="shared" si="31"/>
        <v>no</v>
      </c>
    </row>
    <row r="988" spans="1:19" x14ac:dyDescent="0.35">
      <c r="A988" s="1">
        <v>986</v>
      </c>
      <c r="B988" t="s">
        <v>827</v>
      </c>
      <c r="C988" t="s">
        <v>17</v>
      </c>
      <c r="D988" t="s">
        <v>45</v>
      </c>
      <c r="E988">
        <v>35.910156321839082</v>
      </c>
      <c r="F988">
        <v>0.16500898632010491</v>
      </c>
      <c r="G988">
        <v>6</v>
      </c>
      <c r="H988" t="s">
        <v>19</v>
      </c>
      <c r="M988">
        <v>36.240174294479289</v>
      </c>
      <c r="N988">
        <v>35.580138349198883</v>
      </c>
      <c r="O988">
        <v>0.66003594528041276</v>
      </c>
      <c r="P988">
        <v>217.6254586048793</v>
      </c>
      <c r="R988" t="str">
        <f t="shared" si="30"/>
        <v>no</v>
      </c>
      <c r="S988" t="str">
        <f t="shared" si="31"/>
        <v>no</v>
      </c>
    </row>
    <row r="989" spans="1:19" x14ac:dyDescent="0.35">
      <c r="A989" s="1">
        <v>987</v>
      </c>
      <c r="B989" t="s">
        <v>827</v>
      </c>
      <c r="C989" t="s">
        <v>17</v>
      </c>
      <c r="D989" t="s">
        <v>46</v>
      </c>
      <c r="E989">
        <v>0.69262298850574711</v>
      </c>
      <c r="F989">
        <v>1.6942540916301721E-2</v>
      </c>
      <c r="G989">
        <v>6</v>
      </c>
      <c r="H989" t="s">
        <v>19</v>
      </c>
      <c r="M989">
        <v>0.72650807033835052</v>
      </c>
      <c r="N989">
        <v>0.65873790667314369</v>
      </c>
      <c r="O989">
        <v>6.7770163665206828E-2</v>
      </c>
      <c r="P989">
        <v>40.880703309343723</v>
      </c>
      <c r="R989" t="str">
        <f t="shared" si="30"/>
        <v>no</v>
      </c>
      <c r="S989" t="str">
        <f t="shared" si="31"/>
        <v>no</v>
      </c>
    </row>
    <row r="990" spans="1:19" x14ac:dyDescent="0.35">
      <c r="A990" s="1">
        <v>988</v>
      </c>
      <c r="B990" t="s">
        <v>827</v>
      </c>
      <c r="C990" t="s">
        <v>17</v>
      </c>
      <c r="D990" t="s">
        <v>47</v>
      </c>
      <c r="E990">
        <v>35.902418965517249</v>
      </c>
      <c r="F990">
        <v>0.15783535228074869</v>
      </c>
      <c r="G990">
        <v>6</v>
      </c>
      <c r="H990" t="s">
        <v>19</v>
      </c>
      <c r="M990">
        <v>36.218089670078747</v>
      </c>
      <c r="N990">
        <v>35.586748260955751</v>
      </c>
      <c r="O990">
        <v>0.63134140912299586</v>
      </c>
      <c r="P990">
        <v>227.46753782800221</v>
      </c>
      <c r="R990" t="str">
        <f t="shared" si="30"/>
        <v>no</v>
      </c>
      <c r="S990" t="str">
        <f t="shared" si="31"/>
        <v>no</v>
      </c>
    </row>
    <row r="991" spans="1:19" x14ac:dyDescent="0.35">
      <c r="A991" s="1">
        <v>989</v>
      </c>
      <c r="B991" t="s">
        <v>827</v>
      </c>
      <c r="C991" t="s">
        <v>17</v>
      </c>
      <c r="D991" t="s">
        <v>48</v>
      </c>
      <c r="E991">
        <v>0.68446896551724146</v>
      </c>
      <c r="F991">
        <v>1.4861606194676819E-2</v>
      </c>
      <c r="G991">
        <v>6</v>
      </c>
      <c r="H991" t="s">
        <v>19</v>
      </c>
      <c r="M991">
        <v>0.71419217790659506</v>
      </c>
      <c r="N991">
        <v>0.65474575312788785</v>
      </c>
      <c r="O991">
        <v>5.9446424778707208E-2</v>
      </c>
      <c r="P991">
        <v>46.056190464958419</v>
      </c>
      <c r="R991" t="str">
        <f t="shared" si="30"/>
        <v>no</v>
      </c>
      <c r="S991" t="str">
        <f t="shared" si="31"/>
        <v>no</v>
      </c>
    </row>
    <row r="992" spans="1:19" x14ac:dyDescent="0.35">
      <c r="A992" s="1">
        <v>990</v>
      </c>
      <c r="B992" t="s">
        <v>827</v>
      </c>
      <c r="C992" t="s">
        <v>17</v>
      </c>
      <c r="D992" t="s">
        <v>49</v>
      </c>
      <c r="E992">
        <v>35.863305747126432</v>
      </c>
      <c r="F992">
        <v>0.1310081522205595</v>
      </c>
      <c r="G992">
        <v>6</v>
      </c>
      <c r="H992" t="s">
        <v>19</v>
      </c>
      <c r="M992">
        <v>36.125322051567551</v>
      </c>
      <c r="N992">
        <v>35.601289442685307</v>
      </c>
      <c r="O992">
        <v>0.52403260888223713</v>
      </c>
      <c r="P992">
        <v>273.74865715798018</v>
      </c>
      <c r="R992" t="str">
        <f t="shared" si="30"/>
        <v>no</v>
      </c>
      <c r="S992" t="str">
        <f t="shared" si="31"/>
        <v>no</v>
      </c>
    </row>
    <row r="993" spans="1:19" x14ac:dyDescent="0.35">
      <c r="A993" s="1">
        <v>991</v>
      </c>
      <c r="B993" t="s">
        <v>827</v>
      </c>
      <c r="C993" t="s">
        <v>17</v>
      </c>
      <c r="D993" t="s">
        <v>50</v>
      </c>
      <c r="E993">
        <v>0.69335689655172417</v>
      </c>
      <c r="F993">
        <v>1.184836092664408E-2</v>
      </c>
      <c r="G993">
        <v>6</v>
      </c>
      <c r="H993" t="s">
        <v>19</v>
      </c>
      <c r="M993">
        <v>0.71705361840501236</v>
      </c>
      <c r="N993">
        <v>0.66966017469843597</v>
      </c>
      <c r="O993">
        <v>4.7393443706576388E-2</v>
      </c>
      <c r="P993">
        <v>58.519224797797413</v>
      </c>
      <c r="R993" t="str">
        <f t="shared" si="30"/>
        <v>no</v>
      </c>
      <c r="S993" t="str">
        <f t="shared" si="31"/>
        <v>no</v>
      </c>
    </row>
    <row r="994" spans="1:19" x14ac:dyDescent="0.35">
      <c r="A994" s="1">
        <v>992</v>
      </c>
      <c r="B994" t="s">
        <v>827</v>
      </c>
      <c r="C994" t="s">
        <v>17</v>
      </c>
      <c r="D994" t="s">
        <v>51</v>
      </c>
      <c r="E994">
        <v>35.829575862068971</v>
      </c>
      <c r="F994">
        <v>0.164908297290532</v>
      </c>
      <c r="G994">
        <v>6</v>
      </c>
      <c r="H994" t="s">
        <v>19</v>
      </c>
      <c r="M994">
        <v>36.159392456650032</v>
      </c>
      <c r="N994">
        <v>35.49975926748791</v>
      </c>
      <c r="O994">
        <v>0.65963318916212188</v>
      </c>
      <c r="P994">
        <v>217.26969746673919</v>
      </c>
      <c r="R994" t="str">
        <f t="shared" si="30"/>
        <v>no</v>
      </c>
      <c r="S994" t="str">
        <f t="shared" si="31"/>
        <v>no</v>
      </c>
    </row>
    <row r="995" spans="1:19" x14ac:dyDescent="0.35">
      <c r="A995" s="1">
        <v>993</v>
      </c>
      <c r="B995" t="s">
        <v>827</v>
      </c>
      <c r="C995" t="s">
        <v>17</v>
      </c>
      <c r="D995" t="s">
        <v>52</v>
      </c>
      <c r="E995">
        <v>0.69339425287356327</v>
      </c>
      <c r="F995">
        <v>1.8001879998011689E-2</v>
      </c>
      <c r="G995">
        <v>6</v>
      </c>
      <c r="H995" t="s">
        <v>19</v>
      </c>
      <c r="M995">
        <v>0.72939801286958661</v>
      </c>
      <c r="N995">
        <v>0.65739049287753992</v>
      </c>
      <c r="O995">
        <v>7.2007519992046687E-2</v>
      </c>
      <c r="P995">
        <v>38.517879963101009</v>
      </c>
      <c r="R995" t="str">
        <f t="shared" si="30"/>
        <v>no</v>
      </c>
      <c r="S995" t="str">
        <f t="shared" si="31"/>
        <v>no</v>
      </c>
    </row>
    <row r="996" spans="1:19" x14ac:dyDescent="0.35">
      <c r="A996" s="1">
        <v>994</v>
      </c>
      <c r="B996" t="s">
        <v>827</v>
      </c>
      <c r="C996" t="s">
        <v>17</v>
      </c>
      <c r="D996" t="s">
        <v>53</v>
      </c>
      <c r="E996">
        <v>35.873175287356332</v>
      </c>
      <c r="F996">
        <v>0.24711650552446829</v>
      </c>
      <c r="G996">
        <v>6</v>
      </c>
      <c r="H996" t="s">
        <v>19</v>
      </c>
      <c r="M996">
        <v>36.367408298405273</v>
      </c>
      <c r="N996">
        <v>35.378942276307399</v>
      </c>
      <c r="O996">
        <v>0.98846602209786738</v>
      </c>
      <c r="P996">
        <v>145.16705475104069</v>
      </c>
      <c r="R996" t="str">
        <f t="shared" si="30"/>
        <v>no</v>
      </c>
      <c r="S996" t="str">
        <f t="shared" si="31"/>
        <v>no</v>
      </c>
    </row>
    <row r="997" spans="1:19" x14ac:dyDescent="0.35">
      <c r="A997" s="1">
        <v>995</v>
      </c>
      <c r="B997" t="s">
        <v>827</v>
      </c>
      <c r="C997" t="s">
        <v>17</v>
      </c>
      <c r="D997" t="s">
        <v>54</v>
      </c>
      <c r="E997">
        <v>0.70973850574712649</v>
      </c>
      <c r="F997">
        <v>1.7949945506309972E-2</v>
      </c>
      <c r="G997">
        <v>6</v>
      </c>
      <c r="H997" t="s">
        <v>19</v>
      </c>
      <c r="M997">
        <v>0.74563839675974641</v>
      </c>
      <c r="N997">
        <v>0.67383861473450657</v>
      </c>
      <c r="O997">
        <v>7.1799782025239844E-2</v>
      </c>
      <c r="P997">
        <v>39.539869661310732</v>
      </c>
      <c r="R997" t="str">
        <f t="shared" si="30"/>
        <v>no</v>
      </c>
      <c r="S997" t="str">
        <f t="shared" si="31"/>
        <v>no</v>
      </c>
    </row>
    <row r="998" spans="1:19" x14ac:dyDescent="0.35">
      <c r="A998" s="1">
        <v>996</v>
      </c>
      <c r="B998" t="s">
        <v>827</v>
      </c>
      <c r="C998" t="s">
        <v>17</v>
      </c>
      <c r="D998" t="s">
        <v>55</v>
      </c>
      <c r="E998">
        <v>35.874520689655178</v>
      </c>
      <c r="F998">
        <v>6.6555428929360116E-2</v>
      </c>
      <c r="G998">
        <v>6</v>
      </c>
      <c r="H998" t="s">
        <v>19</v>
      </c>
      <c r="M998">
        <v>36.007631547513903</v>
      </c>
      <c r="N998">
        <v>35.74140983179646</v>
      </c>
      <c r="O998">
        <v>0.26622171571743541</v>
      </c>
      <c r="P998">
        <v>539.01719614385308</v>
      </c>
      <c r="R998" t="str">
        <f t="shared" si="30"/>
        <v>no</v>
      </c>
      <c r="S998" t="str">
        <f t="shared" si="31"/>
        <v>no</v>
      </c>
    </row>
    <row r="999" spans="1:19" x14ac:dyDescent="0.35">
      <c r="A999" s="1">
        <v>997</v>
      </c>
      <c r="B999" t="s">
        <v>827</v>
      </c>
      <c r="C999" t="s">
        <v>56</v>
      </c>
      <c r="D999" t="s">
        <v>57</v>
      </c>
      <c r="E999">
        <v>0</v>
      </c>
      <c r="F999">
        <v>0</v>
      </c>
      <c r="G999">
        <v>6</v>
      </c>
      <c r="H999" t="s">
        <v>58</v>
      </c>
      <c r="M999">
        <v>0</v>
      </c>
      <c r="N999">
        <v>0</v>
      </c>
      <c r="O999">
        <v>0</v>
      </c>
      <c r="R999" t="str">
        <f t="shared" si="30"/>
        <v>yes</v>
      </c>
      <c r="S999" t="str">
        <f t="shared" si="31"/>
        <v>no</v>
      </c>
    </row>
    <row r="1000" spans="1:19" x14ac:dyDescent="0.35">
      <c r="A1000" s="1">
        <v>998</v>
      </c>
      <c r="B1000" t="s">
        <v>827</v>
      </c>
      <c r="C1000" t="s">
        <v>56</v>
      </c>
      <c r="D1000" t="s">
        <v>59</v>
      </c>
      <c r="E1000">
        <v>0</v>
      </c>
      <c r="F1000">
        <v>0</v>
      </c>
      <c r="G1000">
        <v>6</v>
      </c>
      <c r="H1000" t="s">
        <v>58</v>
      </c>
      <c r="M1000">
        <v>0</v>
      </c>
      <c r="N1000">
        <v>0</v>
      </c>
      <c r="O1000">
        <v>0</v>
      </c>
      <c r="R1000" t="str">
        <f t="shared" si="30"/>
        <v>yes</v>
      </c>
      <c r="S1000" t="str">
        <f t="shared" si="31"/>
        <v>no</v>
      </c>
    </row>
    <row r="1001" spans="1:19" x14ac:dyDescent="0.35">
      <c r="A1001" s="1">
        <v>999</v>
      </c>
      <c r="B1001" t="s">
        <v>827</v>
      </c>
      <c r="C1001" t="s">
        <v>56</v>
      </c>
      <c r="D1001" t="s">
        <v>60</v>
      </c>
      <c r="E1001">
        <v>0</v>
      </c>
      <c r="F1001">
        <v>0</v>
      </c>
      <c r="G1001">
        <v>6</v>
      </c>
      <c r="H1001" t="s">
        <v>58</v>
      </c>
      <c r="M1001">
        <v>0</v>
      </c>
      <c r="N1001">
        <v>0</v>
      </c>
      <c r="O1001">
        <v>0</v>
      </c>
      <c r="R1001" t="str">
        <f t="shared" si="30"/>
        <v>yes</v>
      </c>
      <c r="S1001" t="str">
        <f t="shared" si="31"/>
        <v>no</v>
      </c>
    </row>
    <row r="1002" spans="1:19" x14ac:dyDescent="0.35">
      <c r="A1002" s="1">
        <v>1000</v>
      </c>
      <c r="B1002" t="s">
        <v>827</v>
      </c>
      <c r="C1002" t="s">
        <v>56</v>
      </c>
      <c r="D1002" t="s">
        <v>61</v>
      </c>
      <c r="E1002">
        <v>0</v>
      </c>
      <c r="F1002">
        <v>0</v>
      </c>
      <c r="G1002">
        <v>6</v>
      </c>
      <c r="H1002" t="s">
        <v>58</v>
      </c>
      <c r="M1002">
        <v>0</v>
      </c>
      <c r="N1002">
        <v>0</v>
      </c>
      <c r="O1002">
        <v>0</v>
      </c>
      <c r="R1002" t="str">
        <f t="shared" si="30"/>
        <v>yes</v>
      </c>
      <c r="S1002" t="str">
        <f t="shared" si="31"/>
        <v>no</v>
      </c>
    </row>
    <row r="1003" spans="1:19" x14ac:dyDescent="0.35">
      <c r="A1003" s="1">
        <v>1001</v>
      </c>
      <c r="B1003" t="s">
        <v>827</v>
      </c>
      <c r="C1003" t="s">
        <v>56</v>
      </c>
      <c r="D1003" t="s">
        <v>62</v>
      </c>
      <c r="E1003">
        <v>0</v>
      </c>
      <c r="F1003">
        <v>0</v>
      </c>
      <c r="G1003">
        <v>6</v>
      </c>
      <c r="H1003" t="s">
        <v>58</v>
      </c>
      <c r="M1003">
        <v>0</v>
      </c>
      <c r="N1003">
        <v>0</v>
      </c>
      <c r="O1003">
        <v>0</v>
      </c>
      <c r="R1003" t="str">
        <f t="shared" si="30"/>
        <v>yes</v>
      </c>
      <c r="S1003" t="str">
        <f t="shared" si="31"/>
        <v>no</v>
      </c>
    </row>
    <row r="1004" spans="1:19" x14ac:dyDescent="0.35">
      <c r="A1004" s="1">
        <v>1002</v>
      </c>
      <c r="B1004" t="s">
        <v>827</v>
      </c>
      <c r="C1004" t="s">
        <v>56</v>
      </c>
      <c r="D1004" t="s">
        <v>63</v>
      </c>
      <c r="E1004">
        <v>0</v>
      </c>
      <c r="F1004">
        <v>0</v>
      </c>
      <c r="G1004">
        <v>6</v>
      </c>
      <c r="H1004" t="s">
        <v>58</v>
      </c>
      <c r="M1004">
        <v>0</v>
      </c>
      <c r="N1004">
        <v>0</v>
      </c>
      <c r="O1004">
        <v>0</v>
      </c>
      <c r="R1004" t="str">
        <f t="shared" si="30"/>
        <v>yes</v>
      </c>
      <c r="S1004" t="str">
        <f t="shared" si="31"/>
        <v>no</v>
      </c>
    </row>
    <row r="1005" spans="1:19" x14ac:dyDescent="0.35">
      <c r="A1005" s="1">
        <v>1003</v>
      </c>
      <c r="B1005" t="s">
        <v>827</v>
      </c>
      <c r="C1005" t="s">
        <v>56</v>
      </c>
      <c r="D1005" t="s">
        <v>64</v>
      </c>
      <c r="E1005">
        <v>0</v>
      </c>
      <c r="F1005">
        <v>0</v>
      </c>
      <c r="G1005">
        <v>6</v>
      </c>
      <c r="H1005" t="s">
        <v>58</v>
      </c>
      <c r="M1005">
        <v>0</v>
      </c>
      <c r="N1005">
        <v>0</v>
      </c>
      <c r="O1005">
        <v>0</v>
      </c>
      <c r="R1005" t="str">
        <f t="shared" si="30"/>
        <v>yes</v>
      </c>
      <c r="S1005" t="str">
        <f t="shared" si="31"/>
        <v>no</v>
      </c>
    </row>
    <row r="1006" spans="1:19" x14ac:dyDescent="0.35">
      <c r="A1006" s="1">
        <v>1004</v>
      </c>
      <c r="B1006" t="s">
        <v>827</v>
      </c>
      <c r="C1006" t="s">
        <v>56</v>
      </c>
      <c r="D1006" t="s">
        <v>65</v>
      </c>
      <c r="E1006">
        <v>0</v>
      </c>
      <c r="F1006">
        <v>0</v>
      </c>
      <c r="G1006">
        <v>6</v>
      </c>
      <c r="H1006" t="s">
        <v>58</v>
      </c>
      <c r="M1006">
        <v>0</v>
      </c>
      <c r="N1006">
        <v>0</v>
      </c>
      <c r="O1006">
        <v>0</v>
      </c>
      <c r="R1006" t="str">
        <f t="shared" si="30"/>
        <v>yes</v>
      </c>
      <c r="S1006" t="str">
        <f t="shared" si="31"/>
        <v>no</v>
      </c>
    </row>
    <row r="1007" spans="1:19" x14ac:dyDescent="0.35">
      <c r="A1007" s="1">
        <v>1005</v>
      </c>
      <c r="B1007" t="s">
        <v>827</v>
      </c>
      <c r="C1007" t="s">
        <v>56</v>
      </c>
      <c r="D1007" t="s">
        <v>66</v>
      </c>
      <c r="E1007">
        <v>0</v>
      </c>
      <c r="F1007">
        <v>0</v>
      </c>
      <c r="G1007">
        <v>6</v>
      </c>
      <c r="H1007" t="s">
        <v>58</v>
      </c>
      <c r="M1007">
        <v>0</v>
      </c>
      <c r="N1007">
        <v>0</v>
      </c>
      <c r="O1007">
        <v>0</v>
      </c>
      <c r="R1007" t="str">
        <f t="shared" si="30"/>
        <v>yes</v>
      </c>
      <c r="S1007" t="str">
        <f t="shared" si="31"/>
        <v>no</v>
      </c>
    </row>
    <row r="1008" spans="1:19" x14ac:dyDescent="0.35">
      <c r="A1008" s="1">
        <v>1006</v>
      </c>
      <c r="B1008" t="s">
        <v>827</v>
      </c>
      <c r="C1008" t="s">
        <v>56</v>
      </c>
      <c r="D1008" t="s">
        <v>67</v>
      </c>
      <c r="E1008">
        <v>0</v>
      </c>
      <c r="F1008">
        <v>0</v>
      </c>
      <c r="G1008">
        <v>6</v>
      </c>
      <c r="H1008" t="s">
        <v>58</v>
      </c>
      <c r="I1008">
        <v>-50</v>
      </c>
      <c r="J1008">
        <v>90</v>
      </c>
      <c r="K1008">
        <v>20</v>
      </c>
      <c r="L1008">
        <v>140</v>
      </c>
      <c r="M1008">
        <v>0</v>
      </c>
      <c r="N1008">
        <v>0</v>
      </c>
      <c r="O1008">
        <v>0</v>
      </c>
      <c r="Q1008" t="s">
        <v>21</v>
      </c>
      <c r="R1008" t="str">
        <f t="shared" si="30"/>
        <v>yes</v>
      </c>
      <c r="S1008" t="str">
        <f t="shared" si="31"/>
        <v>yes</v>
      </c>
    </row>
    <row r="1009" spans="1:19" x14ac:dyDescent="0.35">
      <c r="A1009" s="1">
        <v>1007</v>
      </c>
      <c r="B1009" t="s">
        <v>827</v>
      </c>
      <c r="C1009" t="s">
        <v>56</v>
      </c>
      <c r="D1009" t="s">
        <v>68</v>
      </c>
      <c r="E1009">
        <v>0</v>
      </c>
      <c r="F1009">
        <v>0</v>
      </c>
      <c r="G1009">
        <v>6</v>
      </c>
      <c r="H1009" t="s">
        <v>58</v>
      </c>
      <c r="I1009">
        <v>-50</v>
      </c>
      <c r="J1009">
        <v>90</v>
      </c>
      <c r="K1009">
        <v>20</v>
      </c>
      <c r="L1009">
        <v>140</v>
      </c>
      <c r="M1009">
        <v>0</v>
      </c>
      <c r="N1009">
        <v>0</v>
      </c>
      <c r="O1009">
        <v>0</v>
      </c>
      <c r="Q1009" t="s">
        <v>21</v>
      </c>
      <c r="R1009" t="str">
        <f t="shared" si="30"/>
        <v>yes</v>
      </c>
      <c r="S1009" t="str">
        <f t="shared" si="31"/>
        <v>yes</v>
      </c>
    </row>
    <row r="1010" spans="1:19" x14ac:dyDescent="0.35">
      <c r="A1010" s="1">
        <v>1008</v>
      </c>
      <c r="B1010" t="s">
        <v>827</v>
      </c>
      <c r="C1010" t="s">
        <v>56</v>
      </c>
      <c r="D1010" t="s">
        <v>69</v>
      </c>
      <c r="E1010">
        <v>0.67423671111111116</v>
      </c>
      <c r="F1010">
        <v>0.76174158785264878</v>
      </c>
      <c r="G1010">
        <v>6</v>
      </c>
      <c r="H1010" t="s">
        <v>58</v>
      </c>
      <c r="M1010">
        <v>2.197719886816409</v>
      </c>
      <c r="N1010">
        <v>-0.8492464645941864</v>
      </c>
      <c r="O1010">
        <v>3.0469663514105951</v>
      </c>
      <c r="P1010">
        <v>0.88512524701688655</v>
      </c>
      <c r="R1010" t="str">
        <f t="shared" si="30"/>
        <v>yes</v>
      </c>
      <c r="S1010" t="str">
        <f t="shared" si="31"/>
        <v>no</v>
      </c>
    </row>
    <row r="1011" spans="1:19" x14ac:dyDescent="0.35">
      <c r="A1011" s="1">
        <v>1009</v>
      </c>
      <c r="B1011" t="s">
        <v>827</v>
      </c>
      <c r="C1011" t="s">
        <v>56</v>
      </c>
      <c r="D1011" t="s">
        <v>70</v>
      </c>
      <c r="E1011">
        <v>-0.25957334444444441</v>
      </c>
      <c r="F1011">
        <v>7.2596263909298242E-2</v>
      </c>
      <c r="G1011">
        <v>6</v>
      </c>
      <c r="H1011" t="s">
        <v>58</v>
      </c>
      <c r="M1011">
        <v>-0.1143808166258479</v>
      </c>
      <c r="N1011">
        <v>-0.40476587226304089</v>
      </c>
      <c r="O1011">
        <v>0.29038505563719302</v>
      </c>
      <c r="P1011">
        <v>-3.5755744230688689</v>
      </c>
      <c r="R1011" t="str">
        <f t="shared" si="30"/>
        <v>yes</v>
      </c>
      <c r="S1011" t="str">
        <f t="shared" si="31"/>
        <v>no</v>
      </c>
    </row>
    <row r="1012" spans="1:19" x14ac:dyDescent="0.35">
      <c r="A1012" s="1">
        <v>1010</v>
      </c>
      <c r="B1012" t="s">
        <v>827</v>
      </c>
      <c r="C1012" t="s">
        <v>56</v>
      </c>
      <c r="D1012" t="s">
        <v>71</v>
      </c>
      <c r="E1012">
        <v>84.527113827777782</v>
      </c>
      <c r="F1012">
        <v>13.369930303503279</v>
      </c>
      <c r="G1012">
        <v>6</v>
      </c>
      <c r="H1012" t="s">
        <v>58</v>
      </c>
      <c r="M1012">
        <v>111.2669744347843</v>
      </c>
      <c r="N1012">
        <v>57.78725322077122</v>
      </c>
      <c r="O1012">
        <v>53.479721214013132</v>
      </c>
      <c r="P1012">
        <v>6.3221805880042181</v>
      </c>
      <c r="R1012" t="str">
        <f t="shared" si="30"/>
        <v>yes</v>
      </c>
      <c r="S1012" t="str">
        <f t="shared" si="31"/>
        <v>no</v>
      </c>
    </row>
    <row r="1013" spans="1:19" x14ac:dyDescent="0.35">
      <c r="A1013" s="1">
        <v>1011</v>
      </c>
      <c r="B1013" t="s">
        <v>827</v>
      </c>
      <c r="C1013" t="s">
        <v>56</v>
      </c>
      <c r="D1013" t="s">
        <v>72</v>
      </c>
      <c r="E1013">
        <v>0</v>
      </c>
      <c r="F1013">
        <v>0</v>
      </c>
      <c r="G1013">
        <v>6</v>
      </c>
      <c r="H1013" t="s">
        <v>58</v>
      </c>
      <c r="M1013">
        <v>0</v>
      </c>
      <c r="N1013">
        <v>0</v>
      </c>
      <c r="O1013">
        <v>0</v>
      </c>
      <c r="R1013" t="str">
        <f t="shared" si="30"/>
        <v>yes</v>
      </c>
      <c r="S1013" t="str">
        <f t="shared" si="31"/>
        <v>no</v>
      </c>
    </row>
    <row r="1014" spans="1:19" x14ac:dyDescent="0.35">
      <c r="A1014" s="1">
        <v>1012</v>
      </c>
      <c r="B1014" t="s">
        <v>827</v>
      </c>
      <c r="C1014" t="s">
        <v>56</v>
      </c>
      <c r="D1014" t="s">
        <v>73</v>
      </c>
      <c r="E1014">
        <v>0</v>
      </c>
      <c r="F1014">
        <v>0</v>
      </c>
      <c r="G1014">
        <v>6</v>
      </c>
      <c r="H1014" t="s">
        <v>58</v>
      </c>
      <c r="M1014">
        <v>0</v>
      </c>
      <c r="N1014">
        <v>0</v>
      </c>
      <c r="O1014">
        <v>0</v>
      </c>
      <c r="R1014" t="str">
        <f t="shared" si="30"/>
        <v>yes</v>
      </c>
      <c r="S1014" t="str">
        <f t="shared" si="31"/>
        <v>no</v>
      </c>
    </row>
    <row r="1015" spans="1:19" x14ac:dyDescent="0.35">
      <c r="A1015" s="1">
        <v>1013</v>
      </c>
      <c r="B1015" t="s">
        <v>827</v>
      </c>
      <c r="C1015" t="s">
        <v>56</v>
      </c>
      <c r="D1015" t="s">
        <v>74</v>
      </c>
      <c r="E1015">
        <v>0</v>
      </c>
      <c r="F1015">
        <v>0</v>
      </c>
      <c r="G1015">
        <v>6</v>
      </c>
      <c r="H1015" t="s">
        <v>58</v>
      </c>
      <c r="M1015">
        <v>0</v>
      </c>
      <c r="N1015">
        <v>0</v>
      </c>
      <c r="O1015">
        <v>0</v>
      </c>
      <c r="R1015" t="str">
        <f t="shared" si="30"/>
        <v>yes</v>
      </c>
      <c r="S1015" t="str">
        <f t="shared" si="31"/>
        <v>no</v>
      </c>
    </row>
    <row r="1016" spans="1:19" x14ac:dyDescent="0.35">
      <c r="A1016" s="1">
        <v>1014</v>
      </c>
      <c r="B1016" t="s">
        <v>827</v>
      </c>
      <c r="C1016" t="s">
        <v>820</v>
      </c>
      <c r="D1016" t="s">
        <v>821</v>
      </c>
      <c r="G1016">
        <v>6</v>
      </c>
      <c r="H1016" t="s">
        <v>58</v>
      </c>
      <c r="R1016" t="str">
        <f t="shared" si="30"/>
        <v>yes</v>
      </c>
      <c r="S1016" t="str">
        <f t="shared" si="31"/>
        <v>no</v>
      </c>
    </row>
    <row r="1017" spans="1:19" x14ac:dyDescent="0.35">
      <c r="A1017" s="1">
        <v>1015</v>
      </c>
      <c r="B1017" t="s">
        <v>827</v>
      </c>
      <c r="C1017" t="s">
        <v>820</v>
      </c>
      <c r="D1017" t="s">
        <v>822</v>
      </c>
      <c r="E1017">
        <v>28.415519444444438</v>
      </c>
      <c r="F1017">
        <v>2.3808986566479531</v>
      </c>
      <c r="G1017">
        <v>6</v>
      </c>
      <c r="H1017" t="s">
        <v>58</v>
      </c>
      <c r="M1017">
        <v>33.177316757740343</v>
      </c>
      <c r="N1017">
        <v>23.65372213114853</v>
      </c>
      <c r="O1017">
        <v>9.5235946265918088</v>
      </c>
      <c r="P1017">
        <v>11.9347874656918</v>
      </c>
      <c r="R1017" t="str">
        <f t="shared" si="30"/>
        <v>yes</v>
      </c>
      <c r="S1017" t="str">
        <f t="shared" si="31"/>
        <v>no</v>
      </c>
    </row>
    <row r="1018" spans="1:19" x14ac:dyDescent="0.35">
      <c r="A1018" s="1">
        <v>1016</v>
      </c>
      <c r="B1018" t="s">
        <v>827</v>
      </c>
      <c r="C1018" t="s">
        <v>820</v>
      </c>
      <c r="D1018" t="s">
        <v>823</v>
      </c>
      <c r="E1018">
        <v>0</v>
      </c>
      <c r="F1018">
        <v>0</v>
      </c>
      <c r="G1018">
        <v>6</v>
      </c>
      <c r="H1018" t="s">
        <v>58</v>
      </c>
      <c r="M1018">
        <v>0</v>
      </c>
      <c r="N1018">
        <v>0</v>
      </c>
      <c r="O1018">
        <v>0</v>
      </c>
      <c r="R1018" t="str">
        <f t="shared" si="30"/>
        <v>yes</v>
      </c>
      <c r="S1018" t="str">
        <f t="shared" si="31"/>
        <v>no</v>
      </c>
    </row>
    <row r="1019" spans="1:19" x14ac:dyDescent="0.35">
      <c r="A1019" s="1">
        <v>1017</v>
      </c>
      <c r="B1019" t="s">
        <v>827</v>
      </c>
      <c r="C1019" t="s">
        <v>820</v>
      </c>
      <c r="D1019" t="s">
        <v>824</v>
      </c>
      <c r="G1019">
        <v>6</v>
      </c>
      <c r="H1019" t="s">
        <v>58</v>
      </c>
      <c r="R1019" t="str">
        <f t="shared" si="30"/>
        <v>yes</v>
      </c>
      <c r="S1019" t="str">
        <f t="shared" si="31"/>
        <v>no</v>
      </c>
    </row>
    <row r="1020" spans="1:19" x14ac:dyDescent="0.35">
      <c r="A1020" s="1">
        <v>1018</v>
      </c>
      <c r="B1020" t="s">
        <v>827</v>
      </c>
      <c r="C1020" t="s">
        <v>820</v>
      </c>
      <c r="D1020" t="s">
        <v>825</v>
      </c>
      <c r="E1020">
        <v>100096390.6666667</v>
      </c>
      <c r="F1020">
        <v>14.749764593225059</v>
      </c>
      <c r="G1020">
        <v>6</v>
      </c>
      <c r="H1020" t="s">
        <v>58</v>
      </c>
      <c r="M1020">
        <v>100096420.1661959</v>
      </c>
      <c r="N1020">
        <v>100096361.1671375</v>
      </c>
      <c r="O1020">
        <v>58.999058365821838</v>
      </c>
      <c r="P1020">
        <v>6786304.2853337144</v>
      </c>
      <c r="R1020" t="str">
        <f t="shared" si="30"/>
        <v>yes</v>
      </c>
      <c r="S1020" t="str">
        <f t="shared" si="31"/>
        <v>no</v>
      </c>
    </row>
    <row r="1021" spans="1:19" x14ac:dyDescent="0.35">
      <c r="A1021" s="1">
        <v>1019</v>
      </c>
      <c r="B1021" t="s">
        <v>828</v>
      </c>
      <c r="C1021" t="s">
        <v>76</v>
      </c>
      <c r="D1021" t="s">
        <v>77</v>
      </c>
      <c r="G1021">
        <v>6</v>
      </c>
      <c r="H1021" t="s">
        <v>19</v>
      </c>
      <c r="R1021" t="str">
        <f t="shared" si="30"/>
        <v>no</v>
      </c>
      <c r="S1021" t="str">
        <f t="shared" si="31"/>
        <v>no</v>
      </c>
    </row>
    <row r="1022" spans="1:19" x14ac:dyDescent="0.35">
      <c r="A1022" s="1">
        <v>1020</v>
      </c>
      <c r="B1022" t="s">
        <v>828</v>
      </c>
      <c r="C1022" t="s">
        <v>76</v>
      </c>
      <c r="D1022" t="s">
        <v>78</v>
      </c>
      <c r="E1022">
        <v>1</v>
      </c>
      <c r="F1022">
        <v>0</v>
      </c>
      <c r="G1022">
        <v>6</v>
      </c>
      <c r="H1022" t="s">
        <v>19</v>
      </c>
      <c r="M1022">
        <v>1</v>
      </c>
      <c r="N1022">
        <v>1</v>
      </c>
      <c r="O1022">
        <v>0</v>
      </c>
      <c r="P1022" t="s">
        <v>21</v>
      </c>
      <c r="R1022" t="str">
        <f t="shared" si="30"/>
        <v>no</v>
      </c>
      <c r="S1022" t="str">
        <f t="shared" si="31"/>
        <v>no</v>
      </c>
    </row>
    <row r="1023" spans="1:19" x14ac:dyDescent="0.35">
      <c r="A1023" s="1">
        <v>1021</v>
      </c>
      <c r="B1023" t="s">
        <v>828</v>
      </c>
      <c r="C1023" t="s">
        <v>76</v>
      </c>
      <c r="D1023" t="s">
        <v>79</v>
      </c>
      <c r="E1023">
        <v>1</v>
      </c>
      <c r="F1023">
        <v>0</v>
      </c>
      <c r="G1023">
        <v>6</v>
      </c>
      <c r="H1023" t="s">
        <v>19</v>
      </c>
      <c r="M1023">
        <v>1</v>
      </c>
      <c r="N1023">
        <v>1</v>
      </c>
      <c r="O1023">
        <v>0</v>
      </c>
      <c r="P1023" t="s">
        <v>21</v>
      </c>
      <c r="R1023" t="str">
        <f t="shared" si="30"/>
        <v>no</v>
      </c>
      <c r="S1023" t="str">
        <f t="shared" si="31"/>
        <v>no</v>
      </c>
    </row>
    <row r="1024" spans="1:19" x14ac:dyDescent="0.35">
      <c r="A1024" s="1">
        <v>1022</v>
      </c>
      <c r="B1024" t="s">
        <v>828</v>
      </c>
      <c r="C1024" t="s">
        <v>76</v>
      </c>
      <c r="D1024" t="s">
        <v>80</v>
      </c>
      <c r="E1024">
        <v>1</v>
      </c>
      <c r="F1024">
        <v>0</v>
      </c>
      <c r="G1024">
        <v>6</v>
      </c>
      <c r="H1024" t="s">
        <v>19</v>
      </c>
      <c r="M1024">
        <v>1</v>
      </c>
      <c r="N1024">
        <v>1</v>
      </c>
      <c r="O1024">
        <v>0</v>
      </c>
      <c r="P1024" t="s">
        <v>21</v>
      </c>
      <c r="R1024" t="str">
        <f t="shared" si="30"/>
        <v>no</v>
      </c>
      <c r="S1024" t="str">
        <f t="shared" si="31"/>
        <v>no</v>
      </c>
    </row>
    <row r="1025" spans="1:19" x14ac:dyDescent="0.35">
      <c r="A1025" s="1">
        <v>1023</v>
      </c>
      <c r="B1025" t="s">
        <v>828</v>
      </c>
      <c r="C1025" t="s">
        <v>76</v>
      </c>
      <c r="D1025" t="s">
        <v>81</v>
      </c>
      <c r="E1025">
        <v>1</v>
      </c>
      <c r="F1025">
        <v>0</v>
      </c>
      <c r="G1025">
        <v>6</v>
      </c>
      <c r="H1025" t="s">
        <v>19</v>
      </c>
      <c r="M1025">
        <v>1</v>
      </c>
      <c r="N1025">
        <v>1</v>
      </c>
      <c r="O1025">
        <v>0</v>
      </c>
      <c r="P1025" t="s">
        <v>21</v>
      </c>
      <c r="R1025" t="str">
        <f t="shared" si="30"/>
        <v>no</v>
      </c>
      <c r="S1025" t="str">
        <f t="shared" si="31"/>
        <v>no</v>
      </c>
    </row>
    <row r="1026" spans="1:19" x14ac:dyDescent="0.35">
      <c r="A1026" s="1">
        <v>1024</v>
      </c>
      <c r="B1026" t="s">
        <v>828</v>
      </c>
      <c r="C1026" t="s">
        <v>76</v>
      </c>
      <c r="D1026" t="s">
        <v>82</v>
      </c>
      <c r="E1026">
        <v>1</v>
      </c>
      <c r="F1026">
        <v>0</v>
      </c>
      <c r="G1026">
        <v>6</v>
      </c>
      <c r="H1026" t="s">
        <v>19</v>
      </c>
      <c r="M1026">
        <v>1</v>
      </c>
      <c r="N1026">
        <v>1</v>
      </c>
      <c r="O1026">
        <v>0</v>
      </c>
      <c r="P1026" t="s">
        <v>21</v>
      </c>
      <c r="R1026" t="str">
        <f t="shared" si="30"/>
        <v>no</v>
      </c>
      <c r="S1026" t="str">
        <f t="shared" si="31"/>
        <v>no</v>
      </c>
    </row>
    <row r="1027" spans="1:19" x14ac:dyDescent="0.35">
      <c r="A1027" s="1">
        <v>1025</v>
      </c>
      <c r="B1027" t="s">
        <v>828</v>
      </c>
      <c r="C1027" t="s">
        <v>76</v>
      </c>
      <c r="D1027" t="s">
        <v>83</v>
      </c>
      <c r="E1027">
        <v>1</v>
      </c>
      <c r="F1027">
        <v>0</v>
      </c>
      <c r="G1027">
        <v>6</v>
      </c>
      <c r="H1027" t="s">
        <v>19</v>
      </c>
      <c r="M1027">
        <v>1</v>
      </c>
      <c r="N1027">
        <v>1</v>
      </c>
      <c r="O1027">
        <v>0</v>
      </c>
      <c r="P1027" t="s">
        <v>21</v>
      </c>
      <c r="R1027" t="str">
        <f t="shared" ref="R1027:R1090" si="32">IF(H1027="yes","yes","no")</f>
        <v>no</v>
      </c>
      <c r="S1027" t="str">
        <f t="shared" ref="S1027:S1090" si="33">IF(I1027,"yes","no")</f>
        <v>no</v>
      </c>
    </row>
    <row r="1028" spans="1:19" x14ac:dyDescent="0.35">
      <c r="A1028" s="1">
        <v>1026</v>
      </c>
      <c r="B1028" t="s">
        <v>828</v>
      </c>
      <c r="C1028" t="s">
        <v>76</v>
      </c>
      <c r="D1028" t="s">
        <v>84</v>
      </c>
      <c r="E1028">
        <v>1</v>
      </c>
      <c r="F1028">
        <v>0</v>
      </c>
      <c r="G1028">
        <v>6</v>
      </c>
      <c r="H1028" t="s">
        <v>19</v>
      </c>
      <c r="M1028">
        <v>1</v>
      </c>
      <c r="N1028">
        <v>1</v>
      </c>
      <c r="O1028">
        <v>0</v>
      </c>
      <c r="P1028" t="s">
        <v>21</v>
      </c>
      <c r="R1028" t="str">
        <f t="shared" si="32"/>
        <v>no</v>
      </c>
      <c r="S1028" t="str">
        <f t="shared" si="33"/>
        <v>no</v>
      </c>
    </row>
    <row r="1029" spans="1:19" x14ac:dyDescent="0.35">
      <c r="A1029" s="1">
        <v>1027</v>
      </c>
      <c r="B1029" t="s">
        <v>828</v>
      </c>
      <c r="C1029" t="s">
        <v>76</v>
      </c>
      <c r="D1029" t="s">
        <v>85</v>
      </c>
      <c r="E1029">
        <v>48.600484238888882</v>
      </c>
      <c r="F1029">
        <v>2.049871913961038</v>
      </c>
      <c r="G1029">
        <v>6</v>
      </c>
      <c r="H1029" t="s">
        <v>19</v>
      </c>
      <c r="M1029">
        <v>52.700228066810958</v>
      </c>
      <c r="N1029">
        <v>44.500740410966813</v>
      </c>
      <c r="O1029">
        <v>8.1994876558441518</v>
      </c>
      <c r="P1029">
        <v>23.709034651329262</v>
      </c>
      <c r="R1029" t="str">
        <f t="shared" si="32"/>
        <v>no</v>
      </c>
      <c r="S1029" t="str">
        <f t="shared" si="33"/>
        <v>no</v>
      </c>
    </row>
    <row r="1030" spans="1:19" x14ac:dyDescent="0.35">
      <c r="A1030" s="1">
        <v>1028</v>
      </c>
      <c r="B1030" t="s">
        <v>828</v>
      </c>
      <c r="C1030" t="s">
        <v>76</v>
      </c>
      <c r="D1030" t="s">
        <v>86</v>
      </c>
      <c r="G1030">
        <v>6</v>
      </c>
      <c r="H1030" t="s">
        <v>19</v>
      </c>
      <c r="R1030" t="str">
        <f t="shared" si="32"/>
        <v>no</v>
      </c>
      <c r="S1030" t="str">
        <f t="shared" si="33"/>
        <v>no</v>
      </c>
    </row>
    <row r="1031" spans="1:19" x14ac:dyDescent="0.35">
      <c r="A1031" s="1">
        <v>1029</v>
      </c>
      <c r="B1031" t="s">
        <v>828</v>
      </c>
      <c r="C1031" t="s">
        <v>87</v>
      </c>
      <c r="D1031" t="s">
        <v>88</v>
      </c>
      <c r="G1031">
        <v>6</v>
      </c>
      <c r="H1031" t="s">
        <v>19</v>
      </c>
      <c r="R1031" t="str">
        <f t="shared" si="32"/>
        <v>no</v>
      </c>
      <c r="S1031" t="str">
        <f t="shared" si="33"/>
        <v>no</v>
      </c>
    </row>
    <row r="1032" spans="1:19" x14ac:dyDescent="0.35">
      <c r="A1032" s="1">
        <v>1030</v>
      </c>
      <c r="B1032" t="s">
        <v>828</v>
      </c>
      <c r="C1032" t="s">
        <v>87</v>
      </c>
      <c r="D1032" t="s">
        <v>89</v>
      </c>
      <c r="E1032">
        <v>1</v>
      </c>
      <c r="F1032">
        <v>0</v>
      </c>
      <c r="G1032">
        <v>6</v>
      </c>
      <c r="H1032" t="s">
        <v>19</v>
      </c>
      <c r="M1032">
        <v>1</v>
      </c>
      <c r="N1032">
        <v>1</v>
      </c>
      <c r="O1032">
        <v>0</v>
      </c>
      <c r="P1032" t="s">
        <v>21</v>
      </c>
      <c r="R1032" t="str">
        <f t="shared" si="32"/>
        <v>no</v>
      </c>
      <c r="S1032" t="str">
        <f t="shared" si="33"/>
        <v>no</v>
      </c>
    </row>
    <row r="1033" spans="1:19" x14ac:dyDescent="0.35">
      <c r="A1033" s="1">
        <v>1031</v>
      </c>
      <c r="B1033" t="s">
        <v>828</v>
      </c>
      <c r="C1033" t="s">
        <v>87</v>
      </c>
      <c r="D1033" t="s">
        <v>90</v>
      </c>
      <c r="E1033">
        <v>1</v>
      </c>
      <c r="F1033">
        <v>0</v>
      </c>
      <c r="G1033">
        <v>6</v>
      </c>
      <c r="H1033" t="s">
        <v>19</v>
      </c>
      <c r="M1033">
        <v>1</v>
      </c>
      <c r="N1033">
        <v>1</v>
      </c>
      <c r="O1033">
        <v>0</v>
      </c>
      <c r="P1033" t="s">
        <v>21</v>
      </c>
      <c r="R1033" t="str">
        <f t="shared" si="32"/>
        <v>no</v>
      </c>
      <c r="S1033" t="str">
        <f t="shared" si="33"/>
        <v>no</v>
      </c>
    </row>
    <row r="1034" spans="1:19" x14ac:dyDescent="0.35">
      <c r="A1034" s="1">
        <v>1032</v>
      </c>
      <c r="B1034" t="s">
        <v>828</v>
      </c>
      <c r="C1034" t="s">
        <v>87</v>
      </c>
      <c r="D1034" t="s">
        <v>91</v>
      </c>
      <c r="G1034">
        <v>6</v>
      </c>
      <c r="H1034" t="s">
        <v>19</v>
      </c>
      <c r="R1034" t="str">
        <f t="shared" si="32"/>
        <v>no</v>
      </c>
      <c r="S1034" t="str">
        <f t="shared" si="33"/>
        <v>no</v>
      </c>
    </row>
    <row r="1035" spans="1:19" x14ac:dyDescent="0.35">
      <c r="A1035" s="1">
        <v>1033</v>
      </c>
      <c r="B1035" t="s">
        <v>828</v>
      </c>
      <c r="C1035" t="s">
        <v>87</v>
      </c>
      <c r="D1035" t="s">
        <v>92</v>
      </c>
      <c r="E1035">
        <v>34.62083333333333</v>
      </c>
      <c r="F1035">
        <v>1.1145390798446779</v>
      </c>
      <c r="G1035">
        <v>6</v>
      </c>
      <c r="H1035" t="s">
        <v>19</v>
      </c>
      <c r="M1035">
        <v>36.849911493022688</v>
      </c>
      <c r="N1035">
        <v>32.391755173643972</v>
      </c>
      <c r="O1035">
        <v>4.4581563193787161</v>
      </c>
      <c r="P1035">
        <v>31.062915566996619</v>
      </c>
      <c r="R1035" t="str">
        <f t="shared" si="32"/>
        <v>no</v>
      </c>
      <c r="S1035" t="str">
        <f t="shared" si="33"/>
        <v>no</v>
      </c>
    </row>
    <row r="1036" spans="1:19" x14ac:dyDescent="0.35">
      <c r="A1036" s="1">
        <v>1034</v>
      </c>
      <c r="B1036" t="s">
        <v>828</v>
      </c>
      <c r="C1036" t="s">
        <v>87</v>
      </c>
      <c r="D1036" t="s">
        <v>93</v>
      </c>
      <c r="E1036">
        <v>36.245138888888889</v>
      </c>
      <c r="F1036">
        <v>0.86128068591958873</v>
      </c>
      <c r="G1036">
        <v>6</v>
      </c>
      <c r="H1036" t="s">
        <v>19</v>
      </c>
      <c r="M1036">
        <v>37.967700260728073</v>
      </c>
      <c r="N1036">
        <v>34.522577517049712</v>
      </c>
      <c r="O1036">
        <v>3.445122743678354</v>
      </c>
      <c r="P1036">
        <v>42.082841844049923</v>
      </c>
      <c r="R1036" t="str">
        <f t="shared" si="32"/>
        <v>no</v>
      </c>
      <c r="S1036" t="str">
        <f t="shared" si="33"/>
        <v>no</v>
      </c>
    </row>
    <row r="1037" spans="1:19" x14ac:dyDescent="0.35">
      <c r="A1037" s="1">
        <v>1035</v>
      </c>
      <c r="B1037" t="s">
        <v>828</v>
      </c>
      <c r="C1037" t="s">
        <v>94</v>
      </c>
      <c r="D1037" t="s">
        <v>95</v>
      </c>
      <c r="E1037">
        <v>30.542727611111111</v>
      </c>
      <c r="F1037">
        <v>0.98455142970485054</v>
      </c>
      <c r="G1037">
        <v>6</v>
      </c>
      <c r="H1037" t="s">
        <v>19</v>
      </c>
      <c r="M1037">
        <v>32.511830470520813</v>
      </c>
      <c r="N1037">
        <v>28.573624751701409</v>
      </c>
      <c r="O1037">
        <v>3.938205718819404</v>
      </c>
      <c r="P1037">
        <v>31.021972737642791</v>
      </c>
      <c r="R1037" t="str">
        <f t="shared" si="32"/>
        <v>no</v>
      </c>
      <c r="S1037" t="str">
        <f t="shared" si="33"/>
        <v>no</v>
      </c>
    </row>
    <row r="1038" spans="1:19" x14ac:dyDescent="0.35">
      <c r="A1038" s="1">
        <v>1036</v>
      </c>
      <c r="B1038" t="s">
        <v>828</v>
      </c>
      <c r="C1038" t="s">
        <v>94</v>
      </c>
      <c r="D1038" t="s">
        <v>96</v>
      </c>
      <c r="E1038">
        <v>60</v>
      </c>
      <c r="F1038">
        <v>0</v>
      </c>
      <c r="G1038">
        <v>6</v>
      </c>
      <c r="H1038" t="s">
        <v>19</v>
      </c>
      <c r="M1038">
        <v>60</v>
      </c>
      <c r="N1038">
        <v>60</v>
      </c>
      <c r="O1038">
        <v>0</v>
      </c>
      <c r="P1038" t="s">
        <v>21</v>
      </c>
      <c r="R1038" t="str">
        <f t="shared" si="32"/>
        <v>no</v>
      </c>
      <c r="S1038" t="str">
        <f t="shared" si="33"/>
        <v>no</v>
      </c>
    </row>
    <row r="1039" spans="1:19" x14ac:dyDescent="0.35">
      <c r="A1039" s="1">
        <v>1037</v>
      </c>
      <c r="B1039" t="s">
        <v>828</v>
      </c>
      <c r="C1039" t="s">
        <v>94</v>
      </c>
      <c r="D1039" t="s">
        <v>97</v>
      </c>
      <c r="E1039">
        <v>33.22827927777778</v>
      </c>
      <c r="F1039">
        <v>1.008723427526278</v>
      </c>
      <c r="G1039">
        <v>6</v>
      </c>
      <c r="H1039" t="s">
        <v>19</v>
      </c>
      <c r="M1039">
        <v>35.245726132830328</v>
      </c>
      <c r="N1039">
        <v>31.210832422725229</v>
      </c>
      <c r="O1039">
        <v>4.0348937101051092</v>
      </c>
      <c r="P1039">
        <v>32.940921536108718</v>
      </c>
      <c r="R1039" t="str">
        <f t="shared" si="32"/>
        <v>no</v>
      </c>
      <c r="S1039" t="str">
        <f t="shared" si="33"/>
        <v>no</v>
      </c>
    </row>
    <row r="1040" spans="1:19" x14ac:dyDescent="0.35">
      <c r="A1040" s="1">
        <v>1038</v>
      </c>
      <c r="B1040" t="s">
        <v>828</v>
      </c>
      <c r="C1040" t="s">
        <v>94</v>
      </c>
      <c r="D1040" t="s">
        <v>98</v>
      </c>
      <c r="E1040">
        <v>27.85717593888889</v>
      </c>
      <c r="F1040">
        <v>0.96935562217816329</v>
      </c>
      <c r="G1040">
        <v>6</v>
      </c>
      <c r="H1040" t="s">
        <v>19</v>
      </c>
      <c r="M1040">
        <v>29.79588718324522</v>
      </c>
      <c r="N1040">
        <v>25.91846469453256</v>
      </c>
      <c r="O1040">
        <v>3.877422488712654</v>
      </c>
      <c r="P1040">
        <v>28.737828823123969</v>
      </c>
      <c r="R1040" t="str">
        <f t="shared" si="32"/>
        <v>no</v>
      </c>
      <c r="S1040" t="str">
        <f t="shared" si="33"/>
        <v>no</v>
      </c>
    </row>
    <row r="1041" spans="1:19" x14ac:dyDescent="0.35">
      <c r="A1041" s="1">
        <v>1039</v>
      </c>
      <c r="B1041" t="s">
        <v>828</v>
      </c>
      <c r="C1041" t="s">
        <v>99</v>
      </c>
      <c r="D1041" t="s">
        <v>100</v>
      </c>
      <c r="G1041">
        <v>6</v>
      </c>
      <c r="H1041" t="s">
        <v>19</v>
      </c>
      <c r="R1041" t="str">
        <f t="shared" si="32"/>
        <v>no</v>
      </c>
      <c r="S1041" t="str">
        <f t="shared" si="33"/>
        <v>no</v>
      </c>
    </row>
    <row r="1042" spans="1:19" x14ac:dyDescent="0.35">
      <c r="A1042" s="1">
        <v>1040</v>
      </c>
      <c r="B1042" t="s">
        <v>828</v>
      </c>
      <c r="C1042" t="s">
        <v>99</v>
      </c>
      <c r="D1042" t="s">
        <v>101</v>
      </c>
      <c r="E1042">
        <v>1</v>
      </c>
      <c r="F1042">
        <v>0</v>
      </c>
      <c r="G1042">
        <v>6</v>
      </c>
      <c r="H1042" t="s">
        <v>19</v>
      </c>
      <c r="M1042">
        <v>1</v>
      </c>
      <c r="N1042">
        <v>1</v>
      </c>
      <c r="O1042">
        <v>0</v>
      </c>
      <c r="P1042" t="s">
        <v>21</v>
      </c>
      <c r="R1042" t="str">
        <f t="shared" si="32"/>
        <v>no</v>
      </c>
      <c r="S1042" t="str">
        <f t="shared" si="33"/>
        <v>no</v>
      </c>
    </row>
    <row r="1043" spans="1:19" x14ac:dyDescent="0.35">
      <c r="A1043" s="1">
        <v>1041</v>
      </c>
      <c r="B1043" t="s">
        <v>828</v>
      </c>
      <c r="C1043" t="s">
        <v>99</v>
      </c>
      <c r="D1043" t="s">
        <v>102</v>
      </c>
      <c r="E1043">
        <v>1</v>
      </c>
      <c r="F1043">
        <v>0</v>
      </c>
      <c r="G1043">
        <v>6</v>
      </c>
      <c r="H1043" t="s">
        <v>19</v>
      </c>
      <c r="M1043">
        <v>1</v>
      </c>
      <c r="N1043">
        <v>1</v>
      </c>
      <c r="O1043">
        <v>0</v>
      </c>
      <c r="P1043" t="s">
        <v>21</v>
      </c>
      <c r="R1043" t="str">
        <f t="shared" si="32"/>
        <v>no</v>
      </c>
      <c r="S1043" t="str">
        <f t="shared" si="33"/>
        <v>no</v>
      </c>
    </row>
    <row r="1044" spans="1:19" x14ac:dyDescent="0.35">
      <c r="A1044" s="1">
        <v>1042</v>
      </c>
      <c r="B1044" t="s">
        <v>828</v>
      </c>
      <c r="C1044" t="s">
        <v>99</v>
      </c>
      <c r="D1044" t="s">
        <v>103</v>
      </c>
      <c r="E1044">
        <v>1</v>
      </c>
      <c r="F1044">
        <v>0</v>
      </c>
      <c r="G1044">
        <v>6</v>
      </c>
      <c r="H1044" t="s">
        <v>19</v>
      </c>
      <c r="M1044">
        <v>1</v>
      </c>
      <c r="N1044">
        <v>1</v>
      </c>
      <c r="O1044">
        <v>0</v>
      </c>
      <c r="P1044" t="s">
        <v>21</v>
      </c>
      <c r="R1044" t="str">
        <f t="shared" si="32"/>
        <v>no</v>
      </c>
      <c r="S1044" t="str">
        <f t="shared" si="33"/>
        <v>no</v>
      </c>
    </row>
    <row r="1045" spans="1:19" x14ac:dyDescent="0.35">
      <c r="A1045" s="1">
        <v>1043</v>
      </c>
      <c r="B1045" t="s">
        <v>828</v>
      </c>
      <c r="C1045" t="s">
        <v>99</v>
      </c>
      <c r="D1045" t="s">
        <v>104</v>
      </c>
      <c r="E1045">
        <v>1</v>
      </c>
      <c r="F1045">
        <v>0</v>
      </c>
      <c r="G1045">
        <v>6</v>
      </c>
      <c r="H1045" t="s">
        <v>19</v>
      </c>
      <c r="M1045">
        <v>1</v>
      </c>
      <c r="N1045">
        <v>1</v>
      </c>
      <c r="O1045">
        <v>0</v>
      </c>
      <c r="P1045" t="s">
        <v>21</v>
      </c>
      <c r="R1045" t="str">
        <f t="shared" si="32"/>
        <v>no</v>
      </c>
      <c r="S1045" t="str">
        <f t="shared" si="33"/>
        <v>no</v>
      </c>
    </row>
    <row r="1046" spans="1:19" x14ac:dyDescent="0.35">
      <c r="A1046" s="1">
        <v>1044</v>
      </c>
      <c r="B1046" t="s">
        <v>828</v>
      </c>
      <c r="C1046" t="s">
        <v>99</v>
      </c>
      <c r="D1046" t="s">
        <v>105</v>
      </c>
      <c r="E1046">
        <v>40.4</v>
      </c>
      <c r="F1046">
        <v>5.9370004653274142</v>
      </c>
      <c r="G1046">
        <v>6</v>
      </c>
      <c r="H1046" t="s">
        <v>19</v>
      </c>
      <c r="M1046">
        <v>52.274000930654829</v>
      </c>
      <c r="N1046">
        <v>28.525999069345168</v>
      </c>
      <c r="O1046">
        <v>23.74800186130966</v>
      </c>
      <c r="P1046">
        <v>6.8047830273787957</v>
      </c>
      <c r="R1046" t="str">
        <f t="shared" si="32"/>
        <v>no</v>
      </c>
      <c r="S1046" t="str">
        <f t="shared" si="33"/>
        <v>no</v>
      </c>
    </row>
    <row r="1047" spans="1:19" x14ac:dyDescent="0.35">
      <c r="A1047" s="1">
        <v>1045</v>
      </c>
      <c r="B1047" t="s">
        <v>828</v>
      </c>
      <c r="C1047" t="s">
        <v>99</v>
      </c>
      <c r="D1047" t="s">
        <v>106</v>
      </c>
      <c r="E1047">
        <v>39.56666666666667</v>
      </c>
      <c r="F1047">
        <v>5.5493127286553579</v>
      </c>
      <c r="G1047">
        <v>6</v>
      </c>
      <c r="H1047" t="s">
        <v>19</v>
      </c>
      <c r="M1047">
        <v>50.665292123977387</v>
      </c>
      <c r="N1047">
        <v>28.468041209355949</v>
      </c>
      <c r="O1047">
        <v>22.197250914621431</v>
      </c>
      <c r="P1047">
        <v>7.1300120575929382</v>
      </c>
      <c r="R1047" t="str">
        <f t="shared" si="32"/>
        <v>no</v>
      </c>
      <c r="S1047" t="str">
        <f t="shared" si="33"/>
        <v>no</v>
      </c>
    </row>
    <row r="1048" spans="1:19" x14ac:dyDescent="0.35">
      <c r="A1048" s="1">
        <v>1046</v>
      </c>
      <c r="B1048" t="s">
        <v>828</v>
      </c>
      <c r="C1048" t="s">
        <v>99</v>
      </c>
      <c r="D1048" t="s">
        <v>107</v>
      </c>
      <c r="G1048">
        <v>6</v>
      </c>
      <c r="H1048" t="s">
        <v>19</v>
      </c>
      <c r="R1048" t="str">
        <f t="shared" si="32"/>
        <v>no</v>
      </c>
      <c r="S1048" t="str">
        <f t="shared" si="33"/>
        <v>no</v>
      </c>
    </row>
    <row r="1049" spans="1:19" x14ac:dyDescent="0.35">
      <c r="A1049" s="1">
        <v>1047</v>
      </c>
      <c r="B1049" t="s">
        <v>828</v>
      </c>
      <c r="C1049" t="s">
        <v>99</v>
      </c>
      <c r="D1049" t="s">
        <v>108</v>
      </c>
      <c r="E1049">
        <v>1</v>
      </c>
      <c r="F1049">
        <v>0</v>
      </c>
      <c r="G1049">
        <v>6</v>
      </c>
      <c r="H1049" t="s">
        <v>19</v>
      </c>
      <c r="M1049">
        <v>1</v>
      </c>
      <c r="N1049">
        <v>1</v>
      </c>
      <c r="O1049">
        <v>0</v>
      </c>
      <c r="P1049" t="s">
        <v>21</v>
      </c>
      <c r="R1049" t="str">
        <f t="shared" si="32"/>
        <v>no</v>
      </c>
      <c r="S1049" t="str">
        <f t="shared" si="33"/>
        <v>no</v>
      </c>
    </row>
    <row r="1050" spans="1:19" x14ac:dyDescent="0.35">
      <c r="A1050" s="1">
        <v>1048</v>
      </c>
      <c r="B1050" t="s">
        <v>828</v>
      </c>
      <c r="C1050" t="s">
        <v>99</v>
      </c>
      <c r="D1050" t="s">
        <v>109</v>
      </c>
      <c r="E1050">
        <v>1</v>
      </c>
      <c r="F1050">
        <v>0</v>
      </c>
      <c r="G1050">
        <v>6</v>
      </c>
      <c r="H1050" t="s">
        <v>19</v>
      </c>
      <c r="M1050">
        <v>1</v>
      </c>
      <c r="N1050">
        <v>1</v>
      </c>
      <c r="O1050">
        <v>0</v>
      </c>
      <c r="P1050" t="s">
        <v>21</v>
      </c>
      <c r="R1050" t="str">
        <f t="shared" si="32"/>
        <v>no</v>
      </c>
      <c r="S1050" t="str">
        <f t="shared" si="33"/>
        <v>no</v>
      </c>
    </row>
    <row r="1051" spans="1:19" x14ac:dyDescent="0.35">
      <c r="A1051" s="1">
        <v>1049</v>
      </c>
      <c r="B1051" t="s">
        <v>828</v>
      </c>
      <c r="C1051" t="s">
        <v>99</v>
      </c>
      <c r="D1051" t="s">
        <v>110</v>
      </c>
      <c r="E1051">
        <v>1</v>
      </c>
      <c r="F1051">
        <v>0</v>
      </c>
      <c r="G1051">
        <v>6</v>
      </c>
      <c r="H1051" t="s">
        <v>19</v>
      </c>
      <c r="M1051">
        <v>1</v>
      </c>
      <c r="N1051">
        <v>1</v>
      </c>
      <c r="O1051">
        <v>0</v>
      </c>
      <c r="P1051" t="s">
        <v>21</v>
      </c>
      <c r="R1051" t="str">
        <f t="shared" si="32"/>
        <v>no</v>
      </c>
      <c r="S1051" t="str">
        <f t="shared" si="33"/>
        <v>no</v>
      </c>
    </row>
    <row r="1052" spans="1:19" x14ac:dyDescent="0.35">
      <c r="A1052" s="1">
        <v>1050</v>
      </c>
      <c r="B1052" t="s">
        <v>828</v>
      </c>
      <c r="C1052" t="s">
        <v>99</v>
      </c>
      <c r="D1052" t="s">
        <v>111</v>
      </c>
      <c r="E1052">
        <v>1</v>
      </c>
      <c r="F1052">
        <v>0</v>
      </c>
      <c r="G1052">
        <v>6</v>
      </c>
      <c r="H1052" t="s">
        <v>19</v>
      </c>
      <c r="M1052">
        <v>1</v>
      </c>
      <c r="N1052">
        <v>1</v>
      </c>
      <c r="O1052">
        <v>0</v>
      </c>
      <c r="P1052" t="s">
        <v>21</v>
      </c>
      <c r="R1052" t="str">
        <f t="shared" si="32"/>
        <v>no</v>
      </c>
      <c r="S1052" t="str">
        <f t="shared" si="33"/>
        <v>no</v>
      </c>
    </row>
    <row r="1053" spans="1:19" x14ac:dyDescent="0.35">
      <c r="A1053" s="1">
        <v>1051</v>
      </c>
      <c r="B1053" t="s">
        <v>828</v>
      </c>
      <c r="C1053" t="s">
        <v>99</v>
      </c>
      <c r="D1053" t="s">
        <v>112</v>
      </c>
      <c r="E1053">
        <v>39.677777777777777</v>
      </c>
      <c r="F1053">
        <v>6.2194764183722793</v>
      </c>
      <c r="G1053">
        <v>6</v>
      </c>
      <c r="H1053" t="s">
        <v>19</v>
      </c>
      <c r="M1053">
        <v>52.116730614522339</v>
      </c>
      <c r="N1053">
        <v>27.238824941033219</v>
      </c>
      <c r="O1053">
        <v>24.877905673489121</v>
      </c>
      <c r="P1053">
        <v>6.3796009677872512</v>
      </c>
      <c r="R1053" t="str">
        <f t="shared" si="32"/>
        <v>no</v>
      </c>
      <c r="S1053" t="str">
        <f t="shared" si="33"/>
        <v>no</v>
      </c>
    </row>
    <row r="1054" spans="1:19" x14ac:dyDescent="0.35">
      <c r="A1054" s="1">
        <v>1052</v>
      </c>
      <c r="B1054" t="s">
        <v>828</v>
      </c>
      <c r="C1054" t="s">
        <v>99</v>
      </c>
      <c r="D1054" t="s">
        <v>113</v>
      </c>
      <c r="E1054">
        <v>40.666666666666657</v>
      </c>
      <c r="F1054">
        <v>3.8346874172037011</v>
      </c>
      <c r="G1054">
        <v>6</v>
      </c>
      <c r="H1054" t="s">
        <v>19</v>
      </c>
      <c r="M1054">
        <v>48.336041501074057</v>
      </c>
      <c r="N1054">
        <v>32.997291832259258</v>
      </c>
      <c r="O1054">
        <v>15.338749668814801</v>
      </c>
      <c r="P1054">
        <v>10.60494956752466</v>
      </c>
      <c r="R1054" t="str">
        <f t="shared" si="32"/>
        <v>no</v>
      </c>
      <c r="S1054" t="str">
        <f t="shared" si="33"/>
        <v>no</v>
      </c>
    </row>
    <row r="1055" spans="1:19" x14ac:dyDescent="0.35">
      <c r="A1055" s="1">
        <v>1053</v>
      </c>
      <c r="B1055" t="s">
        <v>828</v>
      </c>
      <c r="C1055" t="s">
        <v>99</v>
      </c>
      <c r="D1055" t="s">
        <v>114</v>
      </c>
      <c r="G1055">
        <v>6</v>
      </c>
      <c r="H1055" t="s">
        <v>19</v>
      </c>
      <c r="R1055" t="str">
        <f t="shared" si="32"/>
        <v>no</v>
      </c>
      <c r="S1055" t="str">
        <f t="shared" si="33"/>
        <v>no</v>
      </c>
    </row>
    <row r="1056" spans="1:19" x14ac:dyDescent="0.35">
      <c r="A1056" s="1">
        <v>1054</v>
      </c>
      <c r="B1056" t="s">
        <v>828</v>
      </c>
      <c r="C1056" t="s">
        <v>99</v>
      </c>
      <c r="D1056" t="s">
        <v>115</v>
      </c>
      <c r="E1056">
        <v>1</v>
      </c>
      <c r="F1056">
        <v>0</v>
      </c>
      <c r="G1056">
        <v>6</v>
      </c>
      <c r="H1056" t="s">
        <v>19</v>
      </c>
      <c r="M1056">
        <v>1</v>
      </c>
      <c r="N1056">
        <v>1</v>
      </c>
      <c r="O1056">
        <v>0</v>
      </c>
      <c r="P1056" t="s">
        <v>21</v>
      </c>
      <c r="R1056" t="str">
        <f t="shared" si="32"/>
        <v>no</v>
      </c>
      <c r="S1056" t="str">
        <f t="shared" si="33"/>
        <v>no</v>
      </c>
    </row>
    <row r="1057" spans="1:19" x14ac:dyDescent="0.35">
      <c r="A1057" s="1">
        <v>1055</v>
      </c>
      <c r="B1057" t="s">
        <v>828</v>
      </c>
      <c r="C1057" t="s">
        <v>99</v>
      </c>
      <c r="D1057" t="s">
        <v>116</v>
      </c>
      <c r="E1057">
        <v>1</v>
      </c>
      <c r="F1057">
        <v>0</v>
      </c>
      <c r="G1057">
        <v>6</v>
      </c>
      <c r="H1057" t="s">
        <v>19</v>
      </c>
      <c r="M1057">
        <v>1</v>
      </c>
      <c r="N1057">
        <v>1</v>
      </c>
      <c r="O1057">
        <v>0</v>
      </c>
      <c r="P1057" t="s">
        <v>21</v>
      </c>
      <c r="R1057" t="str">
        <f t="shared" si="32"/>
        <v>no</v>
      </c>
      <c r="S1057" t="str">
        <f t="shared" si="33"/>
        <v>no</v>
      </c>
    </row>
    <row r="1058" spans="1:19" x14ac:dyDescent="0.35">
      <c r="A1058" s="1">
        <v>1056</v>
      </c>
      <c r="B1058" t="s">
        <v>828</v>
      </c>
      <c r="C1058" t="s">
        <v>99</v>
      </c>
      <c r="D1058" t="s">
        <v>117</v>
      </c>
      <c r="E1058">
        <v>1</v>
      </c>
      <c r="F1058">
        <v>0</v>
      </c>
      <c r="G1058">
        <v>6</v>
      </c>
      <c r="H1058" t="s">
        <v>19</v>
      </c>
      <c r="M1058">
        <v>1</v>
      </c>
      <c r="N1058">
        <v>1</v>
      </c>
      <c r="O1058">
        <v>0</v>
      </c>
      <c r="P1058" t="s">
        <v>21</v>
      </c>
      <c r="R1058" t="str">
        <f t="shared" si="32"/>
        <v>no</v>
      </c>
      <c r="S1058" t="str">
        <f t="shared" si="33"/>
        <v>no</v>
      </c>
    </row>
    <row r="1059" spans="1:19" x14ac:dyDescent="0.35">
      <c r="A1059" s="1">
        <v>1057</v>
      </c>
      <c r="B1059" t="s">
        <v>828</v>
      </c>
      <c r="C1059" t="s">
        <v>99</v>
      </c>
      <c r="D1059" t="s">
        <v>118</v>
      </c>
      <c r="E1059">
        <v>1</v>
      </c>
      <c r="F1059">
        <v>0</v>
      </c>
      <c r="G1059">
        <v>6</v>
      </c>
      <c r="H1059" t="s">
        <v>19</v>
      </c>
      <c r="M1059">
        <v>1</v>
      </c>
      <c r="N1059">
        <v>1</v>
      </c>
      <c r="O1059">
        <v>0</v>
      </c>
      <c r="P1059" t="s">
        <v>21</v>
      </c>
      <c r="R1059" t="str">
        <f t="shared" si="32"/>
        <v>no</v>
      </c>
      <c r="S1059" t="str">
        <f t="shared" si="33"/>
        <v>no</v>
      </c>
    </row>
    <row r="1060" spans="1:19" x14ac:dyDescent="0.35">
      <c r="A1060" s="1">
        <v>1058</v>
      </c>
      <c r="B1060" t="s">
        <v>828</v>
      </c>
      <c r="C1060" t="s">
        <v>99</v>
      </c>
      <c r="D1060" t="s">
        <v>119</v>
      </c>
      <c r="E1060">
        <v>47.577777777777783</v>
      </c>
      <c r="F1060">
        <v>4.0431462923907411</v>
      </c>
      <c r="G1060">
        <v>6</v>
      </c>
      <c r="H1060" t="s">
        <v>19</v>
      </c>
      <c r="M1060">
        <v>55.664070362559258</v>
      </c>
      <c r="N1060">
        <v>39.491485192996301</v>
      </c>
      <c r="O1060">
        <v>16.172585169562961</v>
      </c>
      <c r="P1060">
        <v>11.76751330203407</v>
      </c>
      <c r="R1060" t="str">
        <f t="shared" si="32"/>
        <v>no</v>
      </c>
      <c r="S1060" t="str">
        <f t="shared" si="33"/>
        <v>no</v>
      </c>
    </row>
    <row r="1061" spans="1:19" x14ac:dyDescent="0.35">
      <c r="A1061" s="1">
        <v>1059</v>
      </c>
      <c r="B1061" t="s">
        <v>828</v>
      </c>
      <c r="C1061" t="s">
        <v>99</v>
      </c>
      <c r="D1061" t="s">
        <v>120</v>
      </c>
      <c r="E1061">
        <v>43.533333333333331</v>
      </c>
      <c r="F1061">
        <v>4.6759668444820583</v>
      </c>
      <c r="G1061">
        <v>6</v>
      </c>
      <c r="H1061" t="s">
        <v>19</v>
      </c>
      <c r="M1061">
        <v>52.885267022297448</v>
      </c>
      <c r="N1061">
        <v>34.181399644369208</v>
      </c>
      <c r="O1061">
        <v>18.70386737792823</v>
      </c>
      <c r="P1061">
        <v>9.3100175388765773</v>
      </c>
      <c r="R1061" t="str">
        <f t="shared" si="32"/>
        <v>no</v>
      </c>
      <c r="S1061" t="str">
        <f t="shared" si="33"/>
        <v>no</v>
      </c>
    </row>
    <row r="1062" spans="1:19" x14ac:dyDescent="0.35">
      <c r="A1062" s="1">
        <v>1060</v>
      </c>
      <c r="B1062" t="s">
        <v>828</v>
      </c>
      <c r="C1062" t="s">
        <v>99</v>
      </c>
      <c r="D1062" t="s">
        <v>121</v>
      </c>
      <c r="G1062">
        <v>6</v>
      </c>
      <c r="H1062" t="s">
        <v>19</v>
      </c>
      <c r="R1062" t="str">
        <f t="shared" si="32"/>
        <v>no</v>
      </c>
      <c r="S1062" t="str">
        <f t="shared" si="33"/>
        <v>no</v>
      </c>
    </row>
    <row r="1063" spans="1:19" x14ac:dyDescent="0.35">
      <c r="A1063" s="1">
        <v>1061</v>
      </c>
      <c r="B1063" t="s">
        <v>828</v>
      </c>
      <c r="C1063" t="s">
        <v>99</v>
      </c>
      <c r="D1063" t="s">
        <v>122</v>
      </c>
      <c r="E1063">
        <v>1</v>
      </c>
      <c r="F1063">
        <v>0</v>
      </c>
      <c r="G1063">
        <v>6</v>
      </c>
      <c r="H1063" t="s">
        <v>19</v>
      </c>
      <c r="M1063">
        <v>1</v>
      </c>
      <c r="N1063">
        <v>1</v>
      </c>
      <c r="O1063">
        <v>0</v>
      </c>
      <c r="P1063" t="s">
        <v>21</v>
      </c>
      <c r="R1063" t="str">
        <f t="shared" si="32"/>
        <v>no</v>
      </c>
      <c r="S1063" t="str">
        <f t="shared" si="33"/>
        <v>no</v>
      </c>
    </row>
    <row r="1064" spans="1:19" x14ac:dyDescent="0.35">
      <c r="A1064" s="1">
        <v>1062</v>
      </c>
      <c r="B1064" t="s">
        <v>828</v>
      </c>
      <c r="C1064" t="s">
        <v>99</v>
      </c>
      <c r="D1064" t="s">
        <v>123</v>
      </c>
      <c r="E1064">
        <v>1</v>
      </c>
      <c r="F1064">
        <v>0</v>
      </c>
      <c r="G1064">
        <v>6</v>
      </c>
      <c r="H1064" t="s">
        <v>19</v>
      </c>
      <c r="M1064">
        <v>1</v>
      </c>
      <c r="N1064">
        <v>1</v>
      </c>
      <c r="O1064">
        <v>0</v>
      </c>
      <c r="P1064" t="s">
        <v>21</v>
      </c>
      <c r="R1064" t="str">
        <f t="shared" si="32"/>
        <v>no</v>
      </c>
      <c r="S1064" t="str">
        <f t="shared" si="33"/>
        <v>no</v>
      </c>
    </row>
    <row r="1065" spans="1:19" x14ac:dyDescent="0.35">
      <c r="A1065" s="1">
        <v>1063</v>
      </c>
      <c r="B1065" t="s">
        <v>828</v>
      </c>
      <c r="C1065" t="s">
        <v>99</v>
      </c>
      <c r="D1065" t="s">
        <v>124</v>
      </c>
      <c r="E1065">
        <v>1</v>
      </c>
      <c r="F1065">
        <v>0</v>
      </c>
      <c r="G1065">
        <v>6</v>
      </c>
      <c r="H1065" t="s">
        <v>19</v>
      </c>
      <c r="M1065">
        <v>1</v>
      </c>
      <c r="N1065">
        <v>1</v>
      </c>
      <c r="O1065">
        <v>0</v>
      </c>
      <c r="P1065" t="s">
        <v>21</v>
      </c>
      <c r="R1065" t="str">
        <f t="shared" si="32"/>
        <v>no</v>
      </c>
      <c r="S1065" t="str">
        <f t="shared" si="33"/>
        <v>no</v>
      </c>
    </row>
    <row r="1066" spans="1:19" x14ac:dyDescent="0.35">
      <c r="A1066" s="1">
        <v>1064</v>
      </c>
      <c r="B1066" t="s">
        <v>828</v>
      </c>
      <c r="C1066" t="s">
        <v>99</v>
      </c>
      <c r="D1066" t="s">
        <v>125</v>
      </c>
      <c r="E1066">
        <v>1</v>
      </c>
      <c r="F1066">
        <v>0</v>
      </c>
      <c r="G1066">
        <v>6</v>
      </c>
      <c r="H1066" t="s">
        <v>19</v>
      </c>
      <c r="M1066">
        <v>1</v>
      </c>
      <c r="N1066">
        <v>1</v>
      </c>
      <c r="O1066">
        <v>0</v>
      </c>
      <c r="P1066" t="s">
        <v>21</v>
      </c>
      <c r="R1066" t="str">
        <f t="shared" si="32"/>
        <v>no</v>
      </c>
      <c r="S1066" t="str">
        <f t="shared" si="33"/>
        <v>no</v>
      </c>
    </row>
    <row r="1067" spans="1:19" x14ac:dyDescent="0.35">
      <c r="A1067" s="1">
        <v>1065</v>
      </c>
      <c r="B1067" t="s">
        <v>828</v>
      </c>
      <c r="C1067" t="s">
        <v>99</v>
      </c>
      <c r="D1067" t="s">
        <v>126</v>
      </c>
      <c r="E1067">
        <v>44.261111111111113</v>
      </c>
      <c r="F1067">
        <v>2.65105579523278</v>
      </c>
      <c r="G1067">
        <v>6</v>
      </c>
      <c r="H1067" t="s">
        <v>19</v>
      </c>
      <c r="M1067">
        <v>49.56322270157667</v>
      </c>
      <c r="N1067">
        <v>38.958999520645563</v>
      </c>
      <c r="O1067">
        <v>10.604223180931109</v>
      </c>
      <c r="P1067">
        <v>16.695654309012649</v>
      </c>
      <c r="R1067" t="str">
        <f t="shared" si="32"/>
        <v>no</v>
      </c>
      <c r="S1067" t="str">
        <f t="shared" si="33"/>
        <v>no</v>
      </c>
    </row>
    <row r="1068" spans="1:19" x14ac:dyDescent="0.35">
      <c r="A1068" s="1">
        <v>1066</v>
      </c>
      <c r="B1068" t="s">
        <v>828</v>
      </c>
      <c r="C1068" t="s">
        <v>99</v>
      </c>
      <c r="D1068" t="s">
        <v>127</v>
      </c>
      <c r="E1068">
        <v>38.572222222222223</v>
      </c>
      <c r="F1068">
        <v>4.2630098426588701</v>
      </c>
      <c r="G1068">
        <v>6</v>
      </c>
      <c r="H1068" t="s">
        <v>19</v>
      </c>
      <c r="M1068">
        <v>47.098241907539958</v>
      </c>
      <c r="N1068">
        <v>30.046202536904481</v>
      </c>
      <c r="O1068">
        <v>17.05203937063548</v>
      </c>
      <c r="P1068">
        <v>9.0481194381114651</v>
      </c>
      <c r="R1068" t="str">
        <f t="shared" si="32"/>
        <v>no</v>
      </c>
      <c r="S1068" t="str">
        <f t="shared" si="33"/>
        <v>no</v>
      </c>
    </row>
    <row r="1069" spans="1:19" x14ac:dyDescent="0.35">
      <c r="A1069" s="1">
        <v>1067</v>
      </c>
      <c r="B1069" t="s">
        <v>828</v>
      </c>
      <c r="C1069" t="s">
        <v>99</v>
      </c>
      <c r="D1069" t="s">
        <v>128</v>
      </c>
      <c r="G1069">
        <v>6</v>
      </c>
      <c r="H1069" t="s">
        <v>19</v>
      </c>
      <c r="R1069" t="str">
        <f t="shared" si="32"/>
        <v>no</v>
      </c>
      <c r="S1069" t="str">
        <f t="shared" si="33"/>
        <v>no</v>
      </c>
    </row>
    <row r="1070" spans="1:19" x14ac:dyDescent="0.35">
      <c r="A1070" s="1">
        <v>1068</v>
      </c>
      <c r="B1070" t="s">
        <v>828</v>
      </c>
      <c r="C1070" t="s">
        <v>99</v>
      </c>
      <c r="D1070" t="s">
        <v>129</v>
      </c>
      <c r="E1070">
        <v>1</v>
      </c>
      <c r="F1070">
        <v>0</v>
      </c>
      <c r="G1070">
        <v>6</v>
      </c>
      <c r="H1070" t="s">
        <v>19</v>
      </c>
      <c r="M1070">
        <v>1</v>
      </c>
      <c r="N1070">
        <v>1</v>
      </c>
      <c r="O1070">
        <v>0</v>
      </c>
      <c r="P1070" t="s">
        <v>21</v>
      </c>
      <c r="R1070" t="str">
        <f t="shared" si="32"/>
        <v>no</v>
      </c>
      <c r="S1070" t="str">
        <f t="shared" si="33"/>
        <v>no</v>
      </c>
    </row>
    <row r="1071" spans="1:19" x14ac:dyDescent="0.35">
      <c r="A1071" s="1">
        <v>1069</v>
      </c>
      <c r="B1071" t="s">
        <v>828</v>
      </c>
      <c r="C1071" t="s">
        <v>99</v>
      </c>
      <c r="D1071" t="s">
        <v>130</v>
      </c>
      <c r="E1071">
        <v>1</v>
      </c>
      <c r="F1071">
        <v>0</v>
      </c>
      <c r="G1071">
        <v>6</v>
      </c>
      <c r="H1071" t="s">
        <v>19</v>
      </c>
      <c r="M1071">
        <v>1</v>
      </c>
      <c r="N1071">
        <v>1</v>
      </c>
      <c r="O1071">
        <v>0</v>
      </c>
      <c r="P1071" t="s">
        <v>21</v>
      </c>
      <c r="R1071" t="str">
        <f t="shared" si="32"/>
        <v>no</v>
      </c>
      <c r="S1071" t="str">
        <f t="shared" si="33"/>
        <v>no</v>
      </c>
    </row>
    <row r="1072" spans="1:19" x14ac:dyDescent="0.35">
      <c r="A1072" s="1">
        <v>1070</v>
      </c>
      <c r="B1072" t="s">
        <v>828</v>
      </c>
      <c r="C1072" t="s">
        <v>99</v>
      </c>
      <c r="D1072" t="s">
        <v>131</v>
      </c>
      <c r="E1072">
        <v>1</v>
      </c>
      <c r="F1072">
        <v>0</v>
      </c>
      <c r="G1072">
        <v>6</v>
      </c>
      <c r="H1072" t="s">
        <v>19</v>
      </c>
      <c r="M1072">
        <v>1</v>
      </c>
      <c r="N1072">
        <v>1</v>
      </c>
      <c r="O1072">
        <v>0</v>
      </c>
      <c r="P1072" t="s">
        <v>21</v>
      </c>
      <c r="R1072" t="str">
        <f t="shared" si="32"/>
        <v>no</v>
      </c>
      <c r="S1072" t="str">
        <f t="shared" si="33"/>
        <v>no</v>
      </c>
    </row>
    <row r="1073" spans="1:19" x14ac:dyDescent="0.35">
      <c r="A1073" s="1">
        <v>1071</v>
      </c>
      <c r="B1073" t="s">
        <v>828</v>
      </c>
      <c r="C1073" t="s">
        <v>99</v>
      </c>
      <c r="D1073" t="s">
        <v>132</v>
      </c>
      <c r="E1073">
        <v>1</v>
      </c>
      <c r="F1073">
        <v>0</v>
      </c>
      <c r="G1073">
        <v>6</v>
      </c>
      <c r="H1073" t="s">
        <v>19</v>
      </c>
      <c r="M1073">
        <v>1</v>
      </c>
      <c r="N1073">
        <v>1</v>
      </c>
      <c r="O1073">
        <v>0</v>
      </c>
      <c r="P1073" t="s">
        <v>21</v>
      </c>
      <c r="R1073" t="str">
        <f t="shared" si="32"/>
        <v>no</v>
      </c>
      <c r="S1073" t="str">
        <f t="shared" si="33"/>
        <v>no</v>
      </c>
    </row>
    <row r="1074" spans="1:19" x14ac:dyDescent="0.35">
      <c r="A1074" s="1">
        <v>1072</v>
      </c>
      <c r="B1074" t="s">
        <v>828</v>
      </c>
      <c r="C1074" t="s">
        <v>99</v>
      </c>
      <c r="D1074" t="s">
        <v>133</v>
      </c>
      <c r="E1074">
        <v>42.022222222222233</v>
      </c>
      <c r="F1074">
        <v>4.5407365786477918</v>
      </c>
      <c r="G1074">
        <v>6</v>
      </c>
      <c r="H1074" t="s">
        <v>19</v>
      </c>
      <c r="M1074">
        <v>51.103695379517823</v>
      </c>
      <c r="N1074">
        <v>32.940749064926649</v>
      </c>
      <c r="O1074">
        <v>18.162946314591171</v>
      </c>
      <c r="P1074">
        <v>9.2544946165399971</v>
      </c>
      <c r="R1074" t="str">
        <f t="shared" si="32"/>
        <v>no</v>
      </c>
      <c r="S1074" t="str">
        <f t="shared" si="33"/>
        <v>no</v>
      </c>
    </row>
    <row r="1075" spans="1:19" x14ac:dyDescent="0.35">
      <c r="A1075" s="1">
        <v>1073</v>
      </c>
      <c r="B1075" t="s">
        <v>828</v>
      </c>
      <c r="C1075" t="s">
        <v>99</v>
      </c>
      <c r="D1075" t="s">
        <v>134</v>
      </c>
      <c r="E1075">
        <v>41.155555555555551</v>
      </c>
      <c r="F1075">
        <v>5.2794902513295678</v>
      </c>
      <c r="G1075">
        <v>6</v>
      </c>
      <c r="H1075" t="s">
        <v>19</v>
      </c>
      <c r="M1075">
        <v>51.714536058214691</v>
      </c>
      <c r="N1075">
        <v>30.596575052896419</v>
      </c>
      <c r="O1075">
        <v>21.117961005318271</v>
      </c>
      <c r="P1075">
        <v>7.7953653849803182</v>
      </c>
      <c r="R1075" t="str">
        <f t="shared" si="32"/>
        <v>no</v>
      </c>
      <c r="S1075" t="str">
        <f t="shared" si="33"/>
        <v>no</v>
      </c>
    </row>
    <row r="1076" spans="1:19" x14ac:dyDescent="0.35">
      <c r="A1076" s="1">
        <v>1074</v>
      </c>
      <c r="B1076" t="s">
        <v>828</v>
      </c>
      <c r="C1076" t="s">
        <v>99</v>
      </c>
      <c r="D1076" t="s">
        <v>135</v>
      </c>
      <c r="G1076">
        <v>6</v>
      </c>
      <c r="H1076" t="s">
        <v>19</v>
      </c>
      <c r="R1076" t="str">
        <f t="shared" si="32"/>
        <v>no</v>
      </c>
      <c r="S1076" t="str">
        <f t="shared" si="33"/>
        <v>no</v>
      </c>
    </row>
    <row r="1077" spans="1:19" x14ac:dyDescent="0.35">
      <c r="A1077" s="1">
        <v>1075</v>
      </c>
      <c r="B1077" t="s">
        <v>828</v>
      </c>
      <c r="C1077" t="s">
        <v>99</v>
      </c>
      <c r="D1077" t="s">
        <v>136</v>
      </c>
      <c r="E1077">
        <v>1</v>
      </c>
      <c r="F1077">
        <v>0</v>
      </c>
      <c r="G1077">
        <v>6</v>
      </c>
      <c r="H1077" t="s">
        <v>19</v>
      </c>
      <c r="M1077">
        <v>1</v>
      </c>
      <c r="N1077">
        <v>1</v>
      </c>
      <c r="O1077">
        <v>0</v>
      </c>
      <c r="P1077" t="s">
        <v>21</v>
      </c>
      <c r="R1077" t="str">
        <f t="shared" si="32"/>
        <v>no</v>
      </c>
      <c r="S1077" t="str">
        <f t="shared" si="33"/>
        <v>no</v>
      </c>
    </row>
    <row r="1078" spans="1:19" x14ac:dyDescent="0.35">
      <c r="A1078" s="1">
        <v>1076</v>
      </c>
      <c r="B1078" t="s">
        <v>828</v>
      </c>
      <c r="C1078" t="s">
        <v>99</v>
      </c>
      <c r="D1078" t="s">
        <v>137</v>
      </c>
      <c r="E1078">
        <v>1</v>
      </c>
      <c r="F1078">
        <v>0</v>
      </c>
      <c r="G1078">
        <v>6</v>
      </c>
      <c r="H1078" t="s">
        <v>19</v>
      </c>
      <c r="M1078">
        <v>1</v>
      </c>
      <c r="N1078">
        <v>1</v>
      </c>
      <c r="O1078">
        <v>0</v>
      </c>
      <c r="P1078" t="s">
        <v>21</v>
      </c>
      <c r="R1078" t="str">
        <f t="shared" si="32"/>
        <v>no</v>
      </c>
      <c r="S1078" t="str">
        <f t="shared" si="33"/>
        <v>no</v>
      </c>
    </row>
    <row r="1079" spans="1:19" x14ac:dyDescent="0.35">
      <c r="A1079" s="1">
        <v>1077</v>
      </c>
      <c r="B1079" t="s">
        <v>828</v>
      </c>
      <c r="C1079" t="s">
        <v>99</v>
      </c>
      <c r="D1079" t="s">
        <v>138</v>
      </c>
      <c r="E1079">
        <v>1</v>
      </c>
      <c r="F1079">
        <v>0</v>
      </c>
      <c r="G1079">
        <v>6</v>
      </c>
      <c r="H1079" t="s">
        <v>19</v>
      </c>
      <c r="M1079">
        <v>1</v>
      </c>
      <c r="N1079">
        <v>1</v>
      </c>
      <c r="O1079">
        <v>0</v>
      </c>
      <c r="P1079" t="s">
        <v>21</v>
      </c>
      <c r="R1079" t="str">
        <f t="shared" si="32"/>
        <v>no</v>
      </c>
      <c r="S1079" t="str">
        <f t="shared" si="33"/>
        <v>no</v>
      </c>
    </row>
    <row r="1080" spans="1:19" x14ac:dyDescent="0.35">
      <c r="A1080" s="1">
        <v>1078</v>
      </c>
      <c r="B1080" t="s">
        <v>828</v>
      </c>
      <c r="C1080" t="s">
        <v>99</v>
      </c>
      <c r="D1080" t="s">
        <v>139</v>
      </c>
      <c r="E1080">
        <v>1</v>
      </c>
      <c r="F1080">
        <v>0</v>
      </c>
      <c r="G1080">
        <v>6</v>
      </c>
      <c r="H1080" t="s">
        <v>19</v>
      </c>
      <c r="M1080">
        <v>1</v>
      </c>
      <c r="N1080">
        <v>1</v>
      </c>
      <c r="O1080">
        <v>0</v>
      </c>
      <c r="P1080" t="s">
        <v>21</v>
      </c>
      <c r="R1080" t="str">
        <f t="shared" si="32"/>
        <v>no</v>
      </c>
      <c r="S1080" t="str">
        <f t="shared" si="33"/>
        <v>no</v>
      </c>
    </row>
    <row r="1081" spans="1:19" x14ac:dyDescent="0.35">
      <c r="A1081" s="1">
        <v>1079</v>
      </c>
      <c r="B1081" t="s">
        <v>828</v>
      </c>
      <c r="C1081" t="s">
        <v>99</v>
      </c>
      <c r="D1081" t="s">
        <v>140</v>
      </c>
      <c r="E1081">
        <v>39.522222222222233</v>
      </c>
      <c r="F1081">
        <v>3.2457392114862502</v>
      </c>
      <c r="G1081">
        <v>6</v>
      </c>
      <c r="H1081" t="s">
        <v>19</v>
      </c>
      <c r="M1081">
        <v>46.013700645194731</v>
      </c>
      <c r="N1081">
        <v>33.030743799249727</v>
      </c>
      <c r="O1081">
        <v>12.982956845945001</v>
      </c>
      <c r="P1081">
        <v>12.176647489840899</v>
      </c>
      <c r="R1081" t="str">
        <f t="shared" si="32"/>
        <v>no</v>
      </c>
      <c r="S1081" t="str">
        <f t="shared" si="33"/>
        <v>no</v>
      </c>
    </row>
    <row r="1082" spans="1:19" x14ac:dyDescent="0.35">
      <c r="A1082" s="1">
        <v>1080</v>
      </c>
      <c r="B1082" t="s">
        <v>828</v>
      </c>
      <c r="C1082" t="s">
        <v>99</v>
      </c>
      <c r="D1082" t="s">
        <v>141</v>
      </c>
      <c r="E1082">
        <v>41.988888888888887</v>
      </c>
      <c r="F1082">
        <v>3.3472308022918842</v>
      </c>
      <c r="G1082">
        <v>6</v>
      </c>
      <c r="H1082" t="s">
        <v>19</v>
      </c>
      <c r="M1082">
        <v>48.683350493472659</v>
      </c>
      <c r="N1082">
        <v>35.294427284305122</v>
      </c>
      <c r="O1082">
        <v>13.38892320916754</v>
      </c>
      <c r="P1082">
        <v>12.544366184769411</v>
      </c>
      <c r="R1082" t="str">
        <f t="shared" si="32"/>
        <v>no</v>
      </c>
      <c r="S1082" t="str">
        <f t="shared" si="33"/>
        <v>no</v>
      </c>
    </row>
    <row r="1083" spans="1:19" x14ac:dyDescent="0.35">
      <c r="A1083" s="1">
        <v>1081</v>
      </c>
      <c r="B1083" t="s">
        <v>828</v>
      </c>
      <c r="C1083" t="s">
        <v>251</v>
      </c>
      <c r="D1083" t="s">
        <v>252</v>
      </c>
      <c r="G1083">
        <v>6</v>
      </c>
      <c r="H1083" t="s">
        <v>19</v>
      </c>
      <c r="R1083" t="str">
        <f t="shared" si="32"/>
        <v>no</v>
      </c>
      <c r="S1083" t="str">
        <f t="shared" si="33"/>
        <v>no</v>
      </c>
    </row>
    <row r="1084" spans="1:19" x14ac:dyDescent="0.35">
      <c r="A1084" s="1">
        <v>1082</v>
      </c>
      <c r="B1084" t="s">
        <v>828</v>
      </c>
      <c r="C1084" t="s">
        <v>17</v>
      </c>
      <c r="D1084" t="s">
        <v>18</v>
      </c>
      <c r="E1084">
        <v>7547.75</v>
      </c>
      <c r="F1084">
        <v>119.2454437381045</v>
      </c>
      <c r="G1084">
        <v>6</v>
      </c>
      <c r="H1084" t="s">
        <v>19</v>
      </c>
      <c r="M1084">
        <v>7786.2408874762086</v>
      </c>
      <c r="N1084">
        <v>7309.2591125237914</v>
      </c>
      <c r="O1084">
        <v>476.98177495241731</v>
      </c>
      <c r="P1084">
        <v>63.295919436359483</v>
      </c>
      <c r="R1084" t="str">
        <f t="shared" si="32"/>
        <v>no</v>
      </c>
      <c r="S1084" t="str">
        <f t="shared" si="33"/>
        <v>no</v>
      </c>
    </row>
    <row r="1085" spans="1:19" x14ac:dyDescent="0.35">
      <c r="A1085" s="1">
        <v>1083</v>
      </c>
      <c r="B1085" t="s">
        <v>828</v>
      </c>
      <c r="C1085" t="s">
        <v>17</v>
      </c>
      <c r="D1085" t="s">
        <v>20</v>
      </c>
      <c r="E1085">
        <v>1</v>
      </c>
      <c r="F1085">
        <v>0</v>
      </c>
      <c r="G1085">
        <v>6</v>
      </c>
      <c r="H1085" t="s">
        <v>19</v>
      </c>
      <c r="M1085">
        <v>1</v>
      </c>
      <c r="N1085">
        <v>1</v>
      </c>
      <c r="O1085">
        <v>0</v>
      </c>
      <c r="P1085" t="s">
        <v>21</v>
      </c>
      <c r="R1085" t="str">
        <f t="shared" si="32"/>
        <v>no</v>
      </c>
      <c r="S1085" t="str">
        <f t="shared" si="33"/>
        <v>no</v>
      </c>
    </row>
    <row r="1086" spans="1:19" x14ac:dyDescent="0.35">
      <c r="A1086" s="1">
        <v>1084</v>
      </c>
      <c r="B1086" t="s">
        <v>828</v>
      </c>
      <c r="C1086" t="s">
        <v>17</v>
      </c>
      <c r="D1086" t="s">
        <v>22</v>
      </c>
      <c r="E1086">
        <v>7519.9111111111106</v>
      </c>
      <c r="F1086">
        <v>154.15602835570311</v>
      </c>
      <c r="G1086">
        <v>6</v>
      </c>
      <c r="H1086" t="s">
        <v>19</v>
      </c>
      <c r="M1086">
        <v>7828.2231678225171</v>
      </c>
      <c r="N1086">
        <v>7211.5990543997041</v>
      </c>
      <c r="O1086">
        <v>616.62411342281302</v>
      </c>
      <c r="P1086">
        <v>48.78116795899475</v>
      </c>
      <c r="R1086" t="str">
        <f t="shared" si="32"/>
        <v>no</v>
      </c>
      <c r="S1086" t="str">
        <f t="shared" si="33"/>
        <v>no</v>
      </c>
    </row>
    <row r="1087" spans="1:19" x14ac:dyDescent="0.35">
      <c r="A1087" s="1">
        <v>1085</v>
      </c>
      <c r="B1087" t="s">
        <v>828</v>
      </c>
      <c r="C1087" t="s">
        <v>17</v>
      </c>
      <c r="D1087" t="s">
        <v>23</v>
      </c>
      <c r="E1087">
        <v>1</v>
      </c>
      <c r="F1087">
        <v>0</v>
      </c>
      <c r="G1087">
        <v>6</v>
      </c>
      <c r="H1087" t="s">
        <v>19</v>
      </c>
      <c r="M1087">
        <v>1</v>
      </c>
      <c r="N1087">
        <v>1</v>
      </c>
      <c r="O1087">
        <v>0</v>
      </c>
      <c r="P1087" t="s">
        <v>21</v>
      </c>
      <c r="R1087" t="str">
        <f t="shared" si="32"/>
        <v>no</v>
      </c>
      <c r="S1087" t="str">
        <f t="shared" si="33"/>
        <v>no</v>
      </c>
    </row>
    <row r="1088" spans="1:19" x14ac:dyDescent="0.35">
      <c r="A1088" s="1">
        <v>1086</v>
      </c>
      <c r="B1088" t="s">
        <v>828</v>
      </c>
      <c r="C1088" t="s">
        <v>17</v>
      </c>
      <c r="D1088" t="s">
        <v>24</v>
      </c>
      <c r="E1088">
        <v>7643.9111111111106</v>
      </c>
      <c r="F1088">
        <v>112.6853605993763</v>
      </c>
      <c r="G1088">
        <v>6</v>
      </c>
      <c r="H1088" t="s">
        <v>19</v>
      </c>
      <c r="M1088">
        <v>7869.2818323098636</v>
      </c>
      <c r="N1088">
        <v>7418.5403899123576</v>
      </c>
      <c r="O1088">
        <v>450.74144239750598</v>
      </c>
      <c r="P1088">
        <v>67.834109687833035</v>
      </c>
      <c r="R1088" t="str">
        <f t="shared" si="32"/>
        <v>no</v>
      </c>
      <c r="S1088" t="str">
        <f t="shared" si="33"/>
        <v>no</v>
      </c>
    </row>
    <row r="1089" spans="1:19" x14ac:dyDescent="0.35">
      <c r="A1089" s="1">
        <v>1087</v>
      </c>
      <c r="B1089" t="s">
        <v>828</v>
      </c>
      <c r="C1089" t="s">
        <v>17</v>
      </c>
      <c r="D1089" t="s">
        <v>25</v>
      </c>
      <c r="E1089">
        <v>1</v>
      </c>
      <c r="F1089">
        <v>0</v>
      </c>
      <c r="G1089">
        <v>6</v>
      </c>
      <c r="H1089" t="s">
        <v>19</v>
      </c>
      <c r="M1089">
        <v>1</v>
      </c>
      <c r="N1089">
        <v>1</v>
      </c>
      <c r="O1089">
        <v>0</v>
      </c>
      <c r="P1089" t="s">
        <v>21</v>
      </c>
      <c r="R1089" t="str">
        <f t="shared" si="32"/>
        <v>no</v>
      </c>
      <c r="S1089" t="str">
        <f t="shared" si="33"/>
        <v>no</v>
      </c>
    </row>
    <row r="1090" spans="1:19" x14ac:dyDescent="0.35">
      <c r="A1090" s="1">
        <v>1088</v>
      </c>
      <c r="B1090" t="s">
        <v>828</v>
      </c>
      <c r="C1090" t="s">
        <v>17</v>
      </c>
      <c r="D1090" t="s">
        <v>26</v>
      </c>
      <c r="E1090">
        <v>7574.3722222222223</v>
      </c>
      <c r="F1090">
        <v>113.60997267277661</v>
      </c>
      <c r="G1090">
        <v>6</v>
      </c>
      <c r="H1090" t="s">
        <v>19</v>
      </c>
      <c r="M1090">
        <v>7801.5921675677764</v>
      </c>
      <c r="N1090">
        <v>7347.152276876669</v>
      </c>
      <c r="O1090">
        <v>454.43989069110648</v>
      </c>
      <c r="P1090">
        <v>66.669959018810715</v>
      </c>
      <c r="R1090" t="str">
        <f t="shared" si="32"/>
        <v>no</v>
      </c>
      <c r="S1090" t="str">
        <f t="shared" si="33"/>
        <v>no</v>
      </c>
    </row>
    <row r="1091" spans="1:19" x14ac:dyDescent="0.35">
      <c r="A1091" s="1">
        <v>1089</v>
      </c>
      <c r="B1091" t="s">
        <v>828</v>
      </c>
      <c r="C1091" t="s">
        <v>17</v>
      </c>
      <c r="D1091" t="s">
        <v>27</v>
      </c>
      <c r="E1091">
        <v>1</v>
      </c>
      <c r="F1091">
        <v>0</v>
      </c>
      <c r="G1091">
        <v>6</v>
      </c>
      <c r="H1091" t="s">
        <v>19</v>
      </c>
      <c r="M1091">
        <v>1</v>
      </c>
      <c r="N1091">
        <v>1</v>
      </c>
      <c r="O1091">
        <v>0</v>
      </c>
      <c r="P1091" t="s">
        <v>21</v>
      </c>
      <c r="R1091" t="str">
        <f t="shared" ref="R1091:R1154" si="34">IF(H1091="yes","yes","no")</f>
        <v>no</v>
      </c>
      <c r="S1091" t="str">
        <f t="shared" ref="S1091:S1154" si="35">IF(I1091,"yes","no")</f>
        <v>no</v>
      </c>
    </row>
    <row r="1092" spans="1:19" x14ac:dyDescent="0.35">
      <c r="A1092" s="1">
        <v>1090</v>
      </c>
      <c r="B1092" t="s">
        <v>828</v>
      </c>
      <c r="C1092" t="s">
        <v>17</v>
      </c>
      <c r="D1092" t="s">
        <v>28</v>
      </c>
      <c r="E1092">
        <v>7635.1222222222223</v>
      </c>
      <c r="F1092">
        <v>141.03354694907631</v>
      </c>
      <c r="G1092">
        <v>6</v>
      </c>
      <c r="H1092" t="s">
        <v>19</v>
      </c>
      <c r="M1092">
        <v>7917.1893161203752</v>
      </c>
      <c r="N1092">
        <v>7353.0551283240693</v>
      </c>
      <c r="O1092">
        <v>564.13418779630592</v>
      </c>
      <c r="P1092">
        <v>54.136922649893179</v>
      </c>
      <c r="R1092" t="str">
        <f t="shared" si="34"/>
        <v>no</v>
      </c>
      <c r="S1092" t="str">
        <f t="shared" si="35"/>
        <v>no</v>
      </c>
    </row>
    <row r="1093" spans="1:19" x14ac:dyDescent="0.35">
      <c r="A1093" s="1">
        <v>1091</v>
      </c>
      <c r="B1093" t="s">
        <v>828</v>
      </c>
      <c r="C1093" t="s">
        <v>17</v>
      </c>
      <c r="D1093" t="s">
        <v>29</v>
      </c>
      <c r="E1093">
        <v>1</v>
      </c>
      <c r="F1093">
        <v>0</v>
      </c>
      <c r="G1093">
        <v>6</v>
      </c>
      <c r="H1093" t="s">
        <v>19</v>
      </c>
      <c r="M1093">
        <v>1</v>
      </c>
      <c r="N1093">
        <v>1</v>
      </c>
      <c r="O1093">
        <v>0</v>
      </c>
      <c r="P1093" t="s">
        <v>21</v>
      </c>
      <c r="R1093" t="str">
        <f t="shared" si="34"/>
        <v>no</v>
      </c>
      <c r="S1093" t="str">
        <f t="shared" si="35"/>
        <v>no</v>
      </c>
    </row>
    <row r="1094" spans="1:19" x14ac:dyDescent="0.35">
      <c r="A1094" s="1">
        <v>1092</v>
      </c>
      <c r="B1094" t="s">
        <v>828</v>
      </c>
      <c r="C1094" t="s">
        <v>17</v>
      </c>
      <c r="D1094" t="s">
        <v>30</v>
      </c>
      <c r="E1094">
        <v>7644.2222222222217</v>
      </c>
      <c r="F1094">
        <v>70.713775565232709</v>
      </c>
      <c r="G1094">
        <v>6</v>
      </c>
      <c r="H1094" t="s">
        <v>19</v>
      </c>
      <c r="M1094">
        <v>7785.6497733526867</v>
      </c>
      <c r="N1094">
        <v>7502.7946710917568</v>
      </c>
      <c r="O1094">
        <v>282.85510226092993</v>
      </c>
      <c r="P1094">
        <v>108.10089209803979</v>
      </c>
      <c r="R1094" t="str">
        <f t="shared" si="34"/>
        <v>no</v>
      </c>
      <c r="S1094" t="str">
        <f t="shared" si="35"/>
        <v>no</v>
      </c>
    </row>
    <row r="1095" spans="1:19" x14ac:dyDescent="0.35">
      <c r="A1095" s="1">
        <v>1093</v>
      </c>
      <c r="B1095" t="s">
        <v>828</v>
      </c>
      <c r="C1095" t="s">
        <v>17</v>
      </c>
      <c r="D1095" t="s">
        <v>31</v>
      </c>
      <c r="E1095">
        <v>1</v>
      </c>
      <c r="F1095">
        <v>0</v>
      </c>
      <c r="G1095">
        <v>6</v>
      </c>
      <c r="H1095" t="s">
        <v>19</v>
      </c>
      <c r="M1095">
        <v>1</v>
      </c>
      <c r="N1095">
        <v>1</v>
      </c>
      <c r="O1095">
        <v>0</v>
      </c>
      <c r="P1095" t="s">
        <v>21</v>
      </c>
      <c r="R1095" t="str">
        <f t="shared" si="34"/>
        <v>no</v>
      </c>
      <c r="S1095" t="str">
        <f t="shared" si="35"/>
        <v>no</v>
      </c>
    </row>
    <row r="1096" spans="1:19" x14ac:dyDescent="0.35">
      <c r="A1096" s="1">
        <v>1094</v>
      </c>
      <c r="B1096" t="s">
        <v>828</v>
      </c>
      <c r="C1096" t="s">
        <v>17</v>
      </c>
      <c r="D1096" t="s">
        <v>32</v>
      </c>
      <c r="E1096">
        <v>7647.6444444444451</v>
      </c>
      <c r="F1096">
        <v>127.2617994337137</v>
      </c>
      <c r="G1096">
        <v>6</v>
      </c>
      <c r="H1096" t="s">
        <v>19</v>
      </c>
      <c r="M1096">
        <v>7902.1680433118727</v>
      </c>
      <c r="N1096">
        <v>7393.1208455770166</v>
      </c>
      <c r="O1096">
        <v>509.04719773485522</v>
      </c>
      <c r="P1096">
        <v>60.093794669529572</v>
      </c>
      <c r="R1096" t="str">
        <f t="shared" si="34"/>
        <v>no</v>
      </c>
      <c r="S1096" t="str">
        <f t="shared" si="35"/>
        <v>no</v>
      </c>
    </row>
    <row r="1097" spans="1:19" x14ac:dyDescent="0.35">
      <c r="A1097" s="1">
        <v>1095</v>
      </c>
      <c r="B1097" t="s">
        <v>828</v>
      </c>
      <c r="C1097" t="s">
        <v>17</v>
      </c>
      <c r="D1097" t="s">
        <v>33</v>
      </c>
      <c r="E1097">
        <v>1</v>
      </c>
      <c r="F1097">
        <v>0</v>
      </c>
      <c r="G1097">
        <v>6</v>
      </c>
      <c r="H1097" t="s">
        <v>19</v>
      </c>
      <c r="M1097">
        <v>1</v>
      </c>
      <c r="N1097">
        <v>1</v>
      </c>
      <c r="O1097">
        <v>0</v>
      </c>
      <c r="P1097" t="s">
        <v>21</v>
      </c>
      <c r="R1097" t="str">
        <f t="shared" si="34"/>
        <v>no</v>
      </c>
      <c r="S1097" t="str">
        <f t="shared" si="35"/>
        <v>no</v>
      </c>
    </row>
    <row r="1098" spans="1:19" x14ac:dyDescent="0.35">
      <c r="A1098" s="1">
        <v>1096</v>
      </c>
      <c r="B1098" t="s">
        <v>828</v>
      </c>
      <c r="C1098" t="s">
        <v>17</v>
      </c>
      <c r="D1098" t="s">
        <v>34</v>
      </c>
      <c r="E1098">
        <v>7622.9722222222217</v>
      </c>
      <c r="F1098">
        <v>82.545654836388493</v>
      </c>
      <c r="G1098">
        <v>6</v>
      </c>
      <c r="H1098" t="s">
        <v>19</v>
      </c>
      <c r="M1098">
        <v>7788.063531894999</v>
      </c>
      <c r="N1098">
        <v>7457.8809125494436</v>
      </c>
      <c r="O1098">
        <v>330.18261934555449</v>
      </c>
      <c r="P1098">
        <v>92.348558350303335</v>
      </c>
      <c r="R1098" t="str">
        <f t="shared" si="34"/>
        <v>no</v>
      </c>
      <c r="S1098" t="str">
        <f t="shared" si="35"/>
        <v>no</v>
      </c>
    </row>
    <row r="1099" spans="1:19" x14ac:dyDescent="0.35">
      <c r="A1099" s="1">
        <v>1097</v>
      </c>
      <c r="B1099" t="s">
        <v>828</v>
      </c>
      <c r="C1099" t="s">
        <v>17</v>
      </c>
      <c r="D1099" t="s">
        <v>35</v>
      </c>
      <c r="E1099">
        <v>1</v>
      </c>
      <c r="F1099">
        <v>0</v>
      </c>
      <c r="G1099">
        <v>6</v>
      </c>
      <c r="H1099" t="s">
        <v>19</v>
      </c>
      <c r="M1099">
        <v>1</v>
      </c>
      <c r="N1099">
        <v>1</v>
      </c>
      <c r="O1099">
        <v>0</v>
      </c>
      <c r="P1099" t="s">
        <v>21</v>
      </c>
      <c r="R1099" t="str">
        <f t="shared" si="34"/>
        <v>no</v>
      </c>
      <c r="S1099" t="str">
        <f t="shared" si="35"/>
        <v>no</v>
      </c>
    </row>
    <row r="1100" spans="1:19" x14ac:dyDescent="0.35">
      <c r="A1100" s="1">
        <v>1098</v>
      </c>
      <c r="B1100" t="s">
        <v>828</v>
      </c>
      <c r="C1100" t="s">
        <v>17</v>
      </c>
      <c r="D1100" t="s">
        <v>36</v>
      </c>
      <c r="E1100">
        <v>2.9344120689655169</v>
      </c>
      <c r="F1100">
        <v>2.34794635745974E-2</v>
      </c>
      <c r="G1100">
        <v>6</v>
      </c>
      <c r="H1100" t="s">
        <v>19</v>
      </c>
      <c r="M1100">
        <v>2.9813709961147121</v>
      </c>
      <c r="N1100">
        <v>2.8874531418163221</v>
      </c>
      <c r="O1100">
        <v>9.3917854298389614E-2</v>
      </c>
      <c r="P1100">
        <v>124.9778155979798</v>
      </c>
      <c r="R1100" t="str">
        <f t="shared" si="34"/>
        <v>no</v>
      </c>
      <c r="S1100" t="str">
        <f t="shared" si="35"/>
        <v>no</v>
      </c>
    </row>
    <row r="1101" spans="1:19" x14ac:dyDescent="0.35">
      <c r="A1101" s="1">
        <v>1099</v>
      </c>
      <c r="B1101" t="s">
        <v>828</v>
      </c>
      <c r="C1101" t="s">
        <v>17</v>
      </c>
      <c r="D1101" t="s">
        <v>37</v>
      </c>
      <c r="E1101">
        <v>24.11512298850575</v>
      </c>
      <c r="F1101">
        <v>0.30189167430744002</v>
      </c>
      <c r="G1101">
        <v>6</v>
      </c>
      <c r="H1101" t="s">
        <v>19</v>
      </c>
      <c r="M1101">
        <v>24.718906337120629</v>
      </c>
      <c r="N1101">
        <v>23.511339639890871</v>
      </c>
      <c r="O1101">
        <v>1.2075666972297581</v>
      </c>
      <c r="P1101">
        <v>79.880053147631443</v>
      </c>
      <c r="R1101" t="str">
        <f t="shared" si="34"/>
        <v>no</v>
      </c>
      <c r="S1101" t="str">
        <f t="shared" si="35"/>
        <v>no</v>
      </c>
    </row>
    <row r="1102" spans="1:19" x14ac:dyDescent="0.35">
      <c r="A1102" s="1">
        <v>1100</v>
      </c>
      <c r="B1102" t="s">
        <v>828</v>
      </c>
      <c r="C1102" t="s">
        <v>17</v>
      </c>
      <c r="D1102" t="s">
        <v>38</v>
      </c>
      <c r="E1102">
        <v>9.9187356321839087E-2</v>
      </c>
      <c r="F1102">
        <v>1.372620936856875E-2</v>
      </c>
      <c r="G1102">
        <v>6</v>
      </c>
      <c r="H1102" t="s">
        <v>19</v>
      </c>
      <c r="M1102">
        <v>0.12663977505897661</v>
      </c>
      <c r="N1102">
        <v>7.1734937584701591E-2</v>
      </c>
      <c r="O1102">
        <v>5.4904837474274992E-2</v>
      </c>
      <c r="P1102">
        <v>7.2261287627569883</v>
      </c>
      <c r="R1102" t="str">
        <f t="shared" si="34"/>
        <v>no</v>
      </c>
      <c r="S1102" t="str">
        <f t="shared" si="35"/>
        <v>no</v>
      </c>
    </row>
    <row r="1103" spans="1:19" x14ac:dyDescent="0.35">
      <c r="A1103" s="1">
        <v>1101</v>
      </c>
      <c r="B1103" t="s">
        <v>828</v>
      </c>
      <c r="C1103" t="s">
        <v>17</v>
      </c>
      <c r="D1103" t="s">
        <v>39</v>
      </c>
      <c r="E1103">
        <v>24.12233275862069</v>
      </c>
      <c r="F1103">
        <v>0.32227546030018128</v>
      </c>
      <c r="G1103">
        <v>6</v>
      </c>
      <c r="H1103" t="s">
        <v>19</v>
      </c>
      <c r="M1103">
        <v>24.766883679221049</v>
      </c>
      <c r="N1103">
        <v>23.477781838020331</v>
      </c>
      <c r="O1103">
        <v>1.289101841200726</v>
      </c>
      <c r="P1103">
        <v>74.850045163699733</v>
      </c>
      <c r="R1103" t="str">
        <f t="shared" si="34"/>
        <v>no</v>
      </c>
      <c r="S1103" t="str">
        <f t="shared" si="35"/>
        <v>no</v>
      </c>
    </row>
    <row r="1104" spans="1:19" x14ac:dyDescent="0.35">
      <c r="A1104" s="1">
        <v>1102</v>
      </c>
      <c r="B1104" t="s">
        <v>828</v>
      </c>
      <c r="C1104" t="s">
        <v>17</v>
      </c>
      <c r="D1104" t="s">
        <v>40</v>
      </c>
      <c r="E1104">
        <v>0.1018385057471264</v>
      </c>
      <c r="F1104">
        <v>7.9052096800100377E-3</v>
      </c>
      <c r="G1104">
        <v>6</v>
      </c>
      <c r="H1104" t="s">
        <v>19</v>
      </c>
      <c r="M1104">
        <v>0.1176489251071465</v>
      </c>
      <c r="N1104">
        <v>8.6028086387106323E-2</v>
      </c>
      <c r="O1104">
        <v>3.1620838720040151E-2</v>
      </c>
      <c r="P1104">
        <v>12.882454719024871</v>
      </c>
      <c r="R1104" t="str">
        <f t="shared" si="34"/>
        <v>no</v>
      </c>
      <c r="S1104" t="str">
        <f t="shared" si="35"/>
        <v>no</v>
      </c>
    </row>
    <row r="1105" spans="1:19" x14ac:dyDescent="0.35">
      <c r="A1105" s="1">
        <v>1103</v>
      </c>
      <c r="B1105" t="s">
        <v>828</v>
      </c>
      <c r="C1105" t="s">
        <v>17</v>
      </c>
      <c r="D1105" t="s">
        <v>41</v>
      </c>
      <c r="E1105">
        <v>24.10561264367816</v>
      </c>
      <c r="F1105">
        <v>0.25184697353960078</v>
      </c>
      <c r="G1105">
        <v>6</v>
      </c>
      <c r="H1105" t="s">
        <v>19</v>
      </c>
      <c r="M1105">
        <v>24.60930659075736</v>
      </c>
      <c r="N1105">
        <v>23.601918696598961</v>
      </c>
      <c r="O1105">
        <v>1.007387894158406</v>
      </c>
      <c r="P1105">
        <v>95.715315951127593</v>
      </c>
      <c r="R1105" t="str">
        <f t="shared" si="34"/>
        <v>no</v>
      </c>
      <c r="S1105" t="str">
        <f t="shared" si="35"/>
        <v>no</v>
      </c>
    </row>
    <row r="1106" spans="1:19" x14ac:dyDescent="0.35">
      <c r="A1106" s="1">
        <v>1104</v>
      </c>
      <c r="B1106" t="s">
        <v>828</v>
      </c>
      <c r="C1106" t="s">
        <v>17</v>
      </c>
      <c r="D1106" t="s">
        <v>42</v>
      </c>
      <c r="E1106">
        <v>2.1466666666666669E-2</v>
      </c>
      <c r="F1106">
        <v>6.4492631006157434E-3</v>
      </c>
      <c r="G1106">
        <v>6</v>
      </c>
      <c r="H1106" t="s">
        <v>19</v>
      </c>
      <c r="M1106">
        <v>3.4365192867898159E-2</v>
      </c>
      <c r="N1106">
        <v>8.5681404654351818E-3</v>
      </c>
      <c r="O1106">
        <v>2.579705240246298E-2</v>
      </c>
      <c r="P1106">
        <v>3.328545654249575</v>
      </c>
      <c r="R1106" t="str">
        <f t="shared" si="34"/>
        <v>no</v>
      </c>
      <c r="S1106" t="str">
        <f t="shared" si="35"/>
        <v>no</v>
      </c>
    </row>
    <row r="1107" spans="1:19" x14ac:dyDescent="0.35">
      <c r="A1107" s="1">
        <v>1105</v>
      </c>
      <c r="B1107" t="s">
        <v>828</v>
      </c>
      <c r="C1107" t="s">
        <v>17</v>
      </c>
      <c r="D1107" t="s">
        <v>43</v>
      </c>
      <c r="E1107">
        <v>24.151762068965521</v>
      </c>
      <c r="F1107">
        <v>0.25383908079102091</v>
      </c>
      <c r="G1107">
        <v>6</v>
      </c>
      <c r="H1107" t="s">
        <v>19</v>
      </c>
      <c r="M1107">
        <v>24.65944023054756</v>
      </c>
      <c r="N1107">
        <v>23.644083907383479</v>
      </c>
      <c r="O1107">
        <v>1.015356323164085</v>
      </c>
      <c r="P1107">
        <v>95.145956224325587</v>
      </c>
      <c r="R1107" t="str">
        <f t="shared" si="34"/>
        <v>no</v>
      </c>
      <c r="S1107" t="str">
        <f t="shared" si="35"/>
        <v>no</v>
      </c>
    </row>
    <row r="1108" spans="1:19" x14ac:dyDescent="0.35">
      <c r="A1108" s="1">
        <v>1106</v>
      </c>
      <c r="B1108" t="s">
        <v>828</v>
      </c>
      <c r="C1108" t="s">
        <v>17</v>
      </c>
      <c r="D1108" t="s">
        <v>44</v>
      </c>
      <c r="E1108">
        <v>0.68983735632183918</v>
      </c>
      <c r="F1108">
        <v>1.6963565386939189E-2</v>
      </c>
      <c r="G1108">
        <v>6</v>
      </c>
      <c r="H1108" t="s">
        <v>19</v>
      </c>
      <c r="M1108">
        <v>0.72376448709571761</v>
      </c>
      <c r="N1108">
        <v>0.65591022554796075</v>
      </c>
      <c r="O1108">
        <v>6.7854261547756867E-2</v>
      </c>
      <c r="P1108">
        <v>40.665823521567447</v>
      </c>
      <c r="R1108" t="str">
        <f t="shared" si="34"/>
        <v>no</v>
      </c>
      <c r="S1108" t="str">
        <f t="shared" si="35"/>
        <v>no</v>
      </c>
    </row>
    <row r="1109" spans="1:19" x14ac:dyDescent="0.35">
      <c r="A1109" s="1">
        <v>1107</v>
      </c>
      <c r="B1109" t="s">
        <v>828</v>
      </c>
      <c r="C1109" t="s">
        <v>17</v>
      </c>
      <c r="D1109" t="s">
        <v>45</v>
      </c>
      <c r="E1109">
        <v>35.910156321839082</v>
      </c>
      <c r="F1109">
        <v>0.16500898632010491</v>
      </c>
      <c r="G1109">
        <v>6</v>
      </c>
      <c r="H1109" t="s">
        <v>19</v>
      </c>
      <c r="M1109">
        <v>36.240174294479289</v>
      </c>
      <c r="N1109">
        <v>35.580138349198883</v>
      </c>
      <c r="O1109">
        <v>0.66003594528041276</v>
      </c>
      <c r="P1109">
        <v>217.6254586048793</v>
      </c>
      <c r="R1109" t="str">
        <f t="shared" si="34"/>
        <v>no</v>
      </c>
      <c r="S1109" t="str">
        <f t="shared" si="35"/>
        <v>no</v>
      </c>
    </row>
    <row r="1110" spans="1:19" x14ac:dyDescent="0.35">
      <c r="A1110" s="1">
        <v>1108</v>
      </c>
      <c r="B1110" t="s">
        <v>828</v>
      </c>
      <c r="C1110" t="s">
        <v>17</v>
      </c>
      <c r="D1110" t="s">
        <v>46</v>
      </c>
      <c r="E1110">
        <v>0.69262298850574711</v>
      </c>
      <c r="F1110">
        <v>1.6942540916301721E-2</v>
      </c>
      <c r="G1110">
        <v>6</v>
      </c>
      <c r="H1110" t="s">
        <v>19</v>
      </c>
      <c r="M1110">
        <v>0.72650807033835052</v>
      </c>
      <c r="N1110">
        <v>0.65873790667314369</v>
      </c>
      <c r="O1110">
        <v>6.7770163665206828E-2</v>
      </c>
      <c r="P1110">
        <v>40.880703309343723</v>
      </c>
      <c r="R1110" t="str">
        <f t="shared" si="34"/>
        <v>no</v>
      </c>
      <c r="S1110" t="str">
        <f t="shared" si="35"/>
        <v>no</v>
      </c>
    </row>
    <row r="1111" spans="1:19" x14ac:dyDescent="0.35">
      <c r="A1111" s="1">
        <v>1109</v>
      </c>
      <c r="B1111" t="s">
        <v>828</v>
      </c>
      <c r="C1111" t="s">
        <v>17</v>
      </c>
      <c r="D1111" t="s">
        <v>47</v>
      </c>
      <c r="E1111">
        <v>35.902418965517249</v>
      </c>
      <c r="F1111">
        <v>0.15783535228074869</v>
      </c>
      <c r="G1111">
        <v>6</v>
      </c>
      <c r="H1111" t="s">
        <v>19</v>
      </c>
      <c r="M1111">
        <v>36.218089670078747</v>
      </c>
      <c r="N1111">
        <v>35.586748260955751</v>
      </c>
      <c r="O1111">
        <v>0.63134140912299586</v>
      </c>
      <c r="P1111">
        <v>227.46753782800221</v>
      </c>
      <c r="R1111" t="str">
        <f t="shared" si="34"/>
        <v>no</v>
      </c>
      <c r="S1111" t="str">
        <f t="shared" si="35"/>
        <v>no</v>
      </c>
    </row>
    <row r="1112" spans="1:19" x14ac:dyDescent="0.35">
      <c r="A1112" s="1">
        <v>1110</v>
      </c>
      <c r="B1112" t="s">
        <v>828</v>
      </c>
      <c r="C1112" t="s">
        <v>17</v>
      </c>
      <c r="D1112" t="s">
        <v>48</v>
      </c>
      <c r="E1112">
        <v>0.68446896551724146</v>
      </c>
      <c r="F1112">
        <v>1.4861606194676819E-2</v>
      </c>
      <c r="G1112">
        <v>6</v>
      </c>
      <c r="H1112" t="s">
        <v>19</v>
      </c>
      <c r="M1112">
        <v>0.71419217790659506</v>
      </c>
      <c r="N1112">
        <v>0.65474575312788785</v>
      </c>
      <c r="O1112">
        <v>5.9446424778707208E-2</v>
      </c>
      <c r="P1112">
        <v>46.056190464958419</v>
      </c>
      <c r="R1112" t="str">
        <f t="shared" si="34"/>
        <v>no</v>
      </c>
      <c r="S1112" t="str">
        <f t="shared" si="35"/>
        <v>no</v>
      </c>
    </row>
    <row r="1113" spans="1:19" x14ac:dyDescent="0.35">
      <c r="A1113" s="1">
        <v>1111</v>
      </c>
      <c r="B1113" t="s">
        <v>828</v>
      </c>
      <c r="C1113" t="s">
        <v>17</v>
      </c>
      <c r="D1113" t="s">
        <v>49</v>
      </c>
      <c r="E1113">
        <v>35.863305747126432</v>
      </c>
      <c r="F1113">
        <v>0.1310081522205595</v>
      </c>
      <c r="G1113">
        <v>6</v>
      </c>
      <c r="H1113" t="s">
        <v>19</v>
      </c>
      <c r="M1113">
        <v>36.125322051567551</v>
      </c>
      <c r="N1113">
        <v>35.601289442685307</v>
      </c>
      <c r="O1113">
        <v>0.52403260888223713</v>
      </c>
      <c r="P1113">
        <v>273.74865715798018</v>
      </c>
      <c r="R1113" t="str">
        <f t="shared" si="34"/>
        <v>no</v>
      </c>
      <c r="S1113" t="str">
        <f t="shared" si="35"/>
        <v>no</v>
      </c>
    </row>
    <row r="1114" spans="1:19" x14ac:dyDescent="0.35">
      <c r="A1114" s="1">
        <v>1112</v>
      </c>
      <c r="B1114" t="s">
        <v>828</v>
      </c>
      <c r="C1114" t="s">
        <v>17</v>
      </c>
      <c r="D1114" t="s">
        <v>50</v>
      </c>
      <c r="E1114">
        <v>0.69335689655172417</v>
      </c>
      <c r="F1114">
        <v>1.184836092664408E-2</v>
      </c>
      <c r="G1114">
        <v>6</v>
      </c>
      <c r="H1114" t="s">
        <v>19</v>
      </c>
      <c r="M1114">
        <v>0.71705361840501236</v>
      </c>
      <c r="N1114">
        <v>0.66966017469843597</v>
      </c>
      <c r="O1114">
        <v>4.7393443706576388E-2</v>
      </c>
      <c r="P1114">
        <v>58.519224797797413</v>
      </c>
      <c r="R1114" t="str">
        <f t="shared" si="34"/>
        <v>no</v>
      </c>
      <c r="S1114" t="str">
        <f t="shared" si="35"/>
        <v>no</v>
      </c>
    </row>
    <row r="1115" spans="1:19" x14ac:dyDescent="0.35">
      <c r="A1115" s="1">
        <v>1113</v>
      </c>
      <c r="B1115" t="s">
        <v>828</v>
      </c>
      <c r="C1115" t="s">
        <v>17</v>
      </c>
      <c r="D1115" t="s">
        <v>51</v>
      </c>
      <c r="E1115">
        <v>35.829575862068971</v>
      </c>
      <c r="F1115">
        <v>0.164908297290532</v>
      </c>
      <c r="G1115">
        <v>6</v>
      </c>
      <c r="H1115" t="s">
        <v>19</v>
      </c>
      <c r="M1115">
        <v>36.159392456650032</v>
      </c>
      <c r="N1115">
        <v>35.49975926748791</v>
      </c>
      <c r="O1115">
        <v>0.65963318916212188</v>
      </c>
      <c r="P1115">
        <v>217.26969746673919</v>
      </c>
      <c r="R1115" t="str">
        <f t="shared" si="34"/>
        <v>no</v>
      </c>
      <c r="S1115" t="str">
        <f t="shared" si="35"/>
        <v>no</v>
      </c>
    </row>
    <row r="1116" spans="1:19" x14ac:dyDescent="0.35">
      <c r="A1116" s="1">
        <v>1114</v>
      </c>
      <c r="B1116" t="s">
        <v>828</v>
      </c>
      <c r="C1116" t="s">
        <v>17</v>
      </c>
      <c r="D1116" t="s">
        <v>52</v>
      </c>
      <c r="E1116">
        <v>0.69339425287356327</v>
      </c>
      <c r="F1116">
        <v>1.8001879998011689E-2</v>
      </c>
      <c r="G1116">
        <v>6</v>
      </c>
      <c r="H1116" t="s">
        <v>19</v>
      </c>
      <c r="M1116">
        <v>0.72939801286958661</v>
      </c>
      <c r="N1116">
        <v>0.65739049287753992</v>
      </c>
      <c r="O1116">
        <v>7.2007519992046687E-2</v>
      </c>
      <c r="P1116">
        <v>38.517879963101009</v>
      </c>
      <c r="R1116" t="str">
        <f t="shared" si="34"/>
        <v>no</v>
      </c>
      <c r="S1116" t="str">
        <f t="shared" si="35"/>
        <v>no</v>
      </c>
    </row>
    <row r="1117" spans="1:19" x14ac:dyDescent="0.35">
      <c r="A1117" s="1">
        <v>1115</v>
      </c>
      <c r="B1117" t="s">
        <v>828</v>
      </c>
      <c r="C1117" t="s">
        <v>17</v>
      </c>
      <c r="D1117" t="s">
        <v>53</v>
      </c>
      <c r="E1117">
        <v>35.873175287356332</v>
      </c>
      <c r="F1117">
        <v>0.24711650552446829</v>
      </c>
      <c r="G1117">
        <v>6</v>
      </c>
      <c r="H1117" t="s">
        <v>19</v>
      </c>
      <c r="M1117">
        <v>36.367408298405273</v>
      </c>
      <c r="N1117">
        <v>35.378942276307399</v>
      </c>
      <c r="O1117">
        <v>0.98846602209786738</v>
      </c>
      <c r="P1117">
        <v>145.16705475104069</v>
      </c>
      <c r="R1117" t="str">
        <f t="shared" si="34"/>
        <v>no</v>
      </c>
      <c r="S1117" t="str">
        <f t="shared" si="35"/>
        <v>no</v>
      </c>
    </row>
    <row r="1118" spans="1:19" x14ac:dyDescent="0.35">
      <c r="A1118" s="1">
        <v>1116</v>
      </c>
      <c r="B1118" t="s">
        <v>828</v>
      </c>
      <c r="C1118" t="s">
        <v>17</v>
      </c>
      <c r="D1118" t="s">
        <v>54</v>
      </c>
      <c r="E1118">
        <v>0.70973850574712649</v>
      </c>
      <c r="F1118">
        <v>1.7949945506309972E-2</v>
      </c>
      <c r="G1118">
        <v>6</v>
      </c>
      <c r="H1118" t="s">
        <v>19</v>
      </c>
      <c r="M1118">
        <v>0.74563839675974641</v>
      </c>
      <c r="N1118">
        <v>0.67383861473450657</v>
      </c>
      <c r="O1118">
        <v>7.1799782025239844E-2</v>
      </c>
      <c r="P1118">
        <v>39.539869661310732</v>
      </c>
      <c r="R1118" t="str">
        <f t="shared" si="34"/>
        <v>no</v>
      </c>
      <c r="S1118" t="str">
        <f t="shared" si="35"/>
        <v>no</v>
      </c>
    </row>
    <row r="1119" spans="1:19" x14ac:dyDescent="0.35">
      <c r="A1119" s="1">
        <v>1117</v>
      </c>
      <c r="B1119" t="s">
        <v>828</v>
      </c>
      <c r="C1119" t="s">
        <v>17</v>
      </c>
      <c r="D1119" t="s">
        <v>55</v>
      </c>
      <c r="E1119">
        <v>35.874520689655178</v>
      </c>
      <c r="F1119">
        <v>6.6555428929360116E-2</v>
      </c>
      <c r="G1119">
        <v>6</v>
      </c>
      <c r="H1119" t="s">
        <v>19</v>
      </c>
      <c r="M1119">
        <v>36.007631547513903</v>
      </c>
      <c r="N1119">
        <v>35.74140983179646</v>
      </c>
      <c r="O1119">
        <v>0.26622171571743541</v>
      </c>
      <c r="P1119">
        <v>539.01719614385308</v>
      </c>
      <c r="R1119" t="str">
        <f t="shared" si="34"/>
        <v>no</v>
      </c>
      <c r="S1119" t="str">
        <f t="shared" si="35"/>
        <v>no</v>
      </c>
    </row>
    <row r="1120" spans="1:19" x14ac:dyDescent="0.35">
      <c r="A1120" s="1">
        <v>1118</v>
      </c>
      <c r="B1120" t="s">
        <v>828</v>
      </c>
      <c r="C1120" t="s">
        <v>56</v>
      </c>
      <c r="D1120" t="s">
        <v>57</v>
      </c>
      <c r="E1120">
        <v>0</v>
      </c>
      <c r="F1120">
        <v>0</v>
      </c>
      <c r="G1120">
        <v>6</v>
      </c>
      <c r="H1120" t="s">
        <v>58</v>
      </c>
      <c r="M1120">
        <v>0</v>
      </c>
      <c r="N1120">
        <v>0</v>
      </c>
      <c r="O1120">
        <v>0</v>
      </c>
      <c r="R1120" t="str">
        <f t="shared" si="34"/>
        <v>yes</v>
      </c>
      <c r="S1120" t="str">
        <f t="shared" si="35"/>
        <v>no</v>
      </c>
    </row>
    <row r="1121" spans="1:19" x14ac:dyDescent="0.35">
      <c r="A1121" s="1">
        <v>1119</v>
      </c>
      <c r="B1121" t="s">
        <v>828</v>
      </c>
      <c r="C1121" t="s">
        <v>56</v>
      </c>
      <c r="D1121" t="s">
        <v>59</v>
      </c>
      <c r="E1121">
        <v>0</v>
      </c>
      <c r="F1121">
        <v>0</v>
      </c>
      <c r="G1121">
        <v>6</v>
      </c>
      <c r="H1121" t="s">
        <v>58</v>
      </c>
      <c r="M1121">
        <v>0</v>
      </c>
      <c r="N1121">
        <v>0</v>
      </c>
      <c r="O1121">
        <v>0</v>
      </c>
      <c r="R1121" t="str">
        <f t="shared" si="34"/>
        <v>yes</v>
      </c>
      <c r="S1121" t="str">
        <f t="shared" si="35"/>
        <v>no</v>
      </c>
    </row>
    <row r="1122" spans="1:19" x14ac:dyDescent="0.35">
      <c r="A1122" s="1">
        <v>1120</v>
      </c>
      <c r="B1122" t="s">
        <v>828</v>
      </c>
      <c r="C1122" t="s">
        <v>56</v>
      </c>
      <c r="D1122" t="s">
        <v>60</v>
      </c>
      <c r="E1122">
        <v>0</v>
      </c>
      <c r="F1122">
        <v>0</v>
      </c>
      <c r="G1122">
        <v>6</v>
      </c>
      <c r="H1122" t="s">
        <v>58</v>
      </c>
      <c r="M1122">
        <v>0</v>
      </c>
      <c r="N1122">
        <v>0</v>
      </c>
      <c r="O1122">
        <v>0</v>
      </c>
      <c r="R1122" t="str">
        <f t="shared" si="34"/>
        <v>yes</v>
      </c>
      <c r="S1122" t="str">
        <f t="shared" si="35"/>
        <v>no</v>
      </c>
    </row>
    <row r="1123" spans="1:19" x14ac:dyDescent="0.35">
      <c r="A1123" s="1">
        <v>1121</v>
      </c>
      <c r="B1123" t="s">
        <v>828</v>
      </c>
      <c r="C1123" t="s">
        <v>56</v>
      </c>
      <c r="D1123" t="s">
        <v>61</v>
      </c>
      <c r="E1123">
        <v>0</v>
      </c>
      <c r="F1123">
        <v>0</v>
      </c>
      <c r="G1123">
        <v>6</v>
      </c>
      <c r="H1123" t="s">
        <v>58</v>
      </c>
      <c r="M1123">
        <v>0</v>
      </c>
      <c r="N1123">
        <v>0</v>
      </c>
      <c r="O1123">
        <v>0</v>
      </c>
      <c r="R1123" t="str">
        <f t="shared" si="34"/>
        <v>yes</v>
      </c>
      <c r="S1123" t="str">
        <f t="shared" si="35"/>
        <v>no</v>
      </c>
    </row>
    <row r="1124" spans="1:19" x14ac:dyDescent="0.35">
      <c r="A1124" s="1">
        <v>1122</v>
      </c>
      <c r="B1124" t="s">
        <v>828</v>
      </c>
      <c r="C1124" t="s">
        <v>56</v>
      </c>
      <c r="D1124" t="s">
        <v>62</v>
      </c>
      <c r="E1124">
        <v>0</v>
      </c>
      <c r="F1124">
        <v>0</v>
      </c>
      <c r="G1124">
        <v>6</v>
      </c>
      <c r="H1124" t="s">
        <v>58</v>
      </c>
      <c r="M1124">
        <v>0</v>
      </c>
      <c r="N1124">
        <v>0</v>
      </c>
      <c r="O1124">
        <v>0</v>
      </c>
      <c r="R1124" t="str">
        <f t="shared" si="34"/>
        <v>yes</v>
      </c>
      <c r="S1124" t="str">
        <f t="shared" si="35"/>
        <v>no</v>
      </c>
    </row>
    <row r="1125" spans="1:19" x14ac:dyDescent="0.35">
      <c r="A1125" s="1">
        <v>1123</v>
      </c>
      <c r="B1125" t="s">
        <v>828</v>
      </c>
      <c r="C1125" t="s">
        <v>56</v>
      </c>
      <c r="D1125" t="s">
        <v>63</v>
      </c>
      <c r="E1125">
        <v>0</v>
      </c>
      <c r="F1125">
        <v>0</v>
      </c>
      <c r="G1125">
        <v>6</v>
      </c>
      <c r="H1125" t="s">
        <v>58</v>
      </c>
      <c r="M1125">
        <v>0</v>
      </c>
      <c r="N1125">
        <v>0</v>
      </c>
      <c r="O1125">
        <v>0</v>
      </c>
      <c r="R1125" t="str">
        <f t="shared" si="34"/>
        <v>yes</v>
      </c>
      <c r="S1125" t="str">
        <f t="shared" si="35"/>
        <v>no</v>
      </c>
    </row>
    <row r="1126" spans="1:19" x14ac:dyDescent="0.35">
      <c r="A1126" s="1">
        <v>1124</v>
      </c>
      <c r="B1126" t="s">
        <v>828</v>
      </c>
      <c r="C1126" t="s">
        <v>56</v>
      </c>
      <c r="D1126" t="s">
        <v>64</v>
      </c>
      <c r="E1126">
        <v>0</v>
      </c>
      <c r="F1126">
        <v>0</v>
      </c>
      <c r="G1126">
        <v>6</v>
      </c>
      <c r="H1126" t="s">
        <v>58</v>
      </c>
      <c r="M1126">
        <v>0</v>
      </c>
      <c r="N1126">
        <v>0</v>
      </c>
      <c r="O1126">
        <v>0</v>
      </c>
      <c r="R1126" t="str">
        <f t="shared" si="34"/>
        <v>yes</v>
      </c>
      <c r="S1126" t="str">
        <f t="shared" si="35"/>
        <v>no</v>
      </c>
    </row>
    <row r="1127" spans="1:19" x14ac:dyDescent="0.35">
      <c r="A1127" s="1">
        <v>1125</v>
      </c>
      <c r="B1127" t="s">
        <v>828</v>
      </c>
      <c r="C1127" t="s">
        <v>56</v>
      </c>
      <c r="D1127" t="s">
        <v>65</v>
      </c>
      <c r="E1127">
        <v>0</v>
      </c>
      <c r="F1127">
        <v>0</v>
      </c>
      <c r="G1127">
        <v>6</v>
      </c>
      <c r="H1127" t="s">
        <v>58</v>
      </c>
      <c r="M1127">
        <v>0</v>
      </c>
      <c r="N1127">
        <v>0</v>
      </c>
      <c r="O1127">
        <v>0</v>
      </c>
      <c r="R1127" t="str">
        <f t="shared" si="34"/>
        <v>yes</v>
      </c>
      <c r="S1127" t="str">
        <f t="shared" si="35"/>
        <v>no</v>
      </c>
    </row>
    <row r="1128" spans="1:19" x14ac:dyDescent="0.35">
      <c r="A1128" s="1">
        <v>1126</v>
      </c>
      <c r="B1128" t="s">
        <v>828</v>
      </c>
      <c r="C1128" t="s">
        <v>56</v>
      </c>
      <c r="D1128" t="s">
        <v>66</v>
      </c>
      <c r="E1128">
        <v>0</v>
      </c>
      <c r="F1128">
        <v>0</v>
      </c>
      <c r="G1128">
        <v>6</v>
      </c>
      <c r="H1128" t="s">
        <v>58</v>
      </c>
      <c r="M1128">
        <v>0</v>
      </c>
      <c r="N1128">
        <v>0</v>
      </c>
      <c r="O1128">
        <v>0</v>
      </c>
      <c r="R1128" t="str">
        <f t="shared" si="34"/>
        <v>yes</v>
      </c>
      <c r="S1128" t="str">
        <f t="shared" si="35"/>
        <v>no</v>
      </c>
    </row>
    <row r="1129" spans="1:19" x14ac:dyDescent="0.35">
      <c r="A1129" s="1">
        <v>1127</v>
      </c>
      <c r="B1129" t="s">
        <v>828</v>
      </c>
      <c r="C1129" t="s">
        <v>56</v>
      </c>
      <c r="D1129" t="s">
        <v>67</v>
      </c>
      <c r="E1129">
        <v>0</v>
      </c>
      <c r="F1129">
        <v>0</v>
      </c>
      <c r="G1129">
        <v>6</v>
      </c>
      <c r="H1129" t="s">
        <v>58</v>
      </c>
      <c r="I1129">
        <v>-50</v>
      </c>
      <c r="J1129">
        <v>90</v>
      </c>
      <c r="K1129">
        <v>20</v>
      </c>
      <c r="L1129">
        <v>140</v>
      </c>
      <c r="M1129">
        <v>0</v>
      </c>
      <c r="N1129">
        <v>0</v>
      </c>
      <c r="O1129">
        <v>0</v>
      </c>
      <c r="Q1129" t="s">
        <v>21</v>
      </c>
      <c r="R1129" t="str">
        <f t="shared" si="34"/>
        <v>yes</v>
      </c>
      <c r="S1129" t="str">
        <f t="shared" si="35"/>
        <v>yes</v>
      </c>
    </row>
    <row r="1130" spans="1:19" x14ac:dyDescent="0.35">
      <c r="A1130" s="1">
        <v>1128</v>
      </c>
      <c r="B1130" t="s">
        <v>828</v>
      </c>
      <c r="C1130" t="s">
        <v>56</v>
      </c>
      <c r="D1130" t="s">
        <v>68</v>
      </c>
      <c r="E1130">
        <v>0</v>
      </c>
      <c r="F1130">
        <v>0</v>
      </c>
      <c r="G1130">
        <v>6</v>
      </c>
      <c r="H1130" t="s">
        <v>58</v>
      </c>
      <c r="I1130">
        <v>-50</v>
      </c>
      <c r="J1130">
        <v>90</v>
      </c>
      <c r="K1130">
        <v>20</v>
      </c>
      <c r="L1130">
        <v>140</v>
      </c>
      <c r="M1130">
        <v>0</v>
      </c>
      <c r="N1130">
        <v>0</v>
      </c>
      <c r="O1130">
        <v>0</v>
      </c>
      <c r="Q1130" t="s">
        <v>21</v>
      </c>
      <c r="R1130" t="str">
        <f t="shared" si="34"/>
        <v>yes</v>
      </c>
      <c r="S1130" t="str">
        <f t="shared" si="35"/>
        <v>yes</v>
      </c>
    </row>
    <row r="1131" spans="1:19" x14ac:dyDescent="0.35">
      <c r="A1131" s="1">
        <v>1129</v>
      </c>
      <c r="B1131" t="s">
        <v>828</v>
      </c>
      <c r="C1131" t="s">
        <v>56</v>
      </c>
      <c r="D1131" t="s">
        <v>69</v>
      </c>
      <c r="E1131">
        <v>0.67423671111111116</v>
      </c>
      <c r="F1131">
        <v>0.76174158785264878</v>
      </c>
      <c r="G1131">
        <v>6</v>
      </c>
      <c r="H1131" t="s">
        <v>58</v>
      </c>
      <c r="M1131">
        <v>2.197719886816409</v>
      </c>
      <c r="N1131">
        <v>-0.8492464645941864</v>
      </c>
      <c r="O1131">
        <v>3.0469663514105951</v>
      </c>
      <c r="P1131">
        <v>0.88512524701688655</v>
      </c>
      <c r="R1131" t="str">
        <f t="shared" si="34"/>
        <v>yes</v>
      </c>
      <c r="S1131" t="str">
        <f t="shared" si="35"/>
        <v>no</v>
      </c>
    </row>
    <row r="1132" spans="1:19" x14ac:dyDescent="0.35">
      <c r="A1132" s="1">
        <v>1130</v>
      </c>
      <c r="B1132" t="s">
        <v>828</v>
      </c>
      <c r="C1132" t="s">
        <v>56</v>
      </c>
      <c r="D1132" t="s">
        <v>70</v>
      </c>
      <c r="E1132">
        <v>-0.25957334444444441</v>
      </c>
      <c r="F1132">
        <v>7.2596263909298242E-2</v>
      </c>
      <c r="G1132">
        <v>6</v>
      </c>
      <c r="H1132" t="s">
        <v>58</v>
      </c>
      <c r="M1132">
        <v>-0.1143808166258479</v>
      </c>
      <c r="N1132">
        <v>-0.40476587226304089</v>
      </c>
      <c r="O1132">
        <v>0.29038505563719302</v>
      </c>
      <c r="P1132">
        <v>-3.5755744230688689</v>
      </c>
      <c r="R1132" t="str">
        <f t="shared" si="34"/>
        <v>yes</v>
      </c>
      <c r="S1132" t="str">
        <f t="shared" si="35"/>
        <v>no</v>
      </c>
    </row>
    <row r="1133" spans="1:19" x14ac:dyDescent="0.35">
      <c r="A1133" s="1">
        <v>1131</v>
      </c>
      <c r="B1133" t="s">
        <v>828</v>
      </c>
      <c r="C1133" t="s">
        <v>56</v>
      </c>
      <c r="D1133" t="s">
        <v>71</v>
      </c>
      <c r="E1133">
        <v>84.527113827777782</v>
      </c>
      <c r="F1133">
        <v>13.369930303503279</v>
      </c>
      <c r="G1133">
        <v>6</v>
      </c>
      <c r="H1133" t="s">
        <v>58</v>
      </c>
      <c r="M1133">
        <v>111.2669744347843</v>
      </c>
      <c r="N1133">
        <v>57.78725322077122</v>
      </c>
      <c r="O1133">
        <v>53.479721214013132</v>
      </c>
      <c r="P1133">
        <v>6.3221805880042181</v>
      </c>
      <c r="R1133" t="str">
        <f t="shared" si="34"/>
        <v>yes</v>
      </c>
      <c r="S1133" t="str">
        <f t="shared" si="35"/>
        <v>no</v>
      </c>
    </row>
    <row r="1134" spans="1:19" x14ac:dyDescent="0.35">
      <c r="A1134" s="1">
        <v>1132</v>
      </c>
      <c r="B1134" t="s">
        <v>828</v>
      </c>
      <c r="C1134" t="s">
        <v>56</v>
      </c>
      <c r="D1134" t="s">
        <v>72</v>
      </c>
      <c r="E1134">
        <v>0</v>
      </c>
      <c r="F1134">
        <v>0</v>
      </c>
      <c r="G1134">
        <v>6</v>
      </c>
      <c r="H1134" t="s">
        <v>58</v>
      </c>
      <c r="M1134">
        <v>0</v>
      </c>
      <c r="N1134">
        <v>0</v>
      </c>
      <c r="O1134">
        <v>0</v>
      </c>
      <c r="R1134" t="str">
        <f t="shared" si="34"/>
        <v>yes</v>
      </c>
      <c r="S1134" t="str">
        <f t="shared" si="35"/>
        <v>no</v>
      </c>
    </row>
    <row r="1135" spans="1:19" x14ac:dyDescent="0.35">
      <c r="A1135" s="1">
        <v>1133</v>
      </c>
      <c r="B1135" t="s">
        <v>828</v>
      </c>
      <c r="C1135" t="s">
        <v>56</v>
      </c>
      <c r="D1135" t="s">
        <v>73</v>
      </c>
      <c r="E1135">
        <v>0</v>
      </c>
      <c r="F1135">
        <v>0</v>
      </c>
      <c r="G1135">
        <v>6</v>
      </c>
      <c r="H1135" t="s">
        <v>58</v>
      </c>
      <c r="M1135">
        <v>0</v>
      </c>
      <c r="N1135">
        <v>0</v>
      </c>
      <c r="O1135">
        <v>0</v>
      </c>
      <c r="R1135" t="str">
        <f t="shared" si="34"/>
        <v>yes</v>
      </c>
      <c r="S1135" t="str">
        <f t="shared" si="35"/>
        <v>no</v>
      </c>
    </row>
    <row r="1136" spans="1:19" x14ac:dyDescent="0.35">
      <c r="A1136" s="1">
        <v>1134</v>
      </c>
      <c r="B1136" t="s">
        <v>828</v>
      </c>
      <c r="C1136" t="s">
        <v>56</v>
      </c>
      <c r="D1136" t="s">
        <v>74</v>
      </c>
      <c r="E1136">
        <v>0</v>
      </c>
      <c r="F1136">
        <v>0</v>
      </c>
      <c r="G1136">
        <v>6</v>
      </c>
      <c r="H1136" t="s">
        <v>58</v>
      </c>
      <c r="M1136">
        <v>0</v>
      </c>
      <c r="N1136">
        <v>0</v>
      </c>
      <c r="O1136">
        <v>0</v>
      </c>
      <c r="R1136" t="str">
        <f t="shared" si="34"/>
        <v>yes</v>
      </c>
      <c r="S1136" t="str">
        <f t="shared" si="35"/>
        <v>no</v>
      </c>
    </row>
    <row r="1137" spans="1:19" x14ac:dyDescent="0.35">
      <c r="A1137" s="1">
        <v>1135</v>
      </c>
      <c r="B1137" t="s">
        <v>828</v>
      </c>
      <c r="C1137" t="s">
        <v>820</v>
      </c>
      <c r="D1137" t="s">
        <v>821</v>
      </c>
      <c r="G1137">
        <v>6</v>
      </c>
      <c r="H1137" t="s">
        <v>58</v>
      </c>
      <c r="R1137" t="str">
        <f t="shared" si="34"/>
        <v>yes</v>
      </c>
      <c r="S1137" t="str">
        <f t="shared" si="35"/>
        <v>no</v>
      </c>
    </row>
    <row r="1138" spans="1:19" x14ac:dyDescent="0.35">
      <c r="A1138" s="1">
        <v>1136</v>
      </c>
      <c r="B1138" t="s">
        <v>828</v>
      </c>
      <c r="C1138" t="s">
        <v>820</v>
      </c>
      <c r="D1138" t="s">
        <v>822</v>
      </c>
      <c r="E1138">
        <v>28.415519444444438</v>
      </c>
      <c r="F1138">
        <v>2.3808986566479531</v>
      </c>
      <c r="G1138">
        <v>6</v>
      </c>
      <c r="H1138" t="s">
        <v>58</v>
      </c>
      <c r="M1138">
        <v>33.177316757740343</v>
      </c>
      <c r="N1138">
        <v>23.65372213114853</v>
      </c>
      <c r="O1138">
        <v>9.5235946265918088</v>
      </c>
      <c r="P1138">
        <v>11.9347874656918</v>
      </c>
      <c r="R1138" t="str">
        <f t="shared" si="34"/>
        <v>yes</v>
      </c>
      <c r="S1138" t="str">
        <f t="shared" si="35"/>
        <v>no</v>
      </c>
    </row>
    <row r="1139" spans="1:19" x14ac:dyDescent="0.35">
      <c r="A1139" s="1">
        <v>1137</v>
      </c>
      <c r="B1139" t="s">
        <v>828</v>
      </c>
      <c r="C1139" t="s">
        <v>820</v>
      </c>
      <c r="D1139" t="s">
        <v>823</v>
      </c>
      <c r="E1139">
        <v>0</v>
      </c>
      <c r="F1139">
        <v>0</v>
      </c>
      <c r="G1139">
        <v>6</v>
      </c>
      <c r="H1139" t="s">
        <v>58</v>
      </c>
      <c r="M1139">
        <v>0</v>
      </c>
      <c r="N1139">
        <v>0</v>
      </c>
      <c r="O1139">
        <v>0</v>
      </c>
      <c r="R1139" t="str">
        <f t="shared" si="34"/>
        <v>yes</v>
      </c>
      <c r="S1139" t="str">
        <f t="shared" si="35"/>
        <v>no</v>
      </c>
    </row>
    <row r="1140" spans="1:19" x14ac:dyDescent="0.35">
      <c r="A1140" s="1">
        <v>1138</v>
      </c>
      <c r="B1140" t="s">
        <v>828</v>
      </c>
      <c r="C1140" t="s">
        <v>820</v>
      </c>
      <c r="D1140" t="s">
        <v>824</v>
      </c>
      <c r="G1140">
        <v>6</v>
      </c>
      <c r="H1140" t="s">
        <v>58</v>
      </c>
      <c r="R1140" t="str">
        <f t="shared" si="34"/>
        <v>yes</v>
      </c>
      <c r="S1140" t="str">
        <f t="shared" si="35"/>
        <v>no</v>
      </c>
    </row>
    <row r="1141" spans="1:19" x14ac:dyDescent="0.35">
      <c r="A1141" s="1">
        <v>1139</v>
      </c>
      <c r="B1141" t="s">
        <v>828</v>
      </c>
      <c r="C1141" t="s">
        <v>820</v>
      </c>
      <c r="D1141" t="s">
        <v>825</v>
      </c>
      <c r="E1141">
        <v>100096390.6666667</v>
      </c>
      <c r="F1141">
        <v>14.749764593225059</v>
      </c>
      <c r="G1141">
        <v>6</v>
      </c>
      <c r="H1141" t="s">
        <v>58</v>
      </c>
      <c r="M1141">
        <v>100096420.1661959</v>
      </c>
      <c r="N1141">
        <v>100096361.1671375</v>
      </c>
      <c r="O1141">
        <v>58.999058365821838</v>
      </c>
      <c r="P1141">
        <v>6786304.2853337144</v>
      </c>
      <c r="R1141" t="str">
        <f t="shared" si="34"/>
        <v>yes</v>
      </c>
      <c r="S1141" t="str">
        <f t="shared" si="35"/>
        <v>no</v>
      </c>
    </row>
    <row r="1142" spans="1:19" x14ac:dyDescent="0.35">
      <c r="A1142" s="1">
        <v>1140</v>
      </c>
      <c r="B1142" t="s">
        <v>829</v>
      </c>
      <c r="C1142" t="s">
        <v>76</v>
      </c>
      <c r="D1142" t="s">
        <v>77</v>
      </c>
      <c r="G1142">
        <v>27</v>
      </c>
      <c r="H1142" t="s">
        <v>19</v>
      </c>
      <c r="R1142" t="str">
        <f t="shared" si="34"/>
        <v>no</v>
      </c>
      <c r="S1142" t="str">
        <f t="shared" si="35"/>
        <v>no</v>
      </c>
    </row>
    <row r="1143" spans="1:19" x14ac:dyDescent="0.35">
      <c r="A1143" s="1">
        <v>1141</v>
      </c>
      <c r="B1143" t="s">
        <v>829</v>
      </c>
      <c r="C1143" t="s">
        <v>76</v>
      </c>
      <c r="D1143" t="s">
        <v>78</v>
      </c>
      <c r="E1143">
        <v>1</v>
      </c>
      <c r="F1143">
        <v>0</v>
      </c>
      <c r="G1143">
        <v>27</v>
      </c>
      <c r="H1143" t="s">
        <v>19</v>
      </c>
      <c r="M1143">
        <v>1</v>
      </c>
      <c r="N1143">
        <v>1</v>
      </c>
      <c r="O1143">
        <v>0</v>
      </c>
      <c r="P1143" t="s">
        <v>21</v>
      </c>
      <c r="R1143" t="str">
        <f t="shared" si="34"/>
        <v>no</v>
      </c>
      <c r="S1143" t="str">
        <f t="shared" si="35"/>
        <v>no</v>
      </c>
    </row>
    <row r="1144" spans="1:19" x14ac:dyDescent="0.35">
      <c r="A1144" s="1">
        <v>1142</v>
      </c>
      <c r="B1144" t="s">
        <v>829</v>
      </c>
      <c r="C1144" t="s">
        <v>76</v>
      </c>
      <c r="D1144" t="s">
        <v>79</v>
      </c>
      <c r="E1144">
        <v>1</v>
      </c>
      <c r="F1144">
        <v>0</v>
      </c>
      <c r="G1144">
        <v>27</v>
      </c>
      <c r="H1144" t="s">
        <v>19</v>
      </c>
      <c r="M1144">
        <v>1</v>
      </c>
      <c r="N1144">
        <v>1</v>
      </c>
      <c r="O1144">
        <v>0</v>
      </c>
      <c r="P1144" t="s">
        <v>21</v>
      </c>
      <c r="R1144" t="str">
        <f t="shared" si="34"/>
        <v>no</v>
      </c>
      <c r="S1144" t="str">
        <f t="shared" si="35"/>
        <v>no</v>
      </c>
    </row>
    <row r="1145" spans="1:19" x14ac:dyDescent="0.35">
      <c r="A1145" s="1">
        <v>1143</v>
      </c>
      <c r="B1145" t="s">
        <v>829</v>
      </c>
      <c r="C1145" t="s">
        <v>76</v>
      </c>
      <c r="D1145" t="s">
        <v>80</v>
      </c>
      <c r="E1145">
        <v>1</v>
      </c>
      <c r="F1145">
        <v>0</v>
      </c>
      <c r="G1145">
        <v>27</v>
      </c>
      <c r="H1145" t="s">
        <v>19</v>
      </c>
      <c r="M1145">
        <v>1</v>
      </c>
      <c r="N1145">
        <v>1</v>
      </c>
      <c r="O1145">
        <v>0</v>
      </c>
      <c r="P1145" t="s">
        <v>21</v>
      </c>
      <c r="R1145" t="str">
        <f t="shared" si="34"/>
        <v>no</v>
      </c>
      <c r="S1145" t="str">
        <f t="shared" si="35"/>
        <v>no</v>
      </c>
    </row>
    <row r="1146" spans="1:19" x14ac:dyDescent="0.35">
      <c r="A1146" s="1">
        <v>1144</v>
      </c>
      <c r="B1146" t="s">
        <v>829</v>
      </c>
      <c r="C1146" t="s">
        <v>76</v>
      </c>
      <c r="D1146" t="s">
        <v>81</v>
      </c>
      <c r="E1146">
        <v>1</v>
      </c>
      <c r="F1146">
        <v>0</v>
      </c>
      <c r="G1146">
        <v>27</v>
      </c>
      <c r="H1146" t="s">
        <v>19</v>
      </c>
      <c r="M1146">
        <v>1</v>
      </c>
      <c r="N1146">
        <v>1</v>
      </c>
      <c r="O1146">
        <v>0</v>
      </c>
      <c r="P1146" t="s">
        <v>21</v>
      </c>
      <c r="R1146" t="str">
        <f t="shared" si="34"/>
        <v>no</v>
      </c>
      <c r="S1146" t="str">
        <f t="shared" si="35"/>
        <v>no</v>
      </c>
    </row>
    <row r="1147" spans="1:19" x14ac:dyDescent="0.35">
      <c r="A1147" s="1">
        <v>1145</v>
      </c>
      <c r="B1147" t="s">
        <v>829</v>
      </c>
      <c r="C1147" t="s">
        <v>76</v>
      </c>
      <c r="D1147" t="s">
        <v>82</v>
      </c>
      <c r="E1147">
        <v>1</v>
      </c>
      <c r="F1147">
        <v>0</v>
      </c>
      <c r="G1147">
        <v>27</v>
      </c>
      <c r="H1147" t="s">
        <v>19</v>
      </c>
      <c r="M1147">
        <v>1</v>
      </c>
      <c r="N1147">
        <v>1</v>
      </c>
      <c r="O1147">
        <v>0</v>
      </c>
      <c r="P1147" t="s">
        <v>21</v>
      </c>
      <c r="R1147" t="str">
        <f t="shared" si="34"/>
        <v>no</v>
      </c>
      <c r="S1147" t="str">
        <f t="shared" si="35"/>
        <v>no</v>
      </c>
    </row>
    <row r="1148" spans="1:19" x14ac:dyDescent="0.35">
      <c r="A1148" s="1">
        <v>1146</v>
      </c>
      <c r="B1148" t="s">
        <v>829</v>
      </c>
      <c r="C1148" t="s">
        <v>76</v>
      </c>
      <c r="D1148" t="s">
        <v>83</v>
      </c>
      <c r="E1148">
        <v>1</v>
      </c>
      <c r="F1148">
        <v>0</v>
      </c>
      <c r="G1148">
        <v>27</v>
      </c>
      <c r="H1148" t="s">
        <v>19</v>
      </c>
      <c r="M1148">
        <v>1</v>
      </c>
      <c r="N1148">
        <v>1</v>
      </c>
      <c r="O1148">
        <v>0</v>
      </c>
      <c r="P1148" t="s">
        <v>21</v>
      </c>
      <c r="R1148" t="str">
        <f t="shared" si="34"/>
        <v>no</v>
      </c>
      <c r="S1148" t="str">
        <f t="shared" si="35"/>
        <v>no</v>
      </c>
    </row>
    <row r="1149" spans="1:19" x14ac:dyDescent="0.35">
      <c r="A1149" s="1">
        <v>1147</v>
      </c>
      <c r="B1149" t="s">
        <v>829</v>
      </c>
      <c r="C1149" t="s">
        <v>76</v>
      </c>
      <c r="D1149" t="s">
        <v>84</v>
      </c>
      <c r="E1149">
        <v>1</v>
      </c>
      <c r="F1149">
        <v>0</v>
      </c>
      <c r="G1149">
        <v>27</v>
      </c>
      <c r="H1149" t="s">
        <v>19</v>
      </c>
      <c r="M1149">
        <v>1</v>
      </c>
      <c r="N1149">
        <v>1</v>
      </c>
      <c r="O1149">
        <v>0</v>
      </c>
      <c r="P1149" t="s">
        <v>21</v>
      </c>
      <c r="R1149" t="str">
        <f t="shared" si="34"/>
        <v>no</v>
      </c>
      <c r="S1149" t="str">
        <f t="shared" si="35"/>
        <v>no</v>
      </c>
    </row>
    <row r="1150" spans="1:19" x14ac:dyDescent="0.35">
      <c r="A1150" s="1">
        <v>1148</v>
      </c>
      <c r="B1150" t="s">
        <v>829</v>
      </c>
      <c r="C1150" t="s">
        <v>76</v>
      </c>
      <c r="D1150" t="s">
        <v>85</v>
      </c>
      <c r="E1150">
        <v>48.398895208641967</v>
      </c>
      <c r="F1150">
        <v>3.508381603602404</v>
      </c>
      <c r="G1150">
        <v>27</v>
      </c>
      <c r="H1150" t="s">
        <v>19</v>
      </c>
      <c r="M1150">
        <v>55.415658415846778</v>
      </c>
      <c r="N1150">
        <v>41.382132001437157</v>
      </c>
      <c r="O1150">
        <v>14.03352641440962</v>
      </c>
      <c r="P1150">
        <v>13.795219755726119</v>
      </c>
      <c r="R1150" t="str">
        <f t="shared" si="34"/>
        <v>no</v>
      </c>
      <c r="S1150" t="str">
        <f t="shared" si="35"/>
        <v>no</v>
      </c>
    </row>
    <row r="1151" spans="1:19" x14ac:dyDescent="0.35">
      <c r="A1151" s="1">
        <v>1149</v>
      </c>
      <c r="B1151" t="s">
        <v>829</v>
      </c>
      <c r="C1151" t="s">
        <v>76</v>
      </c>
      <c r="D1151" t="s">
        <v>86</v>
      </c>
      <c r="G1151">
        <v>27</v>
      </c>
      <c r="H1151" t="s">
        <v>19</v>
      </c>
      <c r="R1151" t="str">
        <f t="shared" si="34"/>
        <v>no</v>
      </c>
      <c r="S1151" t="str">
        <f t="shared" si="35"/>
        <v>no</v>
      </c>
    </row>
    <row r="1152" spans="1:19" x14ac:dyDescent="0.35">
      <c r="A1152" s="1">
        <v>1150</v>
      </c>
      <c r="B1152" t="s">
        <v>829</v>
      </c>
      <c r="C1152" t="s">
        <v>87</v>
      </c>
      <c r="D1152" t="s">
        <v>88</v>
      </c>
      <c r="G1152">
        <v>27</v>
      </c>
      <c r="H1152" t="s">
        <v>19</v>
      </c>
      <c r="R1152" t="str">
        <f t="shared" si="34"/>
        <v>no</v>
      </c>
      <c r="S1152" t="str">
        <f t="shared" si="35"/>
        <v>no</v>
      </c>
    </row>
    <row r="1153" spans="1:19" x14ac:dyDescent="0.35">
      <c r="A1153" s="1">
        <v>1151</v>
      </c>
      <c r="B1153" t="s">
        <v>829</v>
      </c>
      <c r="C1153" t="s">
        <v>87</v>
      </c>
      <c r="D1153" t="s">
        <v>89</v>
      </c>
      <c r="E1153">
        <v>1</v>
      </c>
      <c r="F1153">
        <v>0</v>
      </c>
      <c r="G1153">
        <v>27</v>
      </c>
      <c r="H1153" t="s">
        <v>19</v>
      </c>
      <c r="M1153">
        <v>1</v>
      </c>
      <c r="N1153">
        <v>1</v>
      </c>
      <c r="O1153">
        <v>0</v>
      </c>
      <c r="P1153" t="s">
        <v>21</v>
      </c>
      <c r="R1153" t="str">
        <f t="shared" si="34"/>
        <v>no</v>
      </c>
      <c r="S1153" t="str">
        <f t="shared" si="35"/>
        <v>no</v>
      </c>
    </row>
    <row r="1154" spans="1:19" x14ac:dyDescent="0.35">
      <c r="A1154" s="1">
        <v>1152</v>
      </c>
      <c r="B1154" t="s">
        <v>829</v>
      </c>
      <c r="C1154" t="s">
        <v>87</v>
      </c>
      <c r="D1154" t="s">
        <v>90</v>
      </c>
      <c r="E1154">
        <v>1</v>
      </c>
      <c r="F1154">
        <v>0</v>
      </c>
      <c r="G1154">
        <v>27</v>
      </c>
      <c r="H1154" t="s">
        <v>19</v>
      </c>
      <c r="M1154">
        <v>1</v>
      </c>
      <c r="N1154">
        <v>1</v>
      </c>
      <c r="O1154">
        <v>0</v>
      </c>
      <c r="P1154" t="s">
        <v>21</v>
      </c>
      <c r="R1154" t="str">
        <f t="shared" si="34"/>
        <v>no</v>
      </c>
      <c r="S1154" t="str">
        <f t="shared" si="35"/>
        <v>no</v>
      </c>
    </row>
    <row r="1155" spans="1:19" x14ac:dyDescent="0.35">
      <c r="A1155" s="1">
        <v>1153</v>
      </c>
      <c r="B1155" t="s">
        <v>829</v>
      </c>
      <c r="C1155" t="s">
        <v>87</v>
      </c>
      <c r="D1155" t="s">
        <v>91</v>
      </c>
      <c r="G1155">
        <v>27</v>
      </c>
      <c r="H1155" t="s">
        <v>19</v>
      </c>
      <c r="R1155" t="str">
        <f t="shared" ref="R1155:R1218" si="36">IF(H1155="yes","yes","no")</f>
        <v>no</v>
      </c>
      <c r="S1155" t="str">
        <f t="shared" ref="S1155:S1218" si="37">IF(I1155,"yes","no")</f>
        <v>no</v>
      </c>
    </row>
    <row r="1156" spans="1:19" x14ac:dyDescent="0.35">
      <c r="A1156" s="1">
        <v>1154</v>
      </c>
      <c r="B1156" t="s">
        <v>829</v>
      </c>
      <c r="C1156" t="s">
        <v>87</v>
      </c>
      <c r="D1156" t="s">
        <v>92</v>
      </c>
      <c r="E1156">
        <v>35.836111111111109</v>
      </c>
      <c r="F1156">
        <v>4.1147458443690734</v>
      </c>
      <c r="G1156">
        <v>27</v>
      </c>
      <c r="H1156" t="s">
        <v>19</v>
      </c>
      <c r="M1156">
        <v>44.065602799849259</v>
      </c>
      <c r="N1156">
        <v>27.606619422372962</v>
      </c>
      <c r="O1156">
        <v>16.458983377476301</v>
      </c>
      <c r="P1156">
        <v>8.7091918836620081</v>
      </c>
      <c r="R1156" t="str">
        <f t="shared" si="36"/>
        <v>no</v>
      </c>
      <c r="S1156" t="str">
        <f t="shared" si="37"/>
        <v>no</v>
      </c>
    </row>
    <row r="1157" spans="1:19" x14ac:dyDescent="0.35">
      <c r="A1157" s="1">
        <v>1155</v>
      </c>
      <c r="B1157" t="s">
        <v>829</v>
      </c>
      <c r="C1157" t="s">
        <v>87</v>
      </c>
      <c r="D1157" t="s">
        <v>93</v>
      </c>
      <c r="E1157">
        <v>37.305555555555557</v>
      </c>
      <c r="F1157">
        <v>4.087775765730167</v>
      </c>
      <c r="G1157">
        <v>27</v>
      </c>
      <c r="H1157" t="s">
        <v>19</v>
      </c>
      <c r="M1157">
        <v>45.481107087015893</v>
      </c>
      <c r="N1157">
        <v>29.130004024095221</v>
      </c>
      <c r="O1157">
        <v>16.351103062920672</v>
      </c>
      <c r="P1157">
        <v>9.1261257205706734</v>
      </c>
      <c r="R1157" t="str">
        <f t="shared" si="36"/>
        <v>no</v>
      </c>
      <c r="S1157" t="str">
        <f t="shared" si="37"/>
        <v>no</v>
      </c>
    </row>
    <row r="1158" spans="1:19" x14ac:dyDescent="0.35">
      <c r="A1158" s="1">
        <v>1156</v>
      </c>
      <c r="B1158" t="s">
        <v>829</v>
      </c>
      <c r="C1158" t="s">
        <v>94</v>
      </c>
      <c r="D1158" t="s">
        <v>95</v>
      </c>
      <c r="E1158">
        <v>32.390012020987648</v>
      </c>
      <c r="F1158">
        <v>3.2190158864685992</v>
      </c>
      <c r="G1158">
        <v>27</v>
      </c>
      <c r="H1158" t="s">
        <v>19</v>
      </c>
      <c r="M1158">
        <v>38.828043793924849</v>
      </c>
      <c r="N1158">
        <v>25.95198024805045</v>
      </c>
      <c r="O1158">
        <v>12.8760635458744</v>
      </c>
      <c r="P1158">
        <v>10.06208517240991</v>
      </c>
      <c r="R1158" t="str">
        <f t="shared" si="36"/>
        <v>no</v>
      </c>
      <c r="S1158" t="str">
        <f t="shared" si="37"/>
        <v>no</v>
      </c>
    </row>
    <row r="1159" spans="1:19" x14ac:dyDescent="0.35">
      <c r="A1159" s="1">
        <v>1157</v>
      </c>
      <c r="B1159" t="s">
        <v>829</v>
      </c>
      <c r="C1159" t="s">
        <v>94</v>
      </c>
      <c r="D1159" t="s">
        <v>96</v>
      </c>
      <c r="E1159">
        <v>60</v>
      </c>
      <c r="F1159">
        <v>0</v>
      </c>
      <c r="G1159">
        <v>27</v>
      </c>
      <c r="H1159" t="s">
        <v>19</v>
      </c>
      <c r="M1159">
        <v>60</v>
      </c>
      <c r="N1159">
        <v>60</v>
      </c>
      <c r="O1159">
        <v>0</v>
      </c>
      <c r="P1159" t="s">
        <v>21</v>
      </c>
      <c r="R1159" t="str">
        <f t="shared" si="36"/>
        <v>no</v>
      </c>
      <c r="S1159" t="str">
        <f t="shared" si="37"/>
        <v>no</v>
      </c>
    </row>
    <row r="1160" spans="1:19" x14ac:dyDescent="0.35">
      <c r="A1160" s="1">
        <v>1158</v>
      </c>
      <c r="B1160" t="s">
        <v>829</v>
      </c>
      <c r="C1160" t="s">
        <v>94</v>
      </c>
      <c r="D1160" t="s">
        <v>97</v>
      </c>
      <c r="E1160">
        <v>34.844667435802457</v>
      </c>
      <c r="F1160">
        <v>3.8092287991949072</v>
      </c>
      <c r="G1160">
        <v>27</v>
      </c>
      <c r="H1160" t="s">
        <v>19</v>
      </c>
      <c r="M1160">
        <v>42.463125034192267</v>
      </c>
      <c r="N1160">
        <v>27.22620983741264</v>
      </c>
      <c r="O1160">
        <v>15.236915196779631</v>
      </c>
      <c r="P1160">
        <v>9.1474335810878546</v>
      </c>
      <c r="R1160" t="str">
        <f t="shared" si="36"/>
        <v>no</v>
      </c>
      <c r="S1160" t="str">
        <f t="shared" si="37"/>
        <v>no</v>
      </c>
    </row>
    <row r="1161" spans="1:19" x14ac:dyDescent="0.35">
      <c r="A1161" s="1">
        <v>1159</v>
      </c>
      <c r="B1161" t="s">
        <v>829</v>
      </c>
      <c r="C1161" t="s">
        <v>94</v>
      </c>
      <c r="D1161" t="s">
        <v>98</v>
      </c>
      <c r="E1161">
        <v>29.935356666666671</v>
      </c>
      <c r="F1161">
        <v>2.6687437053481688</v>
      </c>
      <c r="G1161">
        <v>27</v>
      </c>
      <c r="H1161" t="s">
        <v>19</v>
      </c>
      <c r="M1161">
        <v>35.272844077363011</v>
      </c>
      <c r="N1161">
        <v>24.59786925597033</v>
      </c>
      <c r="O1161">
        <v>10.674974821392681</v>
      </c>
      <c r="P1161">
        <v>11.217021929335569</v>
      </c>
      <c r="R1161" t="str">
        <f t="shared" si="36"/>
        <v>no</v>
      </c>
      <c r="S1161" t="str">
        <f t="shared" si="37"/>
        <v>no</v>
      </c>
    </row>
    <row r="1162" spans="1:19" x14ac:dyDescent="0.35">
      <c r="A1162" s="1">
        <v>1160</v>
      </c>
      <c r="B1162" t="s">
        <v>829</v>
      </c>
      <c r="C1162" t="s">
        <v>99</v>
      </c>
      <c r="D1162" t="s">
        <v>100</v>
      </c>
      <c r="G1162">
        <v>27</v>
      </c>
      <c r="H1162" t="s">
        <v>19</v>
      </c>
      <c r="R1162" t="str">
        <f t="shared" si="36"/>
        <v>no</v>
      </c>
      <c r="S1162" t="str">
        <f t="shared" si="37"/>
        <v>no</v>
      </c>
    </row>
    <row r="1163" spans="1:19" x14ac:dyDescent="0.35">
      <c r="A1163" s="1">
        <v>1161</v>
      </c>
      <c r="B1163" t="s">
        <v>829</v>
      </c>
      <c r="C1163" t="s">
        <v>99</v>
      </c>
      <c r="D1163" t="s">
        <v>101</v>
      </c>
      <c r="E1163">
        <v>1</v>
      </c>
      <c r="F1163">
        <v>0</v>
      </c>
      <c r="G1163">
        <v>27</v>
      </c>
      <c r="H1163" t="s">
        <v>19</v>
      </c>
      <c r="M1163">
        <v>1</v>
      </c>
      <c r="N1163">
        <v>1</v>
      </c>
      <c r="O1163">
        <v>0</v>
      </c>
      <c r="P1163" t="s">
        <v>21</v>
      </c>
      <c r="R1163" t="str">
        <f t="shared" si="36"/>
        <v>no</v>
      </c>
      <c r="S1163" t="str">
        <f t="shared" si="37"/>
        <v>no</v>
      </c>
    </row>
    <row r="1164" spans="1:19" x14ac:dyDescent="0.35">
      <c r="A1164" s="1">
        <v>1162</v>
      </c>
      <c r="B1164" t="s">
        <v>829</v>
      </c>
      <c r="C1164" t="s">
        <v>99</v>
      </c>
      <c r="D1164" t="s">
        <v>102</v>
      </c>
      <c r="E1164">
        <v>1</v>
      </c>
      <c r="F1164">
        <v>0</v>
      </c>
      <c r="G1164">
        <v>27</v>
      </c>
      <c r="H1164" t="s">
        <v>19</v>
      </c>
      <c r="M1164">
        <v>1</v>
      </c>
      <c r="N1164">
        <v>1</v>
      </c>
      <c r="O1164">
        <v>0</v>
      </c>
      <c r="P1164" t="s">
        <v>21</v>
      </c>
      <c r="R1164" t="str">
        <f t="shared" si="36"/>
        <v>no</v>
      </c>
      <c r="S1164" t="str">
        <f t="shared" si="37"/>
        <v>no</v>
      </c>
    </row>
    <row r="1165" spans="1:19" x14ac:dyDescent="0.35">
      <c r="A1165" s="1">
        <v>1163</v>
      </c>
      <c r="B1165" t="s">
        <v>829</v>
      </c>
      <c r="C1165" t="s">
        <v>99</v>
      </c>
      <c r="D1165" t="s">
        <v>103</v>
      </c>
      <c r="E1165">
        <v>1</v>
      </c>
      <c r="F1165">
        <v>0</v>
      </c>
      <c r="G1165">
        <v>27</v>
      </c>
      <c r="H1165" t="s">
        <v>19</v>
      </c>
      <c r="M1165">
        <v>1</v>
      </c>
      <c r="N1165">
        <v>1</v>
      </c>
      <c r="O1165">
        <v>0</v>
      </c>
      <c r="P1165" t="s">
        <v>21</v>
      </c>
      <c r="R1165" t="str">
        <f t="shared" si="36"/>
        <v>no</v>
      </c>
      <c r="S1165" t="str">
        <f t="shared" si="37"/>
        <v>no</v>
      </c>
    </row>
    <row r="1166" spans="1:19" x14ac:dyDescent="0.35">
      <c r="A1166" s="1">
        <v>1164</v>
      </c>
      <c r="B1166" t="s">
        <v>829</v>
      </c>
      <c r="C1166" t="s">
        <v>99</v>
      </c>
      <c r="D1166" t="s">
        <v>104</v>
      </c>
      <c r="E1166">
        <v>1</v>
      </c>
      <c r="F1166">
        <v>0</v>
      </c>
      <c r="G1166">
        <v>27</v>
      </c>
      <c r="H1166" t="s">
        <v>19</v>
      </c>
      <c r="M1166">
        <v>1</v>
      </c>
      <c r="N1166">
        <v>1</v>
      </c>
      <c r="O1166">
        <v>0</v>
      </c>
      <c r="P1166" t="s">
        <v>21</v>
      </c>
      <c r="R1166" t="str">
        <f t="shared" si="36"/>
        <v>no</v>
      </c>
      <c r="S1166" t="str">
        <f t="shared" si="37"/>
        <v>no</v>
      </c>
    </row>
    <row r="1167" spans="1:19" x14ac:dyDescent="0.35">
      <c r="A1167" s="1">
        <v>1165</v>
      </c>
      <c r="B1167" t="s">
        <v>829</v>
      </c>
      <c r="C1167" t="s">
        <v>99</v>
      </c>
      <c r="D1167" t="s">
        <v>105</v>
      </c>
      <c r="E1167">
        <v>42.828395061728401</v>
      </c>
      <c r="F1167">
        <v>6.4137556420875628</v>
      </c>
      <c r="G1167">
        <v>27</v>
      </c>
      <c r="H1167" t="s">
        <v>19</v>
      </c>
      <c r="M1167">
        <v>55.655906345903517</v>
      </c>
      <c r="N1167">
        <v>30.00088377755328</v>
      </c>
      <c r="O1167">
        <v>25.655022568350251</v>
      </c>
      <c r="P1167">
        <v>6.6775844687136416</v>
      </c>
      <c r="R1167" t="str">
        <f t="shared" si="36"/>
        <v>no</v>
      </c>
      <c r="S1167" t="str">
        <f t="shared" si="37"/>
        <v>no</v>
      </c>
    </row>
    <row r="1168" spans="1:19" x14ac:dyDescent="0.35">
      <c r="A1168" s="1">
        <v>1166</v>
      </c>
      <c r="B1168" t="s">
        <v>829</v>
      </c>
      <c r="C1168" t="s">
        <v>99</v>
      </c>
      <c r="D1168" t="s">
        <v>106</v>
      </c>
      <c r="E1168">
        <v>42.027160493827161</v>
      </c>
      <c r="F1168">
        <v>5.8162710572076382</v>
      </c>
      <c r="G1168">
        <v>27</v>
      </c>
      <c r="H1168" t="s">
        <v>19</v>
      </c>
      <c r="M1168">
        <v>53.659702608242441</v>
      </c>
      <c r="N1168">
        <v>30.394618379411881</v>
      </c>
      <c r="O1168">
        <v>23.26508422883056</v>
      </c>
      <c r="P1168">
        <v>7.2257912467381091</v>
      </c>
      <c r="R1168" t="str">
        <f t="shared" si="36"/>
        <v>no</v>
      </c>
      <c r="S1168" t="str">
        <f t="shared" si="37"/>
        <v>no</v>
      </c>
    </row>
    <row r="1169" spans="1:19" x14ac:dyDescent="0.35">
      <c r="A1169" s="1">
        <v>1167</v>
      </c>
      <c r="B1169" t="s">
        <v>829</v>
      </c>
      <c r="C1169" t="s">
        <v>99</v>
      </c>
      <c r="D1169" t="s">
        <v>107</v>
      </c>
      <c r="G1169">
        <v>27</v>
      </c>
      <c r="H1169" t="s">
        <v>19</v>
      </c>
      <c r="R1169" t="str">
        <f t="shared" si="36"/>
        <v>no</v>
      </c>
      <c r="S1169" t="str">
        <f t="shared" si="37"/>
        <v>no</v>
      </c>
    </row>
    <row r="1170" spans="1:19" x14ac:dyDescent="0.35">
      <c r="A1170" s="1">
        <v>1168</v>
      </c>
      <c r="B1170" t="s">
        <v>829</v>
      </c>
      <c r="C1170" t="s">
        <v>99</v>
      </c>
      <c r="D1170" t="s">
        <v>108</v>
      </c>
      <c r="E1170">
        <v>1</v>
      </c>
      <c r="F1170">
        <v>0</v>
      </c>
      <c r="G1170">
        <v>27</v>
      </c>
      <c r="H1170" t="s">
        <v>19</v>
      </c>
      <c r="M1170">
        <v>1</v>
      </c>
      <c r="N1170">
        <v>1</v>
      </c>
      <c r="O1170">
        <v>0</v>
      </c>
      <c r="P1170" t="s">
        <v>21</v>
      </c>
      <c r="R1170" t="str">
        <f t="shared" si="36"/>
        <v>no</v>
      </c>
      <c r="S1170" t="str">
        <f t="shared" si="37"/>
        <v>no</v>
      </c>
    </row>
    <row r="1171" spans="1:19" x14ac:dyDescent="0.35">
      <c r="A1171" s="1">
        <v>1169</v>
      </c>
      <c r="B1171" t="s">
        <v>829</v>
      </c>
      <c r="C1171" t="s">
        <v>99</v>
      </c>
      <c r="D1171" t="s">
        <v>109</v>
      </c>
      <c r="E1171">
        <v>1</v>
      </c>
      <c r="F1171">
        <v>0</v>
      </c>
      <c r="G1171">
        <v>27</v>
      </c>
      <c r="H1171" t="s">
        <v>19</v>
      </c>
      <c r="M1171">
        <v>1</v>
      </c>
      <c r="N1171">
        <v>1</v>
      </c>
      <c r="O1171">
        <v>0</v>
      </c>
      <c r="P1171" t="s">
        <v>21</v>
      </c>
      <c r="R1171" t="str">
        <f t="shared" si="36"/>
        <v>no</v>
      </c>
      <c r="S1171" t="str">
        <f t="shared" si="37"/>
        <v>no</v>
      </c>
    </row>
    <row r="1172" spans="1:19" x14ac:dyDescent="0.35">
      <c r="A1172" s="1">
        <v>1170</v>
      </c>
      <c r="B1172" t="s">
        <v>829</v>
      </c>
      <c r="C1172" t="s">
        <v>99</v>
      </c>
      <c r="D1172" t="s">
        <v>110</v>
      </c>
      <c r="E1172">
        <v>1</v>
      </c>
      <c r="F1172">
        <v>0</v>
      </c>
      <c r="G1172">
        <v>27</v>
      </c>
      <c r="H1172" t="s">
        <v>19</v>
      </c>
      <c r="M1172">
        <v>1</v>
      </c>
      <c r="N1172">
        <v>1</v>
      </c>
      <c r="O1172">
        <v>0</v>
      </c>
      <c r="P1172" t="s">
        <v>21</v>
      </c>
      <c r="R1172" t="str">
        <f t="shared" si="36"/>
        <v>no</v>
      </c>
      <c r="S1172" t="str">
        <f t="shared" si="37"/>
        <v>no</v>
      </c>
    </row>
    <row r="1173" spans="1:19" x14ac:dyDescent="0.35">
      <c r="A1173" s="1">
        <v>1171</v>
      </c>
      <c r="B1173" t="s">
        <v>829</v>
      </c>
      <c r="C1173" t="s">
        <v>99</v>
      </c>
      <c r="D1173" t="s">
        <v>111</v>
      </c>
      <c r="E1173">
        <v>1</v>
      </c>
      <c r="F1173">
        <v>0</v>
      </c>
      <c r="G1173">
        <v>27</v>
      </c>
      <c r="H1173" t="s">
        <v>19</v>
      </c>
      <c r="M1173">
        <v>1</v>
      </c>
      <c r="N1173">
        <v>1</v>
      </c>
      <c r="O1173">
        <v>0</v>
      </c>
      <c r="P1173" t="s">
        <v>21</v>
      </c>
      <c r="R1173" t="str">
        <f t="shared" si="36"/>
        <v>no</v>
      </c>
      <c r="S1173" t="str">
        <f t="shared" si="37"/>
        <v>no</v>
      </c>
    </row>
    <row r="1174" spans="1:19" x14ac:dyDescent="0.35">
      <c r="A1174" s="1">
        <v>1172</v>
      </c>
      <c r="B1174" t="s">
        <v>829</v>
      </c>
      <c r="C1174" t="s">
        <v>99</v>
      </c>
      <c r="D1174" t="s">
        <v>112</v>
      </c>
      <c r="E1174">
        <v>41.513580246913577</v>
      </c>
      <c r="F1174">
        <v>6.8104540129895472</v>
      </c>
      <c r="G1174">
        <v>27</v>
      </c>
      <c r="H1174" t="s">
        <v>19</v>
      </c>
      <c r="M1174">
        <v>55.134488272892668</v>
      </c>
      <c r="N1174">
        <v>27.892672220934479</v>
      </c>
      <c r="O1174">
        <v>27.241816051958189</v>
      </c>
      <c r="P1174">
        <v>6.0955672217644992</v>
      </c>
      <c r="R1174" t="str">
        <f t="shared" si="36"/>
        <v>no</v>
      </c>
      <c r="S1174" t="str">
        <f t="shared" si="37"/>
        <v>no</v>
      </c>
    </row>
    <row r="1175" spans="1:19" x14ac:dyDescent="0.35">
      <c r="A1175" s="1">
        <v>1173</v>
      </c>
      <c r="B1175" t="s">
        <v>829</v>
      </c>
      <c r="C1175" t="s">
        <v>99</v>
      </c>
      <c r="D1175" t="s">
        <v>113</v>
      </c>
      <c r="E1175">
        <v>42.480246913580253</v>
      </c>
      <c r="F1175">
        <v>5.4044257984052102</v>
      </c>
      <c r="G1175">
        <v>27</v>
      </c>
      <c r="H1175" t="s">
        <v>19</v>
      </c>
      <c r="M1175">
        <v>53.289098510390673</v>
      </c>
      <c r="N1175">
        <v>31.671395316769829</v>
      </c>
      <c r="O1175">
        <v>21.617703193620841</v>
      </c>
      <c r="P1175">
        <v>7.8602701745143273</v>
      </c>
      <c r="R1175" t="str">
        <f t="shared" si="36"/>
        <v>no</v>
      </c>
      <c r="S1175" t="str">
        <f t="shared" si="37"/>
        <v>no</v>
      </c>
    </row>
    <row r="1176" spans="1:19" x14ac:dyDescent="0.35">
      <c r="A1176" s="1">
        <v>1174</v>
      </c>
      <c r="B1176" t="s">
        <v>829</v>
      </c>
      <c r="C1176" t="s">
        <v>99</v>
      </c>
      <c r="D1176" t="s">
        <v>114</v>
      </c>
      <c r="G1176">
        <v>27</v>
      </c>
      <c r="H1176" t="s">
        <v>19</v>
      </c>
      <c r="R1176" t="str">
        <f t="shared" si="36"/>
        <v>no</v>
      </c>
      <c r="S1176" t="str">
        <f t="shared" si="37"/>
        <v>no</v>
      </c>
    </row>
    <row r="1177" spans="1:19" x14ac:dyDescent="0.35">
      <c r="A1177" s="1">
        <v>1175</v>
      </c>
      <c r="B1177" t="s">
        <v>829</v>
      </c>
      <c r="C1177" t="s">
        <v>99</v>
      </c>
      <c r="D1177" t="s">
        <v>115</v>
      </c>
      <c r="E1177">
        <v>1</v>
      </c>
      <c r="F1177">
        <v>0</v>
      </c>
      <c r="G1177">
        <v>27</v>
      </c>
      <c r="H1177" t="s">
        <v>19</v>
      </c>
      <c r="M1177">
        <v>1</v>
      </c>
      <c r="N1177">
        <v>1</v>
      </c>
      <c r="O1177">
        <v>0</v>
      </c>
      <c r="P1177" t="s">
        <v>21</v>
      </c>
      <c r="R1177" t="str">
        <f t="shared" si="36"/>
        <v>no</v>
      </c>
      <c r="S1177" t="str">
        <f t="shared" si="37"/>
        <v>no</v>
      </c>
    </row>
    <row r="1178" spans="1:19" x14ac:dyDescent="0.35">
      <c r="A1178" s="1">
        <v>1176</v>
      </c>
      <c r="B1178" t="s">
        <v>829</v>
      </c>
      <c r="C1178" t="s">
        <v>99</v>
      </c>
      <c r="D1178" t="s">
        <v>116</v>
      </c>
      <c r="E1178">
        <v>1</v>
      </c>
      <c r="F1178">
        <v>0</v>
      </c>
      <c r="G1178">
        <v>27</v>
      </c>
      <c r="H1178" t="s">
        <v>19</v>
      </c>
      <c r="M1178">
        <v>1</v>
      </c>
      <c r="N1178">
        <v>1</v>
      </c>
      <c r="O1178">
        <v>0</v>
      </c>
      <c r="P1178" t="s">
        <v>21</v>
      </c>
      <c r="R1178" t="str">
        <f t="shared" si="36"/>
        <v>no</v>
      </c>
      <c r="S1178" t="str">
        <f t="shared" si="37"/>
        <v>no</v>
      </c>
    </row>
    <row r="1179" spans="1:19" x14ac:dyDescent="0.35">
      <c r="A1179" s="1">
        <v>1177</v>
      </c>
      <c r="B1179" t="s">
        <v>829</v>
      </c>
      <c r="C1179" t="s">
        <v>99</v>
      </c>
      <c r="D1179" t="s">
        <v>117</v>
      </c>
      <c r="E1179">
        <v>1</v>
      </c>
      <c r="F1179">
        <v>0</v>
      </c>
      <c r="G1179">
        <v>27</v>
      </c>
      <c r="H1179" t="s">
        <v>19</v>
      </c>
      <c r="M1179">
        <v>1</v>
      </c>
      <c r="N1179">
        <v>1</v>
      </c>
      <c r="O1179">
        <v>0</v>
      </c>
      <c r="P1179" t="s">
        <v>21</v>
      </c>
      <c r="R1179" t="str">
        <f t="shared" si="36"/>
        <v>no</v>
      </c>
      <c r="S1179" t="str">
        <f t="shared" si="37"/>
        <v>no</v>
      </c>
    </row>
    <row r="1180" spans="1:19" x14ac:dyDescent="0.35">
      <c r="A1180" s="1">
        <v>1178</v>
      </c>
      <c r="B1180" t="s">
        <v>829</v>
      </c>
      <c r="C1180" t="s">
        <v>99</v>
      </c>
      <c r="D1180" t="s">
        <v>118</v>
      </c>
      <c r="E1180">
        <v>1</v>
      </c>
      <c r="F1180">
        <v>0</v>
      </c>
      <c r="G1180">
        <v>27</v>
      </c>
      <c r="H1180" t="s">
        <v>19</v>
      </c>
      <c r="M1180">
        <v>1</v>
      </c>
      <c r="N1180">
        <v>1</v>
      </c>
      <c r="O1180">
        <v>0</v>
      </c>
      <c r="P1180" t="s">
        <v>21</v>
      </c>
      <c r="R1180" t="str">
        <f t="shared" si="36"/>
        <v>no</v>
      </c>
      <c r="S1180" t="str">
        <f t="shared" si="37"/>
        <v>no</v>
      </c>
    </row>
    <row r="1181" spans="1:19" x14ac:dyDescent="0.35">
      <c r="A1181" s="1">
        <v>1179</v>
      </c>
      <c r="B1181" t="s">
        <v>829</v>
      </c>
      <c r="C1181" t="s">
        <v>99</v>
      </c>
      <c r="D1181" t="s">
        <v>119</v>
      </c>
      <c r="E1181">
        <v>46.845679012345677</v>
      </c>
      <c r="F1181">
        <v>7.8558216287398936</v>
      </c>
      <c r="G1181">
        <v>27</v>
      </c>
      <c r="H1181" t="s">
        <v>19</v>
      </c>
      <c r="M1181">
        <v>62.557322269825463</v>
      </c>
      <c r="N1181">
        <v>31.134035754865891</v>
      </c>
      <c r="O1181">
        <v>31.423286514959571</v>
      </c>
      <c r="P1181">
        <v>5.9631800753933257</v>
      </c>
      <c r="R1181" t="str">
        <f t="shared" si="36"/>
        <v>no</v>
      </c>
      <c r="S1181" t="str">
        <f t="shared" si="37"/>
        <v>no</v>
      </c>
    </row>
    <row r="1182" spans="1:19" x14ac:dyDescent="0.35">
      <c r="A1182" s="1">
        <v>1180</v>
      </c>
      <c r="B1182" t="s">
        <v>829</v>
      </c>
      <c r="C1182" t="s">
        <v>99</v>
      </c>
      <c r="D1182" t="s">
        <v>120</v>
      </c>
      <c r="E1182">
        <v>45.93333333333333</v>
      </c>
      <c r="F1182">
        <v>5.6142740256402046</v>
      </c>
      <c r="G1182">
        <v>27</v>
      </c>
      <c r="H1182" t="s">
        <v>19</v>
      </c>
      <c r="M1182">
        <v>57.161881384613743</v>
      </c>
      <c r="N1182">
        <v>34.704785282052917</v>
      </c>
      <c r="O1182">
        <v>22.457096102560811</v>
      </c>
      <c r="P1182">
        <v>8.1815267875342936</v>
      </c>
      <c r="R1182" t="str">
        <f t="shared" si="36"/>
        <v>no</v>
      </c>
      <c r="S1182" t="str">
        <f t="shared" si="37"/>
        <v>no</v>
      </c>
    </row>
    <row r="1183" spans="1:19" x14ac:dyDescent="0.35">
      <c r="A1183" s="1">
        <v>1181</v>
      </c>
      <c r="B1183" t="s">
        <v>829</v>
      </c>
      <c r="C1183" t="s">
        <v>99</v>
      </c>
      <c r="D1183" t="s">
        <v>121</v>
      </c>
      <c r="G1183">
        <v>27</v>
      </c>
      <c r="H1183" t="s">
        <v>19</v>
      </c>
      <c r="R1183" t="str">
        <f t="shared" si="36"/>
        <v>no</v>
      </c>
      <c r="S1183" t="str">
        <f t="shared" si="37"/>
        <v>no</v>
      </c>
    </row>
    <row r="1184" spans="1:19" x14ac:dyDescent="0.35">
      <c r="A1184" s="1">
        <v>1182</v>
      </c>
      <c r="B1184" t="s">
        <v>829</v>
      </c>
      <c r="C1184" t="s">
        <v>99</v>
      </c>
      <c r="D1184" t="s">
        <v>122</v>
      </c>
      <c r="E1184">
        <v>1</v>
      </c>
      <c r="F1184">
        <v>0</v>
      </c>
      <c r="G1184">
        <v>27</v>
      </c>
      <c r="H1184" t="s">
        <v>19</v>
      </c>
      <c r="M1184">
        <v>1</v>
      </c>
      <c r="N1184">
        <v>1</v>
      </c>
      <c r="O1184">
        <v>0</v>
      </c>
      <c r="P1184" t="s">
        <v>21</v>
      </c>
      <c r="R1184" t="str">
        <f t="shared" si="36"/>
        <v>no</v>
      </c>
      <c r="S1184" t="str">
        <f t="shared" si="37"/>
        <v>no</v>
      </c>
    </row>
    <row r="1185" spans="1:19" x14ac:dyDescent="0.35">
      <c r="A1185" s="1">
        <v>1183</v>
      </c>
      <c r="B1185" t="s">
        <v>829</v>
      </c>
      <c r="C1185" t="s">
        <v>99</v>
      </c>
      <c r="D1185" t="s">
        <v>123</v>
      </c>
      <c r="E1185">
        <v>1</v>
      </c>
      <c r="F1185">
        <v>0</v>
      </c>
      <c r="G1185">
        <v>27</v>
      </c>
      <c r="H1185" t="s">
        <v>19</v>
      </c>
      <c r="M1185">
        <v>1</v>
      </c>
      <c r="N1185">
        <v>1</v>
      </c>
      <c r="O1185">
        <v>0</v>
      </c>
      <c r="P1185" t="s">
        <v>21</v>
      </c>
      <c r="R1185" t="str">
        <f t="shared" si="36"/>
        <v>no</v>
      </c>
      <c r="S1185" t="str">
        <f t="shared" si="37"/>
        <v>no</v>
      </c>
    </row>
    <row r="1186" spans="1:19" x14ac:dyDescent="0.35">
      <c r="A1186" s="1">
        <v>1184</v>
      </c>
      <c r="B1186" t="s">
        <v>829</v>
      </c>
      <c r="C1186" t="s">
        <v>99</v>
      </c>
      <c r="D1186" t="s">
        <v>124</v>
      </c>
      <c r="E1186">
        <v>1</v>
      </c>
      <c r="F1186">
        <v>0</v>
      </c>
      <c r="G1186">
        <v>27</v>
      </c>
      <c r="H1186" t="s">
        <v>19</v>
      </c>
      <c r="M1186">
        <v>1</v>
      </c>
      <c r="N1186">
        <v>1</v>
      </c>
      <c r="O1186">
        <v>0</v>
      </c>
      <c r="P1186" t="s">
        <v>21</v>
      </c>
      <c r="R1186" t="str">
        <f t="shared" si="36"/>
        <v>no</v>
      </c>
      <c r="S1186" t="str">
        <f t="shared" si="37"/>
        <v>no</v>
      </c>
    </row>
    <row r="1187" spans="1:19" x14ac:dyDescent="0.35">
      <c r="A1187" s="1">
        <v>1185</v>
      </c>
      <c r="B1187" t="s">
        <v>829</v>
      </c>
      <c r="C1187" t="s">
        <v>99</v>
      </c>
      <c r="D1187" t="s">
        <v>125</v>
      </c>
      <c r="E1187">
        <v>1</v>
      </c>
      <c r="F1187">
        <v>0</v>
      </c>
      <c r="G1187">
        <v>27</v>
      </c>
      <c r="H1187" t="s">
        <v>19</v>
      </c>
      <c r="M1187">
        <v>1</v>
      </c>
      <c r="N1187">
        <v>1</v>
      </c>
      <c r="O1187">
        <v>0</v>
      </c>
      <c r="P1187" t="s">
        <v>21</v>
      </c>
      <c r="R1187" t="str">
        <f t="shared" si="36"/>
        <v>no</v>
      </c>
      <c r="S1187" t="str">
        <f t="shared" si="37"/>
        <v>no</v>
      </c>
    </row>
    <row r="1188" spans="1:19" x14ac:dyDescent="0.35">
      <c r="A1188" s="1">
        <v>1186</v>
      </c>
      <c r="B1188" t="s">
        <v>829</v>
      </c>
      <c r="C1188" t="s">
        <v>99</v>
      </c>
      <c r="D1188" t="s">
        <v>126</v>
      </c>
      <c r="E1188">
        <v>44.783950617283949</v>
      </c>
      <c r="F1188">
        <v>4.7117697015593762</v>
      </c>
      <c r="G1188">
        <v>27</v>
      </c>
      <c r="H1188" t="s">
        <v>19</v>
      </c>
      <c r="M1188">
        <v>54.207490020402702</v>
      </c>
      <c r="N1188">
        <v>35.360411214165197</v>
      </c>
      <c r="O1188">
        <v>18.847078806237501</v>
      </c>
      <c r="P1188">
        <v>9.5046985429832329</v>
      </c>
      <c r="R1188" t="str">
        <f t="shared" si="36"/>
        <v>no</v>
      </c>
      <c r="S1188" t="str">
        <f t="shared" si="37"/>
        <v>no</v>
      </c>
    </row>
    <row r="1189" spans="1:19" x14ac:dyDescent="0.35">
      <c r="A1189" s="1">
        <v>1187</v>
      </c>
      <c r="B1189" t="s">
        <v>829</v>
      </c>
      <c r="C1189" t="s">
        <v>99</v>
      </c>
      <c r="D1189" t="s">
        <v>127</v>
      </c>
      <c r="E1189">
        <v>41.304938271604939</v>
      </c>
      <c r="F1189">
        <v>5.3343463808630078</v>
      </c>
      <c r="G1189">
        <v>27</v>
      </c>
      <c r="H1189" t="s">
        <v>19</v>
      </c>
      <c r="M1189">
        <v>51.973631033330953</v>
      </c>
      <c r="N1189">
        <v>30.636245509878929</v>
      </c>
      <c r="O1189">
        <v>21.337385523452031</v>
      </c>
      <c r="P1189">
        <v>7.7432051318951833</v>
      </c>
      <c r="R1189" t="str">
        <f t="shared" si="36"/>
        <v>no</v>
      </c>
      <c r="S1189" t="str">
        <f t="shared" si="37"/>
        <v>no</v>
      </c>
    </row>
    <row r="1190" spans="1:19" x14ac:dyDescent="0.35">
      <c r="A1190" s="1">
        <v>1188</v>
      </c>
      <c r="B1190" t="s">
        <v>829</v>
      </c>
      <c r="C1190" t="s">
        <v>99</v>
      </c>
      <c r="D1190" t="s">
        <v>128</v>
      </c>
      <c r="G1190">
        <v>27</v>
      </c>
      <c r="H1190" t="s">
        <v>19</v>
      </c>
      <c r="R1190" t="str">
        <f t="shared" si="36"/>
        <v>no</v>
      </c>
      <c r="S1190" t="str">
        <f t="shared" si="37"/>
        <v>no</v>
      </c>
    </row>
    <row r="1191" spans="1:19" x14ac:dyDescent="0.35">
      <c r="A1191" s="1">
        <v>1189</v>
      </c>
      <c r="B1191" t="s">
        <v>829</v>
      </c>
      <c r="C1191" t="s">
        <v>99</v>
      </c>
      <c r="D1191" t="s">
        <v>129</v>
      </c>
      <c r="E1191">
        <v>1</v>
      </c>
      <c r="F1191">
        <v>0</v>
      </c>
      <c r="G1191">
        <v>27</v>
      </c>
      <c r="H1191" t="s">
        <v>19</v>
      </c>
      <c r="M1191">
        <v>1</v>
      </c>
      <c r="N1191">
        <v>1</v>
      </c>
      <c r="O1191">
        <v>0</v>
      </c>
      <c r="P1191" t="s">
        <v>21</v>
      </c>
      <c r="R1191" t="str">
        <f t="shared" si="36"/>
        <v>no</v>
      </c>
      <c r="S1191" t="str">
        <f t="shared" si="37"/>
        <v>no</v>
      </c>
    </row>
    <row r="1192" spans="1:19" x14ac:dyDescent="0.35">
      <c r="A1192" s="1">
        <v>1190</v>
      </c>
      <c r="B1192" t="s">
        <v>829</v>
      </c>
      <c r="C1192" t="s">
        <v>99</v>
      </c>
      <c r="D1192" t="s">
        <v>130</v>
      </c>
      <c r="E1192">
        <v>1</v>
      </c>
      <c r="F1192">
        <v>0</v>
      </c>
      <c r="G1192">
        <v>27</v>
      </c>
      <c r="H1192" t="s">
        <v>19</v>
      </c>
      <c r="M1192">
        <v>1</v>
      </c>
      <c r="N1192">
        <v>1</v>
      </c>
      <c r="O1192">
        <v>0</v>
      </c>
      <c r="P1192" t="s">
        <v>21</v>
      </c>
      <c r="R1192" t="str">
        <f t="shared" si="36"/>
        <v>no</v>
      </c>
      <c r="S1192" t="str">
        <f t="shared" si="37"/>
        <v>no</v>
      </c>
    </row>
    <row r="1193" spans="1:19" x14ac:dyDescent="0.35">
      <c r="A1193" s="1">
        <v>1191</v>
      </c>
      <c r="B1193" t="s">
        <v>829</v>
      </c>
      <c r="C1193" t="s">
        <v>99</v>
      </c>
      <c r="D1193" t="s">
        <v>131</v>
      </c>
      <c r="E1193">
        <v>1</v>
      </c>
      <c r="F1193">
        <v>0</v>
      </c>
      <c r="G1193">
        <v>27</v>
      </c>
      <c r="H1193" t="s">
        <v>19</v>
      </c>
      <c r="M1193">
        <v>1</v>
      </c>
      <c r="N1193">
        <v>1</v>
      </c>
      <c r="O1193">
        <v>0</v>
      </c>
      <c r="P1193" t="s">
        <v>21</v>
      </c>
      <c r="R1193" t="str">
        <f t="shared" si="36"/>
        <v>no</v>
      </c>
      <c r="S1193" t="str">
        <f t="shared" si="37"/>
        <v>no</v>
      </c>
    </row>
    <row r="1194" spans="1:19" x14ac:dyDescent="0.35">
      <c r="A1194" s="1">
        <v>1192</v>
      </c>
      <c r="B1194" t="s">
        <v>829</v>
      </c>
      <c r="C1194" t="s">
        <v>99</v>
      </c>
      <c r="D1194" t="s">
        <v>132</v>
      </c>
      <c r="E1194">
        <v>1</v>
      </c>
      <c r="F1194">
        <v>0</v>
      </c>
      <c r="G1194">
        <v>27</v>
      </c>
      <c r="H1194" t="s">
        <v>19</v>
      </c>
      <c r="M1194">
        <v>1</v>
      </c>
      <c r="N1194">
        <v>1</v>
      </c>
      <c r="O1194">
        <v>0</v>
      </c>
      <c r="P1194" t="s">
        <v>21</v>
      </c>
      <c r="R1194" t="str">
        <f t="shared" si="36"/>
        <v>no</v>
      </c>
      <c r="S1194" t="str">
        <f t="shared" si="37"/>
        <v>no</v>
      </c>
    </row>
    <row r="1195" spans="1:19" x14ac:dyDescent="0.35">
      <c r="A1195" s="1">
        <v>1193</v>
      </c>
      <c r="B1195" t="s">
        <v>829</v>
      </c>
      <c r="C1195" t="s">
        <v>99</v>
      </c>
      <c r="D1195" t="s">
        <v>133</v>
      </c>
      <c r="E1195">
        <v>41.128395061728398</v>
      </c>
      <c r="F1195">
        <v>5.1712770273184789</v>
      </c>
      <c r="G1195">
        <v>27</v>
      </c>
      <c r="H1195" t="s">
        <v>19</v>
      </c>
      <c r="M1195">
        <v>51.470949116365347</v>
      </c>
      <c r="N1195">
        <v>30.785841007091442</v>
      </c>
      <c r="O1195">
        <v>20.685108109273909</v>
      </c>
      <c r="P1195">
        <v>7.9532376324954246</v>
      </c>
      <c r="R1195" t="str">
        <f t="shared" si="36"/>
        <v>no</v>
      </c>
      <c r="S1195" t="str">
        <f t="shared" si="37"/>
        <v>no</v>
      </c>
    </row>
    <row r="1196" spans="1:19" x14ac:dyDescent="0.35">
      <c r="A1196" s="1">
        <v>1194</v>
      </c>
      <c r="B1196" t="s">
        <v>829</v>
      </c>
      <c r="C1196" t="s">
        <v>99</v>
      </c>
      <c r="D1196" t="s">
        <v>134</v>
      </c>
      <c r="E1196">
        <v>43.528395061728403</v>
      </c>
      <c r="F1196">
        <v>6.4735922767604528</v>
      </c>
      <c r="G1196">
        <v>27</v>
      </c>
      <c r="H1196" t="s">
        <v>19</v>
      </c>
      <c r="M1196">
        <v>56.475579615249309</v>
      </c>
      <c r="N1196">
        <v>30.581210508207501</v>
      </c>
      <c r="O1196">
        <v>25.894369107041811</v>
      </c>
      <c r="P1196">
        <v>6.7239939126211237</v>
      </c>
      <c r="R1196" t="str">
        <f t="shared" si="36"/>
        <v>no</v>
      </c>
      <c r="S1196" t="str">
        <f t="shared" si="37"/>
        <v>no</v>
      </c>
    </row>
    <row r="1197" spans="1:19" x14ac:dyDescent="0.35">
      <c r="A1197" s="1">
        <v>1195</v>
      </c>
      <c r="B1197" t="s">
        <v>829</v>
      </c>
      <c r="C1197" t="s">
        <v>99</v>
      </c>
      <c r="D1197" t="s">
        <v>135</v>
      </c>
      <c r="G1197">
        <v>27</v>
      </c>
      <c r="H1197" t="s">
        <v>19</v>
      </c>
      <c r="R1197" t="str">
        <f t="shared" si="36"/>
        <v>no</v>
      </c>
      <c r="S1197" t="str">
        <f t="shared" si="37"/>
        <v>no</v>
      </c>
    </row>
    <row r="1198" spans="1:19" x14ac:dyDescent="0.35">
      <c r="A1198" s="1">
        <v>1196</v>
      </c>
      <c r="B1198" t="s">
        <v>829</v>
      </c>
      <c r="C1198" t="s">
        <v>99</v>
      </c>
      <c r="D1198" t="s">
        <v>136</v>
      </c>
      <c r="E1198">
        <v>1</v>
      </c>
      <c r="F1198">
        <v>0</v>
      </c>
      <c r="G1198">
        <v>27</v>
      </c>
      <c r="H1198" t="s">
        <v>19</v>
      </c>
      <c r="M1198">
        <v>1</v>
      </c>
      <c r="N1198">
        <v>1</v>
      </c>
      <c r="O1198">
        <v>0</v>
      </c>
      <c r="P1198" t="s">
        <v>21</v>
      </c>
      <c r="R1198" t="str">
        <f t="shared" si="36"/>
        <v>no</v>
      </c>
      <c r="S1198" t="str">
        <f t="shared" si="37"/>
        <v>no</v>
      </c>
    </row>
    <row r="1199" spans="1:19" x14ac:dyDescent="0.35">
      <c r="A1199" s="1">
        <v>1197</v>
      </c>
      <c r="B1199" t="s">
        <v>829</v>
      </c>
      <c r="C1199" t="s">
        <v>99</v>
      </c>
      <c r="D1199" t="s">
        <v>137</v>
      </c>
      <c r="E1199">
        <v>1</v>
      </c>
      <c r="F1199">
        <v>0</v>
      </c>
      <c r="G1199">
        <v>27</v>
      </c>
      <c r="H1199" t="s">
        <v>19</v>
      </c>
      <c r="M1199">
        <v>1</v>
      </c>
      <c r="N1199">
        <v>1</v>
      </c>
      <c r="O1199">
        <v>0</v>
      </c>
      <c r="P1199" t="s">
        <v>21</v>
      </c>
      <c r="R1199" t="str">
        <f t="shared" si="36"/>
        <v>no</v>
      </c>
      <c r="S1199" t="str">
        <f t="shared" si="37"/>
        <v>no</v>
      </c>
    </row>
    <row r="1200" spans="1:19" x14ac:dyDescent="0.35">
      <c r="A1200" s="1">
        <v>1198</v>
      </c>
      <c r="B1200" t="s">
        <v>829</v>
      </c>
      <c r="C1200" t="s">
        <v>99</v>
      </c>
      <c r="D1200" t="s">
        <v>138</v>
      </c>
      <c r="E1200">
        <v>1</v>
      </c>
      <c r="F1200">
        <v>0</v>
      </c>
      <c r="G1200">
        <v>27</v>
      </c>
      <c r="H1200" t="s">
        <v>19</v>
      </c>
      <c r="M1200">
        <v>1</v>
      </c>
      <c r="N1200">
        <v>1</v>
      </c>
      <c r="O1200">
        <v>0</v>
      </c>
      <c r="P1200" t="s">
        <v>21</v>
      </c>
      <c r="R1200" t="str">
        <f t="shared" si="36"/>
        <v>no</v>
      </c>
      <c r="S1200" t="str">
        <f t="shared" si="37"/>
        <v>no</v>
      </c>
    </row>
    <row r="1201" spans="1:19" x14ac:dyDescent="0.35">
      <c r="A1201" s="1">
        <v>1199</v>
      </c>
      <c r="B1201" t="s">
        <v>829</v>
      </c>
      <c r="C1201" t="s">
        <v>99</v>
      </c>
      <c r="D1201" t="s">
        <v>139</v>
      </c>
      <c r="E1201">
        <v>1</v>
      </c>
      <c r="F1201">
        <v>0</v>
      </c>
      <c r="G1201">
        <v>27</v>
      </c>
      <c r="H1201" t="s">
        <v>19</v>
      </c>
      <c r="M1201">
        <v>1</v>
      </c>
      <c r="N1201">
        <v>1</v>
      </c>
      <c r="O1201">
        <v>0</v>
      </c>
      <c r="P1201" t="s">
        <v>21</v>
      </c>
      <c r="R1201" t="str">
        <f t="shared" si="36"/>
        <v>no</v>
      </c>
      <c r="S1201" t="str">
        <f t="shared" si="37"/>
        <v>no</v>
      </c>
    </row>
    <row r="1202" spans="1:19" x14ac:dyDescent="0.35">
      <c r="A1202" s="1">
        <v>1200</v>
      </c>
      <c r="B1202" t="s">
        <v>829</v>
      </c>
      <c r="C1202" t="s">
        <v>99</v>
      </c>
      <c r="D1202" t="s">
        <v>140</v>
      </c>
      <c r="E1202">
        <v>40.155555555555559</v>
      </c>
      <c r="F1202">
        <v>3.382527124396717</v>
      </c>
      <c r="G1202">
        <v>27</v>
      </c>
      <c r="H1202" t="s">
        <v>19</v>
      </c>
      <c r="M1202">
        <v>46.920609804348992</v>
      </c>
      <c r="N1202">
        <v>33.390501306762133</v>
      </c>
      <c r="O1202">
        <v>13.53010849758687</v>
      </c>
      <c r="P1202">
        <v>11.871465942114931</v>
      </c>
      <c r="R1202" t="str">
        <f t="shared" si="36"/>
        <v>no</v>
      </c>
      <c r="S1202" t="str">
        <f t="shared" si="37"/>
        <v>no</v>
      </c>
    </row>
    <row r="1203" spans="1:19" x14ac:dyDescent="0.35">
      <c r="A1203" s="1">
        <v>1201</v>
      </c>
      <c r="B1203" t="s">
        <v>829</v>
      </c>
      <c r="C1203" t="s">
        <v>99</v>
      </c>
      <c r="D1203" t="s">
        <v>141</v>
      </c>
      <c r="E1203">
        <v>43.011111111111113</v>
      </c>
      <c r="F1203">
        <v>4.5201477437077484</v>
      </c>
      <c r="G1203">
        <v>27</v>
      </c>
      <c r="H1203" t="s">
        <v>19</v>
      </c>
      <c r="M1203">
        <v>52.051406598526611</v>
      </c>
      <c r="N1203">
        <v>33.970815623695607</v>
      </c>
      <c r="O1203">
        <v>18.080590974831001</v>
      </c>
      <c r="P1203">
        <v>9.5154215193484628</v>
      </c>
      <c r="R1203" t="str">
        <f t="shared" si="36"/>
        <v>no</v>
      </c>
      <c r="S1203" t="str">
        <f t="shared" si="37"/>
        <v>no</v>
      </c>
    </row>
    <row r="1204" spans="1:19" x14ac:dyDescent="0.35">
      <c r="A1204" s="1">
        <v>1202</v>
      </c>
      <c r="B1204" t="s">
        <v>829</v>
      </c>
      <c r="C1204" t="s">
        <v>142</v>
      </c>
      <c r="D1204" t="s">
        <v>143</v>
      </c>
      <c r="G1204">
        <v>27</v>
      </c>
      <c r="H1204" t="s">
        <v>19</v>
      </c>
      <c r="R1204" t="str">
        <f t="shared" si="36"/>
        <v>no</v>
      </c>
      <c r="S1204" t="str">
        <f t="shared" si="37"/>
        <v>no</v>
      </c>
    </row>
    <row r="1205" spans="1:19" x14ac:dyDescent="0.35">
      <c r="A1205" s="1">
        <v>1203</v>
      </c>
      <c r="B1205" t="s">
        <v>829</v>
      </c>
      <c r="C1205" t="s">
        <v>142</v>
      </c>
      <c r="D1205" t="s">
        <v>144</v>
      </c>
      <c r="E1205">
        <v>0</v>
      </c>
      <c r="F1205">
        <v>0</v>
      </c>
      <c r="G1205">
        <v>27</v>
      </c>
      <c r="H1205" t="s">
        <v>19</v>
      </c>
      <c r="M1205">
        <v>0</v>
      </c>
      <c r="N1205">
        <v>0</v>
      </c>
      <c r="O1205">
        <v>0</v>
      </c>
      <c r="R1205" t="str">
        <f t="shared" si="36"/>
        <v>no</v>
      </c>
      <c r="S1205" t="str">
        <f t="shared" si="37"/>
        <v>no</v>
      </c>
    </row>
    <row r="1206" spans="1:19" x14ac:dyDescent="0.35">
      <c r="A1206" s="1">
        <v>1204</v>
      </c>
      <c r="B1206" t="s">
        <v>829</v>
      </c>
      <c r="C1206" t="s">
        <v>142</v>
      </c>
      <c r="D1206" t="s">
        <v>145</v>
      </c>
      <c r="G1206">
        <v>27</v>
      </c>
      <c r="H1206" t="s">
        <v>19</v>
      </c>
      <c r="R1206" t="str">
        <f t="shared" si="36"/>
        <v>no</v>
      </c>
      <c r="S1206" t="str">
        <f t="shared" si="37"/>
        <v>no</v>
      </c>
    </row>
    <row r="1207" spans="1:19" x14ac:dyDescent="0.35">
      <c r="A1207" s="1">
        <v>1205</v>
      </c>
      <c r="B1207" t="s">
        <v>829</v>
      </c>
      <c r="C1207" t="s">
        <v>142</v>
      </c>
      <c r="D1207" t="s">
        <v>146</v>
      </c>
      <c r="G1207">
        <v>27</v>
      </c>
      <c r="H1207" t="s">
        <v>19</v>
      </c>
      <c r="R1207" t="str">
        <f t="shared" si="36"/>
        <v>no</v>
      </c>
      <c r="S1207" t="str">
        <f t="shared" si="37"/>
        <v>no</v>
      </c>
    </row>
    <row r="1208" spans="1:19" x14ac:dyDescent="0.35">
      <c r="A1208" s="1">
        <v>1206</v>
      </c>
      <c r="B1208" t="s">
        <v>829</v>
      </c>
      <c r="C1208" t="s">
        <v>142</v>
      </c>
      <c r="D1208" t="s">
        <v>147</v>
      </c>
      <c r="E1208">
        <v>0</v>
      </c>
      <c r="F1208">
        <v>0</v>
      </c>
      <c r="G1208">
        <v>27</v>
      </c>
      <c r="H1208" t="s">
        <v>19</v>
      </c>
      <c r="M1208">
        <v>0</v>
      </c>
      <c r="N1208">
        <v>0</v>
      </c>
      <c r="O1208">
        <v>0</v>
      </c>
      <c r="R1208" t="str">
        <f t="shared" si="36"/>
        <v>no</v>
      </c>
      <c r="S1208" t="str">
        <f t="shared" si="37"/>
        <v>no</v>
      </c>
    </row>
    <row r="1209" spans="1:19" x14ac:dyDescent="0.35">
      <c r="A1209" s="1">
        <v>1207</v>
      </c>
      <c r="B1209" t="s">
        <v>829</v>
      </c>
      <c r="C1209" t="s">
        <v>142</v>
      </c>
      <c r="D1209" t="s">
        <v>148</v>
      </c>
      <c r="G1209">
        <v>27</v>
      </c>
      <c r="H1209" t="s">
        <v>19</v>
      </c>
      <c r="R1209" t="str">
        <f t="shared" si="36"/>
        <v>no</v>
      </c>
      <c r="S1209" t="str">
        <f t="shared" si="37"/>
        <v>no</v>
      </c>
    </row>
    <row r="1210" spans="1:19" x14ac:dyDescent="0.35">
      <c r="A1210" s="1">
        <v>1208</v>
      </c>
      <c r="B1210" t="s">
        <v>829</v>
      </c>
      <c r="C1210" t="s">
        <v>142</v>
      </c>
      <c r="D1210" t="s">
        <v>149</v>
      </c>
      <c r="G1210">
        <v>27</v>
      </c>
      <c r="H1210" t="s">
        <v>19</v>
      </c>
      <c r="R1210" t="str">
        <f t="shared" si="36"/>
        <v>no</v>
      </c>
      <c r="S1210" t="str">
        <f t="shared" si="37"/>
        <v>no</v>
      </c>
    </row>
    <row r="1211" spans="1:19" x14ac:dyDescent="0.35">
      <c r="A1211" s="1">
        <v>1209</v>
      </c>
      <c r="B1211" t="s">
        <v>829</v>
      </c>
      <c r="C1211" t="s">
        <v>142</v>
      </c>
      <c r="D1211" t="s">
        <v>150</v>
      </c>
      <c r="E1211">
        <v>0</v>
      </c>
      <c r="F1211">
        <v>0</v>
      </c>
      <c r="G1211">
        <v>27</v>
      </c>
      <c r="H1211" t="s">
        <v>19</v>
      </c>
      <c r="M1211">
        <v>0</v>
      </c>
      <c r="N1211">
        <v>0</v>
      </c>
      <c r="O1211">
        <v>0</v>
      </c>
      <c r="R1211" t="str">
        <f t="shared" si="36"/>
        <v>no</v>
      </c>
      <c r="S1211" t="str">
        <f t="shared" si="37"/>
        <v>no</v>
      </c>
    </row>
    <row r="1212" spans="1:19" x14ac:dyDescent="0.35">
      <c r="A1212" s="1">
        <v>1210</v>
      </c>
      <c r="B1212" t="s">
        <v>829</v>
      </c>
      <c r="C1212" t="s">
        <v>142</v>
      </c>
      <c r="D1212" t="s">
        <v>151</v>
      </c>
      <c r="G1212">
        <v>27</v>
      </c>
      <c r="H1212" t="s">
        <v>19</v>
      </c>
      <c r="R1212" t="str">
        <f t="shared" si="36"/>
        <v>no</v>
      </c>
      <c r="S1212" t="str">
        <f t="shared" si="37"/>
        <v>no</v>
      </c>
    </row>
    <row r="1213" spans="1:19" x14ac:dyDescent="0.35">
      <c r="A1213" s="1">
        <v>1211</v>
      </c>
      <c r="B1213" t="s">
        <v>829</v>
      </c>
      <c r="C1213" t="s">
        <v>142</v>
      </c>
      <c r="D1213" t="s">
        <v>152</v>
      </c>
      <c r="G1213">
        <v>27</v>
      </c>
      <c r="H1213" t="s">
        <v>19</v>
      </c>
      <c r="R1213" t="str">
        <f t="shared" si="36"/>
        <v>no</v>
      </c>
      <c r="S1213" t="str">
        <f t="shared" si="37"/>
        <v>no</v>
      </c>
    </row>
    <row r="1214" spans="1:19" x14ac:dyDescent="0.35">
      <c r="A1214" s="1">
        <v>1212</v>
      </c>
      <c r="B1214" t="s">
        <v>829</v>
      </c>
      <c r="C1214" t="s">
        <v>142</v>
      </c>
      <c r="D1214" t="s">
        <v>153</v>
      </c>
      <c r="E1214">
        <v>0</v>
      </c>
      <c r="F1214">
        <v>0</v>
      </c>
      <c r="G1214">
        <v>27</v>
      </c>
      <c r="H1214" t="s">
        <v>19</v>
      </c>
      <c r="M1214">
        <v>0</v>
      </c>
      <c r="N1214">
        <v>0</v>
      </c>
      <c r="O1214">
        <v>0</v>
      </c>
      <c r="R1214" t="str">
        <f t="shared" si="36"/>
        <v>no</v>
      </c>
      <c r="S1214" t="str">
        <f t="shared" si="37"/>
        <v>no</v>
      </c>
    </row>
    <row r="1215" spans="1:19" x14ac:dyDescent="0.35">
      <c r="A1215" s="1">
        <v>1213</v>
      </c>
      <c r="B1215" t="s">
        <v>829</v>
      </c>
      <c r="C1215" t="s">
        <v>142</v>
      </c>
      <c r="D1215" t="s">
        <v>154</v>
      </c>
      <c r="G1215">
        <v>27</v>
      </c>
      <c r="H1215" t="s">
        <v>19</v>
      </c>
      <c r="R1215" t="str">
        <f t="shared" si="36"/>
        <v>no</v>
      </c>
      <c r="S1215" t="str">
        <f t="shared" si="37"/>
        <v>no</v>
      </c>
    </row>
    <row r="1216" spans="1:19" x14ac:dyDescent="0.35">
      <c r="A1216" s="1">
        <v>1214</v>
      </c>
      <c r="B1216" t="s">
        <v>829</v>
      </c>
      <c r="C1216" t="s">
        <v>142</v>
      </c>
      <c r="D1216" t="s">
        <v>155</v>
      </c>
      <c r="G1216">
        <v>27</v>
      </c>
      <c r="H1216" t="s">
        <v>19</v>
      </c>
      <c r="R1216" t="str">
        <f t="shared" si="36"/>
        <v>no</v>
      </c>
      <c r="S1216" t="str">
        <f t="shared" si="37"/>
        <v>no</v>
      </c>
    </row>
    <row r="1217" spans="1:19" x14ac:dyDescent="0.35">
      <c r="A1217" s="1">
        <v>1215</v>
      </c>
      <c r="B1217" t="s">
        <v>829</v>
      </c>
      <c r="C1217" t="s">
        <v>142</v>
      </c>
      <c r="D1217" t="s">
        <v>156</v>
      </c>
      <c r="E1217">
        <v>0</v>
      </c>
      <c r="F1217">
        <v>0</v>
      </c>
      <c r="G1217">
        <v>27</v>
      </c>
      <c r="H1217" t="s">
        <v>19</v>
      </c>
      <c r="M1217">
        <v>0</v>
      </c>
      <c r="N1217">
        <v>0</v>
      </c>
      <c r="O1217">
        <v>0</v>
      </c>
      <c r="R1217" t="str">
        <f t="shared" si="36"/>
        <v>no</v>
      </c>
      <c r="S1217" t="str">
        <f t="shared" si="37"/>
        <v>no</v>
      </c>
    </row>
    <row r="1218" spans="1:19" x14ac:dyDescent="0.35">
      <c r="A1218" s="1">
        <v>1216</v>
      </c>
      <c r="B1218" t="s">
        <v>829</v>
      </c>
      <c r="C1218" t="s">
        <v>142</v>
      </c>
      <c r="D1218" t="s">
        <v>157</v>
      </c>
      <c r="G1218">
        <v>27</v>
      </c>
      <c r="H1218" t="s">
        <v>19</v>
      </c>
      <c r="R1218" t="str">
        <f t="shared" si="36"/>
        <v>no</v>
      </c>
      <c r="S1218" t="str">
        <f t="shared" si="37"/>
        <v>no</v>
      </c>
    </row>
    <row r="1219" spans="1:19" x14ac:dyDescent="0.35">
      <c r="A1219" s="1">
        <v>1217</v>
      </c>
      <c r="B1219" t="s">
        <v>829</v>
      </c>
      <c r="C1219" t="s">
        <v>142</v>
      </c>
      <c r="D1219" t="s">
        <v>158</v>
      </c>
      <c r="G1219">
        <v>27</v>
      </c>
      <c r="H1219" t="s">
        <v>19</v>
      </c>
      <c r="R1219" t="str">
        <f t="shared" ref="R1219:R1282" si="38">IF(H1219="yes","yes","no")</f>
        <v>no</v>
      </c>
      <c r="S1219" t="str">
        <f t="shared" ref="S1219:S1282" si="39">IF(I1219,"yes","no")</f>
        <v>no</v>
      </c>
    </row>
    <row r="1220" spans="1:19" x14ac:dyDescent="0.35">
      <c r="A1220" s="1">
        <v>1218</v>
      </c>
      <c r="B1220" t="s">
        <v>829</v>
      </c>
      <c r="C1220" t="s">
        <v>142</v>
      </c>
      <c r="D1220" t="s">
        <v>159</v>
      </c>
      <c r="E1220">
        <v>0</v>
      </c>
      <c r="F1220">
        <v>0</v>
      </c>
      <c r="G1220">
        <v>27</v>
      </c>
      <c r="H1220" t="s">
        <v>19</v>
      </c>
      <c r="M1220">
        <v>0</v>
      </c>
      <c r="N1220">
        <v>0</v>
      </c>
      <c r="O1220">
        <v>0</v>
      </c>
      <c r="R1220" t="str">
        <f t="shared" si="38"/>
        <v>no</v>
      </c>
      <c r="S1220" t="str">
        <f t="shared" si="39"/>
        <v>no</v>
      </c>
    </row>
    <row r="1221" spans="1:19" x14ac:dyDescent="0.35">
      <c r="A1221" s="1">
        <v>1219</v>
      </c>
      <c r="B1221" t="s">
        <v>829</v>
      </c>
      <c r="C1221" t="s">
        <v>142</v>
      </c>
      <c r="D1221" t="s">
        <v>160</v>
      </c>
      <c r="G1221">
        <v>27</v>
      </c>
      <c r="H1221" t="s">
        <v>19</v>
      </c>
      <c r="R1221" t="str">
        <f t="shared" si="38"/>
        <v>no</v>
      </c>
      <c r="S1221" t="str">
        <f t="shared" si="39"/>
        <v>no</v>
      </c>
    </row>
    <row r="1222" spans="1:19" x14ac:dyDescent="0.35">
      <c r="A1222" s="1">
        <v>1220</v>
      </c>
      <c r="B1222" t="s">
        <v>829</v>
      </c>
      <c r="C1222" t="s">
        <v>142</v>
      </c>
      <c r="D1222" t="s">
        <v>161</v>
      </c>
      <c r="G1222">
        <v>27</v>
      </c>
      <c r="H1222" t="s">
        <v>19</v>
      </c>
      <c r="R1222" t="str">
        <f t="shared" si="38"/>
        <v>no</v>
      </c>
      <c r="S1222" t="str">
        <f t="shared" si="39"/>
        <v>no</v>
      </c>
    </row>
    <row r="1223" spans="1:19" x14ac:dyDescent="0.35">
      <c r="A1223" s="1">
        <v>1221</v>
      </c>
      <c r="B1223" t="s">
        <v>829</v>
      </c>
      <c r="C1223" t="s">
        <v>142</v>
      </c>
      <c r="D1223" t="s">
        <v>162</v>
      </c>
      <c r="E1223">
        <v>0</v>
      </c>
      <c r="F1223">
        <v>0</v>
      </c>
      <c r="G1223">
        <v>27</v>
      </c>
      <c r="H1223" t="s">
        <v>19</v>
      </c>
      <c r="M1223">
        <v>0</v>
      </c>
      <c r="N1223">
        <v>0</v>
      </c>
      <c r="O1223">
        <v>0</v>
      </c>
      <c r="R1223" t="str">
        <f t="shared" si="38"/>
        <v>no</v>
      </c>
      <c r="S1223" t="str">
        <f t="shared" si="39"/>
        <v>no</v>
      </c>
    </row>
    <row r="1224" spans="1:19" x14ac:dyDescent="0.35">
      <c r="A1224" s="1">
        <v>1222</v>
      </c>
      <c r="B1224" t="s">
        <v>829</v>
      </c>
      <c r="C1224" t="s">
        <v>142</v>
      </c>
      <c r="D1224" t="s">
        <v>163</v>
      </c>
      <c r="G1224">
        <v>27</v>
      </c>
      <c r="H1224" t="s">
        <v>19</v>
      </c>
      <c r="R1224" t="str">
        <f t="shared" si="38"/>
        <v>no</v>
      </c>
      <c r="S1224" t="str">
        <f t="shared" si="39"/>
        <v>no</v>
      </c>
    </row>
    <row r="1225" spans="1:19" x14ac:dyDescent="0.35">
      <c r="A1225" s="1">
        <v>1223</v>
      </c>
      <c r="B1225" t="s">
        <v>829</v>
      </c>
      <c r="C1225" t="s">
        <v>142</v>
      </c>
      <c r="D1225" t="s">
        <v>164</v>
      </c>
      <c r="G1225">
        <v>27</v>
      </c>
      <c r="H1225" t="s">
        <v>19</v>
      </c>
      <c r="R1225" t="str">
        <f t="shared" si="38"/>
        <v>no</v>
      </c>
      <c r="S1225" t="str">
        <f t="shared" si="39"/>
        <v>no</v>
      </c>
    </row>
    <row r="1226" spans="1:19" x14ac:dyDescent="0.35">
      <c r="A1226" s="1">
        <v>1224</v>
      </c>
      <c r="B1226" t="s">
        <v>829</v>
      </c>
      <c r="C1226" t="s">
        <v>142</v>
      </c>
      <c r="D1226" t="s">
        <v>165</v>
      </c>
      <c r="E1226">
        <v>0</v>
      </c>
      <c r="F1226">
        <v>0</v>
      </c>
      <c r="G1226">
        <v>27</v>
      </c>
      <c r="H1226" t="s">
        <v>19</v>
      </c>
      <c r="M1226">
        <v>0</v>
      </c>
      <c r="N1226">
        <v>0</v>
      </c>
      <c r="O1226">
        <v>0</v>
      </c>
      <c r="R1226" t="str">
        <f t="shared" si="38"/>
        <v>no</v>
      </c>
      <c r="S1226" t="str">
        <f t="shared" si="39"/>
        <v>no</v>
      </c>
    </row>
    <row r="1227" spans="1:19" x14ac:dyDescent="0.35">
      <c r="A1227" s="1">
        <v>1225</v>
      </c>
      <c r="B1227" t="s">
        <v>829</v>
      </c>
      <c r="C1227" t="s">
        <v>142</v>
      </c>
      <c r="D1227" t="s">
        <v>166</v>
      </c>
      <c r="G1227">
        <v>27</v>
      </c>
      <c r="H1227" t="s">
        <v>19</v>
      </c>
      <c r="R1227" t="str">
        <f t="shared" si="38"/>
        <v>no</v>
      </c>
      <c r="S1227" t="str">
        <f t="shared" si="39"/>
        <v>no</v>
      </c>
    </row>
    <row r="1228" spans="1:19" x14ac:dyDescent="0.35">
      <c r="A1228" s="1">
        <v>1226</v>
      </c>
      <c r="B1228" t="s">
        <v>829</v>
      </c>
      <c r="C1228" t="s">
        <v>142</v>
      </c>
      <c r="D1228" t="s">
        <v>167</v>
      </c>
      <c r="G1228">
        <v>27</v>
      </c>
      <c r="H1228" t="s">
        <v>19</v>
      </c>
      <c r="R1228" t="str">
        <f t="shared" si="38"/>
        <v>no</v>
      </c>
      <c r="S1228" t="str">
        <f t="shared" si="39"/>
        <v>no</v>
      </c>
    </row>
    <row r="1229" spans="1:19" x14ac:dyDescent="0.35">
      <c r="A1229" s="1">
        <v>1227</v>
      </c>
      <c r="B1229" t="s">
        <v>829</v>
      </c>
      <c r="C1229" t="s">
        <v>142</v>
      </c>
      <c r="D1229" t="s">
        <v>168</v>
      </c>
      <c r="E1229">
        <v>0</v>
      </c>
      <c r="F1229">
        <v>0</v>
      </c>
      <c r="G1229">
        <v>27</v>
      </c>
      <c r="H1229" t="s">
        <v>19</v>
      </c>
      <c r="M1229">
        <v>0</v>
      </c>
      <c r="N1229">
        <v>0</v>
      </c>
      <c r="O1229">
        <v>0</v>
      </c>
      <c r="R1229" t="str">
        <f t="shared" si="38"/>
        <v>no</v>
      </c>
      <c r="S1229" t="str">
        <f t="shared" si="39"/>
        <v>no</v>
      </c>
    </row>
    <row r="1230" spans="1:19" x14ac:dyDescent="0.35">
      <c r="A1230" s="1">
        <v>1228</v>
      </c>
      <c r="B1230" t="s">
        <v>829</v>
      </c>
      <c r="C1230" t="s">
        <v>142</v>
      </c>
      <c r="D1230" t="s">
        <v>169</v>
      </c>
      <c r="G1230">
        <v>27</v>
      </c>
      <c r="H1230" t="s">
        <v>19</v>
      </c>
      <c r="R1230" t="str">
        <f t="shared" si="38"/>
        <v>no</v>
      </c>
      <c r="S1230" t="str">
        <f t="shared" si="39"/>
        <v>no</v>
      </c>
    </row>
    <row r="1231" spans="1:19" x14ac:dyDescent="0.35">
      <c r="A1231" s="1">
        <v>1229</v>
      </c>
      <c r="B1231" t="s">
        <v>829</v>
      </c>
      <c r="C1231" t="s">
        <v>142</v>
      </c>
      <c r="D1231" t="s">
        <v>170</v>
      </c>
      <c r="G1231">
        <v>27</v>
      </c>
      <c r="H1231" t="s">
        <v>19</v>
      </c>
      <c r="R1231" t="str">
        <f t="shared" si="38"/>
        <v>no</v>
      </c>
      <c r="S1231" t="str">
        <f t="shared" si="39"/>
        <v>no</v>
      </c>
    </row>
    <row r="1232" spans="1:19" x14ac:dyDescent="0.35">
      <c r="A1232" s="1">
        <v>1230</v>
      </c>
      <c r="B1232" t="s">
        <v>829</v>
      </c>
      <c r="C1232" t="s">
        <v>142</v>
      </c>
      <c r="D1232" t="s">
        <v>171</v>
      </c>
      <c r="E1232">
        <v>0</v>
      </c>
      <c r="F1232">
        <v>0</v>
      </c>
      <c r="G1232">
        <v>27</v>
      </c>
      <c r="H1232" t="s">
        <v>19</v>
      </c>
      <c r="M1232">
        <v>0</v>
      </c>
      <c r="N1232">
        <v>0</v>
      </c>
      <c r="O1232">
        <v>0</v>
      </c>
      <c r="R1232" t="str">
        <f t="shared" si="38"/>
        <v>no</v>
      </c>
      <c r="S1232" t="str">
        <f t="shared" si="39"/>
        <v>no</v>
      </c>
    </row>
    <row r="1233" spans="1:19" x14ac:dyDescent="0.35">
      <c r="A1233" s="1">
        <v>1231</v>
      </c>
      <c r="B1233" t="s">
        <v>829</v>
      </c>
      <c r="C1233" t="s">
        <v>142</v>
      </c>
      <c r="D1233" t="s">
        <v>172</v>
      </c>
      <c r="G1233">
        <v>27</v>
      </c>
      <c r="H1233" t="s">
        <v>19</v>
      </c>
      <c r="R1233" t="str">
        <f t="shared" si="38"/>
        <v>no</v>
      </c>
      <c r="S1233" t="str">
        <f t="shared" si="39"/>
        <v>no</v>
      </c>
    </row>
    <row r="1234" spans="1:19" x14ac:dyDescent="0.35">
      <c r="A1234" s="1">
        <v>1232</v>
      </c>
      <c r="B1234" t="s">
        <v>829</v>
      </c>
      <c r="C1234" t="s">
        <v>142</v>
      </c>
      <c r="D1234" t="s">
        <v>173</v>
      </c>
      <c r="G1234">
        <v>27</v>
      </c>
      <c r="H1234" t="s">
        <v>19</v>
      </c>
      <c r="R1234" t="str">
        <f t="shared" si="38"/>
        <v>no</v>
      </c>
      <c r="S1234" t="str">
        <f t="shared" si="39"/>
        <v>no</v>
      </c>
    </row>
    <row r="1235" spans="1:19" x14ac:dyDescent="0.35">
      <c r="A1235" s="1">
        <v>1233</v>
      </c>
      <c r="B1235" t="s">
        <v>829</v>
      </c>
      <c r="C1235" t="s">
        <v>142</v>
      </c>
      <c r="D1235" t="s">
        <v>174</v>
      </c>
      <c r="E1235">
        <v>0</v>
      </c>
      <c r="F1235">
        <v>0</v>
      </c>
      <c r="G1235">
        <v>27</v>
      </c>
      <c r="H1235" t="s">
        <v>19</v>
      </c>
      <c r="M1235">
        <v>0</v>
      </c>
      <c r="N1235">
        <v>0</v>
      </c>
      <c r="O1235">
        <v>0</v>
      </c>
      <c r="R1235" t="str">
        <f t="shared" si="38"/>
        <v>no</v>
      </c>
      <c r="S1235" t="str">
        <f t="shared" si="39"/>
        <v>no</v>
      </c>
    </row>
    <row r="1236" spans="1:19" x14ac:dyDescent="0.35">
      <c r="A1236" s="1">
        <v>1234</v>
      </c>
      <c r="B1236" t="s">
        <v>829</v>
      </c>
      <c r="C1236" t="s">
        <v>142</v>
      </c>
      <c r="D1236" t="s">
        <v>175</v>
      </c>
      <c r="G1236">
        <v>27</v>
      </c>
      <c r="H1236" t="s">
        <v>19</v>
      </c>
      <c r="R1236" t="str">
        <f t="shared" si="38"/>
        <v>no</v>
      </c>
      <c r="S1236" t="str">
        <f t="shared" si="39"/>
        <v>no</v>
      </c>
    </row>
    <row r="1237" spans="1:19" x14ac:dyDescent="0.35">
      <c r="A1237" s="1">
        <v>1235</v>
      </c>
      <c r="B1237" t="s">
        <v>829</v>
      </c>
      <c r="C1237" t="s">
        <v>142</v>
      </c>
      <c r="D1237" t="s">
        <v>176</v>
      </c>
      <c r="G1237">
        <v>27</v>
      </c>
      <c r="H1237" t="s">
        <v>19</v>
      </c>
      <c r="R1237" t="str">
        <f t="shared" si="38"/>
        <v>no</v>
      </c>
      <c r="S1237" t="str">
        <f t="shared" si="39"/>
        <v>no</v>
      </c>
    </row>
    <row r="1238" spans="1:19" x14ac:dyDescent="0.35">
      <c r="A1238" s="1">
        <v>1236</v>
      </c>
      <c r="B1238" t="s">
        <v>829</v>
      </c>
      <c r="C1238" t="s">
        <v>142</v>
      </c>
      <c r="D1238" t="s">
        <v>177</v>
      </c>
      <c r="E1238">
        <v>0</v>
      </c>
      <c r="F1238">
        <v>0</v>
      </c>
      <c r="G1238">
        <v>27</v>
      </c>
      <c r="H1238" t="s">
        <v>19</v>
      </c>
      <c r="M1238">
        <v>0</v>
      </c>
      <c r="N1238">
        <v>0</v>
      </c>
      <c r="O1238">
        <v>0</v>
      </c>
      <c r="R1238" t="str">
        <f t="shared" si="38"/>
        <v>no</v>
      </c>
      <c r="S1238" t="str">
        <f t="shared" si="39"/>
        <v>no</v>
      </c>
    </row>
    <row r="1239" spans="1:19" x14ac:dyDescent="0.35">
      <c r="A1239" s="1">
        <v>1237</v>
      </c>
      <c r="B1239" t="s">
        <v>829</v>
      </c>
      <c r="C1239" t="s">
        <v>142</v>
      </c>
      <c r="D1239" t="s">
        <v>178</v>
      </c>
      <c r="G1239">
        <v>27</v>
      </c>
      <c r="H1239" t="s">
        <v>19</v>
      </c>
      <c r="R1239" t="str">
        <f t="shared" si="38"/>
        <v>no</v>
      </c>
      <c r="S1239" t="str">
        <f t="shared" si="39"/>
        <v>no</v>
      </c>
    </row>
    <row r="1240" spans="1:19" x14ac:dyDescent="0.35">
      <c r="A1240" s="1">
        <v>1238</v>
      </c>
      <c r="B1240" t="s">
        <v>829</v>
      </c>
      <c r="C1240" t="s">
        <v>142</v>
      </c>
      <c r="D1240" t="s">
        <v>179</v>
      </c>
      <c r="G1240">
        <v>27</v>
      </c>
      <c r="H1240" t="s">
        <v>19</v>
      </c>
      <c r="R1240" t="str">
        <f t="shared" si="38"/>
        <v>no</v>
      </c>
      <c r="S1240" t="str">
        <f t="shared" si="39"/>
        <v>no</v>
      </c>
    </row>
    <row r="1241" spans="1:19" x14ac:dyDescent="0.35">
      <c r="A1241" s="1">
        <v>1239</v>
      </c>
      <c r="B1241" t="s">
        <v>829</v>
      </c>
      <c r="C1241" t="s">
        <v>142</v>
      </c>
      <c r="D1241" t="s">
        <v>180</v>
      </c>
      <c r="E1241">
        <v>0</v>
      </c>
      <c r="F1241">
        <v>0</v>
      </c>
      <c r="G1241">
        <v>27</v>
      </c>
      <c r="H1241" t="s">
        <v>19</v>
      </c>
      <c r="M1241">
        <v>0</v>
      </c>
      <c r="N1241">
        <v>0</v>
      </c>
      <c r="O1241">
        <v>0</v>
      </c>
      <c r="R1241" t="str">
        <f t="shared" si="38"/>
        <v>no</v>
      </c>
      <c r="S1241" t="str">
        <f t="shared" si="39"/>
        <v>no</v>
      </c>
    </row>
    <row r="1242" spans="1:19" x14ac:dyDescent="0.35">
      <c r="A1242" s="1">
        <v>1240</v>
      </c>
      <c r="B1242" t="s">
        <v>829</v>
      </c>
      <c r="C1242" t="s">
        <v>142</v>
      </c>
      <c r="D1242" t="s">
        <v>181</v>
      </c>
      <c r="G1242">
        <v>27</v>
      </c>
      <c r="H1242" t="s">
        <v>19</v>
      </c>
      <c r="R1242" t="str">
        <f t="shared" si="38"/>
        <v>no</v>
      </c>
      <c r="S1242" t="str">
        <f t="shared" si="39"/>
        <v>no</v>
      </c>
    </row>
    <row r="1243" spans="1:19" x14ac:dyDescent="0.35">
      <c r="A1243" s="1">
        <v>1241</v>
      </c>
      <c r="B1243" t="s">
        <v>829</v>
      </c>
      <c r="C1243" t="s">
        <v>142</v>
      </c>
      <c r="D1243" t="s">
        <v>182</v>
      </c>
      <c r="G1243">
        <v>27</v>
      </c>
      <c r="H1243" t="s">
        <v>19</v>
      </c>
      <c r="R1243" t="str">
        <f t="shared" si="38"/>
        <v>no</v>
      </c>
      <c r="S1243" t="str">
        <f t="shared" si="39"/>
        <v>no</v>
      </c>
    </row>
    <row r="1244" spans="1:19" x14ac:dyDescent="0.35">
      <c r="A1244" s="1">
        <v>1242</v>
      </c>
      <c r="B1244" t="s">
        <v>829</v>
      </c>
      <c r="C1244" t="s">
        <v>142</v>
      </c>
      <c r="D1244" t="s">
        <v>183</v>
      </c>
      <c r="E1244">
        <v>0</v>
      </c>
      <c r="F1244">
        <v>0</v>
      </c>
      <c r="G1244">
        <v>27</v>
      </c>
      <c r="H1244" t="s">
        <v>19</v>
      </c>
      <c r="M1244">
        <v>0</v>
      </c>
      <c r="N1244">
        <v>0</v>
      </c>
      <c r="O1244">
        <v>0</v>
      </c>
      <c r="R1244" t="str">
        <f t="shared" si="38"/>
        <v>no</v>
      </c>
      <c r="S1244" t="str">
        <f t="shared" si="39"/>
        <v>no</v>
      </c>
    </row>
    <row r="1245" spans="1:19" x14ac:dyDescent="0.35">
      <c r="A1245" s="1">
        <v>1243</v>
      </c>
      <c r="B1245" t="s">
        <v>829</v>
      </c>
      <c r="C1245" t="s">
        <v>142</v>
      </c>
      <c r="D1245" t="s">
        <v>184</v>
      </c>
      <c r="G1245">
        <v>27</v>
      </c>
      <c r="H1245" t="s">
        <v>19</v>
      </c>
      <c r="R1245" t="str">
        <f t="shared" si="38"/>
        <v>no</v>
      </c>
      <c r="S1245" t="str">
        <f t="shared" si="39"/>
        <v>no</v>
      </c>
    </row>
    <row r="1246" spans="1:19" x14ac:dyDescent="0.35">
      <c r="A1246" s="1">
        <v>1244</v>
      </c>
      <c r="B1246" t="s">
        <v>829</v>
      </c>
      <c r="C1246" t="s">
        <v>142</v>
      </c>
      <c r="D1246" t="s">
        <v>185</v>
      </c>
      <c r="G1246">
        <v>27</v>
      </c>
      <c r="H1246" t="s">
        <v>19</v>
      </c>
      <c r="R1246" t="str">
        <f t="shared" si="38"/>
        <v>no</v>
      </c>
      <c r="S1246" t="str">
        <f t="shared" si="39"/>
        <v>no</v>
      </c>
    </row>
    <row r="1247" spans="1:19" x14ac:dyDescent="0.35">
      <c r="A1247" s="1">
        <v>1245</v>
      </c>
      <c r="B1247" t="s">
        <v>829</v>
      </c>
      <c r="C1247" t="s">
        <v>142</v>
      </c>
      <c r="D1247" t="s">
        <v>186</v>
      </c>
      <c r="E1247">
        <v>0</v>
      </c>
      <c r="F1247">
        <v>0</v>
      </c>
      <c r="G1247">
        <v>27</v>
      </c>
      <c r="H1247" t="s">
        <v>19</v>
      </c>
      <c r="M1247">
        <v>0</v>
      </c>
      <c r="N1247">
        <v>0</v>
      </c>
      <c r="O1247">
        <v>0</v>
      </c>
      <c r="R1247" t="str">
        <f t="shared" si="38"/>
        <v>no</v>
      </c>
      <c r="S1247" t="str">
        <f t="shared" si="39"/>
        <v>no</v>
      </c>
    </row>
    <row r="1248" spans="1:19" x14ac:dyDescent="0.35">
      <c r="A1248" s="1">
        <v>1246</v>
      </c>
      <c r="B1248" t="s">
        <v>829</v>
      </c>
      <c r="C1248" t="s">
        <v>142</v>
      </c>
      <c r="D1248" t="s">
        <v>187</v>
      </c>
      <c r="G1248">
        <v>27</v>
      </c>
      <c r="H1248" t="s">
        <v>19</v>
      </c>
      <c r="R1248" t="str">
        <f t="shared" si="38"/>
        <v>no</v>
      </c>
      <c r="S1248" t="str">
        <f t="shared" si="39"/>
        <v>no</v>
      </c>
    </row>
    <row r="1249" spans="1:19" x14ac:dyDescent="0.35">
      <c r="A1249" s="1">
        <v>1247</v>
      </c>
      <c r="B1249" t="s">
        <v>829</v>
      </c>
      <c r="C1249" t="s">
        <v>142</v>
      </c>
      <c r="D1249" t="s">
        <v>188</v>
      </c>
      <c r="G1249">
        <v>27</v>
      </c>
      <c r="H1249" t="s">
        <v>19</v>
      </c>
      <c r="R1249" t="str">
        <f t="shared" si="38"/>
        <v>no</v>
      </c>
      <c r="S1249" t="str">
        <f t="shared" si="39"/>
        <v>no</v>
      </c>
    </row>
    <row r="1250" spans="1:19" x14ac:dyDescent="0.35">
      <c r="A1250" s="1">
        <v>1248</v>
      </c>
      <c r="B1250" t="s">
        <v>829</v>
      </c>
      <c r="C1250" t="s">
        <v>142</v>
      </c>
      <c r="D1250" t="s">
        <v>189</v>
      </c>
      <c r="E1250">
        <v>0</v>
      </c>
      <c r="F1250">
        <v>0</v>
      </c>
      <c r="G1250">
        <v>27</v>
      </c>
      <c r="H1250" t="s">
        <v>19</v>
      </c>
      <c r="M1250">
        <v>0</v>
      </c>
      <c r="N1250">
        <v>0</v>
      </c>
      <c r="O1250">
        <v>0</v>
      </c>
      <c r="R1250" t="str">
        <f t="shared" si="38"/>
        <v>no</v>
      </c>
      <c r="S1250" t="str">
        <f t="shared" si="39"/>
        <v>no</v>
      </c>
    </row>
    <row r="1251" spans="1:19" x14ac:dyDescent="0.35">
      <c r="A1251" s="1">
        <v>1249</v>
      </c>
      <c r="B1251" t="s">
        <v>829</v>
      </c>
      <c r="C1251" t="s">
        <v>142</v>
      </c>
      <c r="D1251" t="s">
        <v>190</v>
      </c>
      <c r="G1251">
        <v>27</v>
      </c>
      <c r="H1251" t="s">
        <v>19</v>
      </c>
      <c r="R1251" t="str">
        <f t="shared" si="38"/>
        <v>no</v>
      </c>
      <c r="S1251" t="str">
        <f t="shared" si="39"/>
        <v>no</v>
      </c>
    </row>
    <row r="1252" spans="1:19" x14ac:dyDescent="0.35">
      <c r="A1252" s="1">
        <v>1250</v>
      </c>
      <c r="B1252" t="s">
        <v>829</v>
      </c>
      <c r="C1252" t="s">
        <v>142</v>
      </c>
      <c r="D1252" t="s">
        <v>191</v>
      </c>
      <c r="G1252">
        <v>27</v>
      </c>
      <c r="H1252" t="s">
        <v>19</v>
      </c>
      <c r="R1252" t="str">
        <f t="shared" si="38"/>
        <v>no</v>
      </c>
      <c r="S1252" t="str">
        <f t="shared" si="39"/>
        <v>no</v>
      </c>
    </row>
    <row r="1253" spans="1:19" x14ac:dyDescent="0.35">
      <c r="A1253" s="1">
        <v>1251</v>
      </c>
      <c r="B1253" t="s">
        <v>829</v>
      </c>
      <c r="C1253" t="s">
        <v>142</v>
      </c>
      <c r="D1253" t="s">
        <v>192</v>
      </c>
      <c r="E1253">
        <v>0</v>
      </c>
      <c r="F1253">
        <v>0</v>
      </c>
      <c r="G1253">
        <v>27</v>
      </c>
      <c r="H1253" t="s">
        <v>19</v>
      </c>
      <c r="M1253">
        <v>0</v>
      </c>
      <c r="N1253">
        <v>0</v>
      </c>
      <c r="O1253">
        <v>0</v>
      </c>
      <c r="R1253" t="str">
        <f t="shared" si="38"/>
        <v>no</v>
      </c>
      <c r="S1253" t="str">
        <f t="shared" si="39"/>
        <v>no</v>
      </c>
    </row>
    <row r="1254" spans="1:19" x14ac:dyDescent="0.35">
      <c r="A1254" s="1">
        <v>1252</v>
      </c>
      <c r="B1254" t="s">
        <v>829</v>
      </c>
      <c r="C1254" t="s">
        <v>142</v>
      </c>
      <c r="D1254" t="s">
        <v>193</v>
      </c>
      <c r="G1254">
        <v>27</v>
      </c>
      <c r="H1254" t="s">
        <v>19</v>
      </c>
      <c r="R1254" t="str">
        <f t="shared" si="38"/>
        <v>no</v>
      </c>
      <c r="S1254" t="str">
        <f t="shared" si="39"/>
        <v>no</v>
      </c>
    </row>
    <row r="1255" spans="1:19" x14ac:dyDescent="0.35">
      <c r="A1255" s="1">
        <v>1253</v>
      </c>
      <c r="B1255" t="s">
        <v>829</v>
      </c>
      <c r="C1255" t="s">
        <v>142</v>
      </c>
      <c r="D1255" t="s">
        <v>194</v>
      </c>
      <c r="G1255">
        <v>27</v>
      </c>
      <c r="H1255" t="s">
        <v>19</v>
      </c>
      <c r="R1255" t="str">
        <f t="shared" si="38"/>
        <v>no</v>
      </c>
      <c r="S1255" t="str">
        <f t="shared" si="39"/>
        <v>no</v>
      </c>
    </row>
    <row r="1256" spans="1:19" x14ac:dyDescent="0.35">
      <c r="A1256" s="1">
        <v>1254</v>
      </c>
      <c r="B1256" t="s">
        <v>829</v>
      </c>
      <c r="C1256" t="s">
        <v>142</v>
      </c>
      <c r="D1256" t="s">
        <v>195</v>
      </c>
      <c r="E1256">
        <v>0</v>
      </c>
      <c r="F1256">
        <v>0</v>
      </c>
      <c r="G1256">
        <v>27</v>
      </c>
      <c r="H1256" t="s">
        <v>19</v>
      </c>
      <c r="M1256">
        <v>0</v>
      </c>
      <c r="N1256">
        <v>0</v>
      </c>
      <c r="O1256">
        <v>0</v>
      </c>
      <c r="R1256" t="str">
        <f t="shared" si="38"/>
        <v>no</v>
      </c>
      <c r="S1256" t="str">
        <f t="shared" si="39"/>
        <v>no</v>
      </c>
    </row>
    <row r="1257" spans="1:19" x14ac:dyDescent="0.35">
      <c r="A1257" s="1">
        <v>1255</v>
      </c>
      <c r="B1257" t="s">
        <v>829</v>
      </c>
      <c r="C1257" t="s">
        <v>142</v>
      </c>
      <c r="D1257" t="s">
        <v>196</v>
      </c>
      <c r="G1257">
        <v>27</v>
      </c>
      <c r="H1257" t="s">
        <v>19</v>
      </c>
      <c r="R1257" t="str">
        <f t="shared" si="38"/>
        <v>no</v>
      </c>
      <c r="S1257" t="str">
        <f t="shared" si="39"/>
        <v>no</v>
      </c>
    </row>
    <row r="1258" spans="1:19" x14ac:dyDescent="0.35">
      <c r="A1258" s="1">
        <v>1256</v>
      </c>
      <c r="B1258" t="s">
        <v>829</v>
      </c>
      <c r="C1258" t="s">
        <v>142</v>
      </c>
      <c r="D1258" t="s">
        <v>197</v>
      </c>
      <c r="G1258">
        <v>27</v>
      </c>
      <c r="H1258" t="s">
        <v>19</v>
      </c>
      <c r="R1258" t="str">
        <f t="shared" si="38"/>
        <v>no</v>
      </c>
      <c r="S1258" t="str">
        <f t="shared" si="39"/>
        <v>no</v>
      </c>
    </row>
    <row r="1259" spans="1:19" x14ac:dyDescent="0.35">
      <c r="A1259" s="1">
        <v>1257</v>
      </c>
      <c r="B1259" t="s">
        <v>829</v>
      </c>
      <c r="C1259" t="s">
        <v>142</v>
      </c>
      <c r="D1259" t="s">
        <v>198</v>
      </c>
      <c r="E1259">
        <v>0</v>
      </c>
      <c r="F1259">
        <v>0</v>
      </c>
      <c r="G1259">
        <v>27</v>
      </c>
      <c r="H1259" t="s">
        <v>19</v>
      </c>
      <c r="M1259">
        <v>0</v>
      </c>
      <c r="N1259">
        <v>0</v>
      </c>
      <c r="O1259">
        <v>0</v>
      </c>
      <c r="R1259" t="str">
        <f t="shared" si="38"/>
        <v>no</v>
      </c>
      <c r="S1259" t="str">
        <f t="shared" si="39"/>
        <v>no</v>
      </c>
    </row>
    <row r="1260" spans="1:19" x14ac:dyDescent="0.35">
      <c r="A1260" s="1">
        <v>1258</v>
      </c>
      <c r="B1260" t="s">
        <v>829</v>
      </c>
      <c r="C1260" t="s">
        <v>142</v>
      </c>
      <c r="D1260" t="s">
        <v>199</v>
      </c>
      <c r="G1260">
        <v>27</v>
      </c>
      <c r="H1260" t="s">
        <v>19</v>
      </c>
      <c r="R1260" t="str">
        <f t="shared" si="38"/>
        <v>no</v>
      </c>
      <c r="S1260" t="str">
        <f t="shared" si="39"/>
        <v>no</v>
      </c>
    </row>
    <row r="1261" spans="1:19" x14ac:dyDescent="0.35">
      <c r="A1261" s="1">
        <v>1259</v>
      </c>
      <c r="B1261" t="s">
        <v>829</v>
      </c>
      <c r="C1261" t="s">
        <v>142</v>
      </c>
      <c r="D1261" t="s">
        <v>200</v>
      </c>
      <c r="G1261">
        <v>27</v>
      </c>
      <c r="H1261" t="s">
        <v>19</v>
      </c>
      <c r="R1261" t="str">
        <f t="shared" si="38"/>
        <v>no</v>
      </c>
      <c r="S1261" t="str">
        <f t="shared" si="39"/>
        <v>no</v>
      </c>
    </row>
    <row r="1262" spans="1:19" x14ac:dyDescent="0.35">
      <c r="A1262" s="1">
        <v>1260</v>
      </c>
      <c r="B1262" t="s">
        <v>829</v>
      </c>
      <c r="C1262" t="s">
        <v>142</v>
      </c>
      <c r="D1262" t="s">
        <v>201</v>
      </c>
      <c r="E1262">
        <v>0</v>
      </c>
      <c r="F1262">
        <v>0</v>
      </c>
      <c r="G1262">
        <v>27</v>
      </c>
      <c r="H1262" t="s">
        <v>19</v>
      </c>
      <c r="M1262">
        <v>0</v>
      </c>
      <c r="N1262">
        <v>0</v>
      </c>
      <c r="O1262">
        <v>0</v>
      </c>
      <c r="R1262" t="str">
        <f t="shared" si="38"/>
        <v>no</v>
      </c>
      <c r="S1262" t="str">
        <f t="shared" si="39"/>
        <v>no</v>
      </c>
    </row>
    <row r="1263" spans="1:19" x14ac:dyDescent="0.35">
      <c r="A1263" s="1">
        <v>1261</v>
      </c>
      <c r="B1263" t="s">
        <v>829</v>
      </c>
      <c r="C1263" t="s">
        <v>142</v>
      </c>
      <c r="D1263" t="s">
        <v>202</v>
      </c>
      <c r="G1263">
        <v>27</v>
      </c>
      <c r="H1263" t="s">
        <v>19</v>
      </c>
      <c r="R1263" t="str">
        <f t="shared" si="38"/>
        <v>no</v>
      </c>
      <c r="S1263" t="str">
        <f t="shared" si="39"/>
        <v>no</v>
      </c>
    </row>
    <row r="1264" spans="1:19" x14ac:dyDescent="0.35">
      <c r="A1264" s="1">
        <v>1262</v>
      </c>
      <c r="B1264" t="s">
        <v>829</v>
      </c>
      <c r="C1264" t="s">
        <v>142</v>
      </c>
      <c r="D1264" t="s">
        <v>203</v>
      </c>
      <c r="G1264">
        <v>27</v>
      </c>
      <c r="H1264" t="s">
        <v>19</v>
      </c>
      <c r="R1264" t="str">
        <f t="shared" si="38"/>
        <v>no</v>
      </c>
      <c r="S1264" t="str">
        <f t="shared" si="39"/>
        <v>no</v>
      </c>
    </row>
    <row r="1265" spans="1:19" x14ac:dyDescent="0.35">
      <c r="A1265" s="1">
        <v>1263</v>
      </c>
      <c r="B1265" t="s">
        <v>829</v>
      </c>
      <c r="C1265" t="s">
        <v>142</v>
      </c>
      <c r="D1265" t="s">
        <v>204</v>
      </c>
      <c r="E1265">
        <v>0</v>
      </c>
      <c r="F1265">
        <v>0</v>
      </c>
      <c r="G1265">
        <v>27</v>
      </c>
      <c r="H1265" t="s">
        <v>19</v>
      </c>
      <c r="M1265">
        <v>0</v>
      </c>
      <c r="N1265">
        <v>0</v>
      </c>
      <c r="O1265">
        <v>0</v>
      </c>
      <c r="R1265" t="str">
        <f t="shared" si="38"/>
        <v>no</v>
      </c>
      <c r="S1265" t="str">
        <f t="shared" si="39"/>
        <v>no</v>
      </c>
    </row>
    <row r="1266" spans="1:19" x14ac:dyDescent="0.35">
      <c r="A1266" s="1">
        <v>1264</v>
      </c>
      <c r="B1266" t="s">
        <v>829</v>
      </c>
      <c r="C1266" t="s">
        <v>142</v>
      </c>
      <c r="D1266" t="s">
        <v>205</v>
      </c>
      <c r="G1266">
        <v>27</v>
      </c>
      <c r="H1266" t="s">
        <v>19</v>
      </c>
      <c r="R1266" t="str">
        <f t="shared" si="38"/>
        <v>no</v>
      </c>
      <c r="S1266" t="str">
        <f t="shared" si="39"/>
        <v>no</v>
      </c>
    </row>
    <row r="1267" spans="1:19" x14ac:dyDescent="0.35">
      <c r="A1267" s="1">
        <v>1265</v>
      </c>
      <c r="B1267" t="s">
        <v>829</v>
      </c>
      <c r="C1267" t="s">
        <v>142</v>
      </c>
      <c r="D1267" t="s">
        <v>206</v>
      </c>
      <c r="G1267">
        <v>27</v>
      </c>
      <c r="H1267" t="s">
        <v>19</v>
      </c>
      <c r="R1267" t="str">
        <f t="shared" si="38"/>
        <v>no</v>
      </c>
      <c r="S1267" t="str">
        <f t="shared" si="39"/>
        <v>no</v>
      </c>
    </row>
    <row r="1268" spans="1:19" x14ac:dyDescent="0.35">
      <c r="A1268" s="1">
        <v>1266</v>
      </c>
      <c r="B1268" t="s">
        <v>829</v>
      </c>
      <c r="C1268" t="s">
        <v>142</v>
      </c>
      <c r="D1268" t="s">
        <v>207</v>
      </c>
      <c r="E1268">
        <v>0</v>
      </c>
      <c r="F1268">
        <v>0</v>
      </c>
      <c r="G1268">
        <v>27</v>
      </c>
      <c r="H1268" t="s">
        <v>19</v>
      </c>
      <c r="M1268">
        <v>0</v>
      </c>
      <c r="N1268">
        <v>0</v>
      </c>
      <c r="O1268">
        <v>0</v>
      </c>
      <c r="R1268" t="str">
        <f t="shared" si="38"/>
        <v>no</v>
      </c>
      <c r="S1268" t="str">
        <f t="shared" si="39"/>
        <v>no</v>
      </c>
    </row>
    <row r="1269" spans="1:19" x14ac:dyDescent="0.35">
      <c r="A1269" s="1">
        <v>1267</v>
      </c>
      <c r="B1269" t="s">
        <v>829</v>
      </c>
      <c r="C1269" t="s">
        <v>142</v>
      </c>
      <c r="D1269" t="s">
        <v>208</v>
      </c>
      <c r="G1269">
        <v>27</v>
      </c>
      <c r="H1269" t="s">
        <v>19</v>
      </c>
      <c r="R1269" t="str">
        <f t="shared" si="38"/>
        <v>no</v>
      </c>
      <c r="S1269" t="str">
        <f t="shared" si="39"/>
        <v>no</v>
      </c>
    </row>
    <row r="1270" spans="1:19" x14ac:dyDescent="0.35">
      <c r="A1270" s="1">
        <v>1268</v>
      </c>
      <c r="B1270" t="s">
        <v>829</v>
      </c>
      <c r="C1270" t="s">
        <v>142</v>
      </c>
      <c r="D1270" t="s">
        <v>209</v>
      </c>
      <c r="G1270">
        <v>27</v>
      </c>
      <c r="H1270" t="s">
        <v>19</v>
      </c>
      <c r="R1270" t="str">
        <f t="shared" si="38"/>
        <v>no</v>
      </c>
      <c r="S1270" t="str">
        <f t="shared" si="39"/>
        <v>no</v>
      </c>
    </row>
    <row r="1271" spans="1:19" x14ac:dyDescent="0.35">
      <c r="A1271" s="1">
        <v>1269</v>
      </c>
      <c r="B1271" t="s">
        <v>829</v>
      </c>
      <c r="C1271" t="s">
        <v>142</v>
      </c>
      <c r="D1271" t="s">
        <v>210</v>
      </c>
      <c r="E1271">
        <v>0</v>
      </c>
      <c r="F1271">
        <v>0</v>
      </c>
      <c r="G1271">
        <v>27</v>
      </c>
      <c r="H1271" t="s">
        <v>19</v>
      </c>
      <c r="M1271">
        <v>0</v>
      </c>
      <c r="N1271">
        <v>0</v>
      </c>
      <c r="O1271">
        <v>0</v>
      </c>
      <c r="R1271" t="str">
        <f t="shared" si="38"/>
        <v>no</v>
      </c>
      <c r="S1271" t="str">
        <f t="shared" si="39"/>
        <v>no</v>
      </c>
    </row>
    <row r="1272" spans="1:19" x14ac:dyDescent="0.35">
      <c r="A1272" s="1">
        <v>1270</v>
      </c>
      <c r="B1272" t="s">
        <v>829</v>
      </c>
      <c r="C1272" t="s">
        <v>142</v>
      </c>
      <c r="D1272" t="s">
        <v>211</v>
      </c>
      <c r="G1272">
        <v>27</v>
      </c>
      <c r="H1272" t="s">
        <v>19</v>
      </c>
      <c r="R1272" t="str">
        <f t="shared" si="38"/>
        <v>no</v>
      </c>
      <c r="S1272" t="str">
        <f t="shared" si="39"/>
        <v>no</v>
      </c>
    </row>
    <row r="1273" spans="1:19" x14ac:dyDescent="0.35">
      <c r="A1273" s="1">
        <v>1271</v>
      </c>
      <c r="B1273" t="s">
        <v>829</v>
      </c>
      <c r="C1273" t="s">
        <v>142</v>
      </c>
      <c r="D1273" t="s">
        <v>212</v>
      </c>
      <c r="G1273">
        <v>27</v>
      </c>
      <c r="H1273" t="s">
        <v>19</v>
      </c>
      <c r="R1273" t="str">
        <f t="shared" si="38"/>
        <v>no</v>
      </c>
      <c r="S1273" t="str">
        <f t="shared" si="39"/>
        <v>no</v>
      </c>
    </row>
    <row r="1274" spans="1:19" x14ac:dyDescent="0.35">
      <c r="A1274" s="1">
        <v>1272</v>
      </c>
      <c r="B1274" t="s">
        <v>829</v>
      </c>
      <c r="C1274" t="s">
        <v>142</v>
      </c>
      <c r="D1274" t="s">
        <v>213</v>
      </c>
      <c r="E1274">
        <v>0</v>
      </c>
      <c r="F1274">
        <v>0</v>
      </c>
      <c r="G1274">
        <v>27</v>
      </c>
      <c r="H1274" t="s">
        <v>19</v>
      </c>
      <c r="M1274">
        <v>0</v>
      </c>
      <c r="N1274">
        <v>0</v>
      </c>
      <c r="O1274">
        <v>0</v>
      </c>
      <c r="R1274" t="str">
        <f t="shared" si="38"/>
        <v>no</v>
      </c>
      <c r="S1274" t="str">
        <f t="shared" si="39"/>
        <v>no</v>
      </c>
    </row>
    <row r="1275" spans="1:19" x14ac:dyDescent="0.35">
      <c r="A1275" s="1">
        <v>1273</v>
      </c>
      <c r="B1275" t="s">
        <v>829</v>
      </c>
      <c r="C1275" t="s">
        <v>142</v>
      </c>
      <c r="D1275" t="s">
        <v>214</v>
      </c>
      <c r="G1275">
        <v>27</v>
      </c>
      <c r="H1275" t="s">
        <v>19</v>
      </c>
      <c r="R1275" t="str">
        <f t="shared" si="38"/>
        <v>no</v>
      </c>
      <c r="S1275" t="str">
        <f t="shared" si="39"/>
        <v>no</v>
      </c>
    </row>
    <row r="1276" spans="1:19" x14ac:dyDescent="0.35">
      <c r="A1276" s="1">
        <v>1274</v>
      </c>
      <c r="B1276" t="s">
        <v>829</v>
      </c>
      <c r="C1276" t="s">
        <v>142</v>
      </c>
      <c r="D1276" t="s">
        <v>215</v>
      </c>
      <c r="G1276">
        <v>27</v>
      </c>
      <c r="H1276" t="s">
        <v>19</v>
      </c>
      <c r="R1276" t="str">
        <f t="shared" si="38"/>
        <v>no</v>
      </c>
      <c r="S1276" t="str">
        <f t="shared" si="39"/>
        <v>no</v>
      </c>
    </row>
    <row r="1277" spans="1:19" x14ac:dyDescent="0.35">
      <c r="A1277" s="1">
        <v>1275</v>
      </c>
      <c r="B1277" t="s">
        <v>829</v>
      </c>
      <c r="C1277" t="s">
        <v>142</v>
      </c>
      <c r="D1277" t="s">
        <v>216</v>
      </c>
      <c r="E1277">
        <v>0</v>
      </c>
      <c r="F1277">
        <v>0</v>
      </c>
      <c r="G1277">
        <v>27</v>
      </c>
      <c r="H1277" t="s">
        <v>19</v>
      </c>
      <c r="M1277">
        <v>0</v>
      </c>
      <c r="N1277">
        <v>0</v>
      </c>
      <c r="O1277">
        <v>0</v>
      </c>
      <c r="R1277" t="str">
        <f t="shared" si="38"/>
        <v>no</v>
      </c>
      <c r="S1277" t="str">
        <f t="shared" si="39"/>
        <v>no</v>
      </c>
    </row>
    <row r="1278" spans="1:19" x14ac:dyDescent="0.35">
      <c r="A1278" s="1">
        <v>1276</v>
      </c>
      <c r="B1278" t="s">
        <v>829</v>
      </c>
      <c r="C1278" t="s">
        <v>142</v>
      </c>
      <c r="D1278" t="s">
        <v>217</v>
      </c>
      <c r="G1278">
        <v>27</v>
      </c>
      <c r="H1278" t="s">
        <v>19</v>
      </c>
      <c r="R1278" t="str">
        <f t="shared" si="38"/>
        <v>no</v>
      </c>
      <c r="S1278" t="str">
        <f t="shared" si="39"/>
        <v>no</v>
      </c>
    </row>
    <row r="1279" spans="1:19" x14ac:dyDescent="0.35">
      <c r="A1279" s="1">
        <v>1277</v>
      </c>
      <c r="B1279" t="s">
        <v>829</v>
      </c>
      <c r="C1279" t="s">
        <v>142</v>
      </c>
      <c r="D1279" t="s">
        <v>218</v>
      </c>
      <c r="G1279">
        <v>27</v>
      </c>
      <c r="H1279" t="s">
        <v>19</v>
      </c>
      <c r="R1279" t="str">
        <f t="shared" si="38"/>
        <v>no</v>
      </c>
      <c r="S1279" t="str">
        <f t="shared" si="39"/>
        <v>no</v>
      </c>
    </row>
    <row r="1280" spans="1:19" x14ac:dyDescent="0.35">
      <c r="A1280" s="1">
        <v>1278</v>
      </c>
      <c r="B1280" t="s">
        <v>829</v>
      </c>
      <c r="C1280" t="s">
        <v>142</v>
      </c>
      <c r="D1280" t="s">
        <v>219</v>
      </c>
      <c r="E1280">
        <v>0</v>
      </c>
      <c r="F1280">
        <v>0</v>
      </c>
      <c r="G1280">
        <v>27</v>
      </c>
      <c r="H1280" t="s">
        <v>19</v>
      </c>
      <c r="M1280">
        <v>0</v>
      </c>
      <c r="N1280">
        <v>0</v>
      </c>
      <c r="O1280">
        <v>0</v>
      </c>
      <c r="R1280" t="str">
        <f t="shared" si="38"/>
        <v>no</v>
      </c>
      <c r="S1280" t="str">
        <f t="shared" si="39"/>
        <v>no</v>
      </c>
    </row>
    <row r="1281" spans="1:19" x14ac:dyDescent="0.35">
      <c r="A1281" s="1">
        <v>1279</v>
      </c>
      <c r="B1281" t="s">
        <v>829</v>
      </c>
      <c r="C1281" t="s">
        <v>142</v>
      </c>
      <c r="D1281" t="s">
        <v>220</v>
      </c>
      <c r="G1281">
        <v>27</v>
      </c>
      <c r="H1281" t="s">
        <v>19</v>
      </c>
      <c r="R1281" t="str">
        <f t="shared" si="38"/>
        <v>no</v>
      </c>
      <c r="S1281" t="str">
        <f t="shared" si="39"/>
        <v>no</v>
      </c>
    </row>
    <row r="1282" spans="1:19" x14ac:dyDescent="0.35">
      <c r="A1282" s="1">
        <v>1280</v>
      </c>
      <c r="B1282" t="s">
        <v>829</v>
      </c>
      <c r="C1282" t="s">
        <v>142</v>
      </c>
      <c r="D1282" t="s">
        <v>221</v>
      </c>
      <c r="G1282">
        <v>27</v>
      </c>
      <c r="H1282" t="s">
        <v>19</v>
      </c>
      <c r="R1282" t="str">
        <f t="shared" si="38"/>
        <v>no</v>
      </c>
      <c r="S1282" t="str">
        <f t="shared" si="39"/>
        <v>no</v>
      </c>
    </row>
    <row r="1283" spans="1:19" x14ac:dyDescent="0.35">
      <c r="A1283" s="1">
        <v>1281</v>
      </c>
      <c r="B1283" t="s">
        <v>829</v>
      </c>
      <c r="C1283" t="s">
        <v>142</v>
      </c>
      <c r="D1283" t="s">
        <v>222</v>
      </c>
      <c r="E1283">
        <v>0</v>
      </c>
      <c r="F1283">
        <v>0</v>
      </c>
      <c r="G1283">
        <v>27</v>
      </c>
      <c r="H1283" t="s">
        <v>19</v>
      </c>
      <c r="M1283">
        <v>0</v>
      </c>
      <c r="N1283">
        <v>0</v>
      </c>
      <c r="O1283">
        <v>0</v>
      </c>
      <c r="R1283" t="str">
        <f t="shared" ref="R1283:R1346" si="40">IF(H1283="yes","yes","no")</f>
        <v>no</v>
      </c>
      <c r="S1283" t="str">
        <f t="shared" ref="S1283:S1346" si="41">IF(I1283,"yes","no")</f>
        <v>no</v>
      </c>
    </row>
    <row r="1284" spans="1:19" x14ac:dyDescent="0.35">
      <c r="A1284" s="1">
        <v>1282</v>
      </c>
      <c r="B1284" t="s">
        <v>829</v>
      </c>
      <c r="C1284" t="s">
        <v>142</v>
      </c>
      <c r="D1284" t="s">
        <v>223</v>
      </c>
      <c r="G1284">
        <v>27</v>
      </c>
      <c r="H1284" t="s">
        <v>19</v>
      </c>
      <c r="R1284" t="str">
        <f t="shared" si="40"/>
        <v>no</v>
      </c>
      <c r="S1284" t="str">
        <f t="shared" si="41"/>
        <v>no</v>
      </c>
    </row>
    <row r="1285" spans="1:19" x14ac:dyDescent="0.35">
      <c r="A1285" s="1">
        <v>1283</v>
      </c>
      <c r="B1285" t="s">
        <v>829</v>
      </c>
      <c r="C1285" t="s">
        <v>142</v>
      </c>
      <c r="D1285" t="s">
        <v>224</v>
      </c>
      <c r="G1285">
        <v>27</v>
      </c>
      <c r="H1285" t="s">
        <v>19</v>
      </c>
      <c r="R1285" t="str">
        <f t="shared" si="40"/>
        <v>no</v>
      </c>
      <c r="S1285" t="str">
        <f t="shared" si="41"/>
        <v>no</v>
      </c>
    </row>
    <row r="1286" spans="1:19" x14ac:dyDescent="0.35">
      <c r="A1286" s="1">
        <v>1284</v>
      </c>
      <c r="B1286" t="s">
        <v>829</v>
      </c>
      <c r="C1286" t="s">
        <v>142</v>
      </c>
      <c r="D1286" t="s">
        <v>225</v>
      </c>
      <c r="E1286">
        <v>0</v>
      </c>
      <c r="F1286">
        <v>0</v>
      </c>
      <c r="G1286">
        <v>27</v>
      </c>
      <c r="H1286" t="s">
        <v>19</v>
      </c>
      <c r="M1286">
        <v>0</v>
      </c>
      <c r="N1286">
        <v>0</v>
      </c>
      <c r="O1286">
        <v>0</v>
      </c>
      <c r="R1286" t="str">
        <f t="shared" si="40"/>
        <v>no</v>
      </c>
      <c r="S1286" t="str">
        <f t="shared" si="41"/>
        <v>no</v>
      </c>
    </row>
    <row r="1287" spans="1:19" x14ac:dyDescent="0.35">
      <c r="A1287" s="1">
        <v>1285</v>
      </c>
      <c r="B1287" t="s">
        <v>829</v>
      </c>
      <c r="C1287" t="s">
        <v>142</v>
      </c>
      <c r="D1287" t="s">
        <v>226</v>
      </c>
      <c r="G1287">
        <v>27</v>
      </c>
      <c r="H1287" t="s">
        <v>19</v>
      </c>
      <c r="R1287" t="str">
        <f t="shared" si="40"/>
        <v>no</v>
      </c>
      <c r="S1287" t="str">
        <f t="shared" si="41"/>
        <v>no</v>
      </c>
    </row>
    <row r="1288" spans="1:19" x14ac:dyDescent="0.35">
      <c r="A1288" s="1">
        <v>1286</v>
      </c>
      <c r="B1288" t="s">
        <v>829</v>
      </c>
      <c r="C1288" t="s">
        <v>142</v>
      </c>
      <c r="D1288" t="s">
        <v>227</v>
      </c>
      <c r="G1288">
        <v>27</v>
      </c>
      <c r="H1288" t="s">
        <v>19</v>
      </c>
      <c r="R1288" t="str">
        <f t="shared" si="40"/>
        <v>no</v>
      </c>
      <c r="S1288" t="str">
        <f t="shared" si="41"/>
        <v>no</v>
      </c>
    </row>
    <row r="1289" spans="1:19" x14ac:dyDescent="0.35">
      <c r="A1289" s="1">
        <v>1287</v>
      </c>
      <c r="B1289" t="s">
        <v>829</v>
      </c>
      <c r="C1289" t="s">
        <v>142</v>
      </c>
      <c r="D1289" t="s">
        <v>228</v>
      </c>
      <c r="E1289">
        <v>0</v>
      </c>
      <c r="F1289">
        <v>0</v>
      </c>
      <c r="G1289">
        <v>27</v>
      </c>
      <c r="H1289" t="s">
        <v>19</v>
      </c>
      <c r="M1289">
        <v>0</v>
      </c>
      <c r="N1289">
        <v>0</v>
      </c>
      <c r="O1289">
        <v>0</v>
      </c>
      <c r="R1289" t="str">
        <f t="shared" si="40"/>
        <v>no</v>
      </c>
      <c r="S1289" t="str">
        <f t="shared" si="41"/>
        <v>no</v>
      </c>
    </row>
    <row r="1290" spans="1:19" x14ac:dyDescent="0.35">
      <c r="A1290" s="1">
        <v>1288</v>
      </c>
      <c r="B1290" t="s">
        <v>829</v>
      </c>
      <c r="C1290" t="s">
        <v>142</v>
      </c>
      <c r="D1290" t="s">
        <v>229</v>
      </c>
      <c r="G1290">
        <v>27</v>
      </c>
      <c r="H1290" t="s">
        <v>19</v>
      </c>
      <c r="R1290" t="str">
        <f t="shared" si="40"/>
        <v>no</v>
      </c>
      <c r="S1290" t="str">
        <f t="shared" si="41"/>
        <v>no</v>
      </c>
    </row>
    <row r="1291" spans="1:19" x14ac:dyDescent="0.35">
      <c r="A1291" s="1">
        <v>1289</v>
      </c>
      <c r="B1291" t="s">
        <v>829</v>
      </c>
      <c r="C1291" t="s">
        <v>142</v>
      </c>
      <c r="D1291" t="s">
        <v>230</v>
      </c>
      <c r="G1291">
        <v>27</v>
      </c>
      <c r="H1291" t="s">
        <v>19</v>
      </c>
      <c r="R1291" t="str">
        <f t="shared" si="40"/>
        <v>no</v>
      </c>
      <c r="S1291" t="str">
        <f t="shared" si="41"/>
        <v>no</v>
      </c>
    </row>
    <row r="1292" spans="1:19" x14ac:dyDescent="0.35">
      <c r="A1292" s="1">
        <v>1290</v>
      </c>
      <c r="B1292" t="s">
        <v>829</v>
      </c>
      <c r="C1292" t="s">
        <v>142</v>
      </c>
      <c r="D1292" t="s">
        <v>231</v>
      </c>
      <c r="E1292">
        <v>0</v>
      </c>
      <c r="F1292">
        <v>0</v>
      </c>
      <c r="G1292">
        <v>27</v>
      </c>
      <c r="H1292" t="s">
        <v>19</v>
      </c>
      <c r="M1292">
        <v>0</v>
      </c>
      <c r="N1292">
        <v>0</v>
      </c>
      <c r="O1292">
        <v>0</v>
      </c>
      <c r="R1292" t="str">
        <f t="shared" si="40"/>
        <v>no</v>
      </c>
      <c r="S1292" t="str">
        <f t="shared" si="41"/>
        <v>no</v>
      </c>
    </row>
    <row r="1293" spans="1:19" x14ac:dyDescent="0.35">
      <c r="A1293" s="1">
        <v>1291</v>
      </c>
      <c r="B1293" t="s">
        <v>829</v>
      </c>
      <c r="C1293" t="s">
        <v>142</v>
      </c>
      <c r="D1293" t="s">
        <v>232</v>
      </c>
      <c r="G1293">
        <v>27</v>
      </c>
      <c r="H1293" t="s">
        <v>19</v>
      </c>
      <c r="R1293" t="str">
        <f t="shared" si="40"/>
        <v>no</v>
      </c>
      <c r="S1293" t="str">
        <f t="shared" si="41"/>
        <v>no</v>
      </c>
    </row>
    <row r="1294" spans="1:19" x14ac:dyDescent="0.35">
      <c r="A1294" s="1">
        <v>1292</v>
      </c>
      <c r="B1294" t="s">
        <v>829</v>
      </c>
      <c r="C1294" t="s">
        <v>142</v>
      </c>
      <c r="D1294" t="s">
        <v>233</v>
      </c>
      <c r="G1294">
        <v>27</v>
      </c>
      <c r="H1294" t="s">
        <v>19</v>
      </c>
      <c r="R1294" t="str">
        <f t="shared" si="40"/>
        <v>no</v>
      </c>
      <c r="S1294" t="str">
        <f t="shared" si="41"/>
        <v>no</v>
      </c>
    </row>
    <row r="1295" spans="1:19" x14ac:dyDescent="0.35">
      <c r="A1295" s="1">
        <v>1293</v>
      </c>
      <c r="B1295" t="s">
        <v>829</v>
      </c>
      <c r="C1295" t="s">
        <v>142</v>
      </c>
      <c r="D1295" t="s">
        <v>234</v>
      </c>
      <c r="E1295">
        <v>0</v>
      </c>
      <c r="F1295">
        <v>0</v>
      </c>
      <c r="G1295">
        <v>27</v>
      </c>
      <c r="H1295" t="s">
        <v>19</v>
      </c>
      <c r="M1295">
        <v>0</v>
      </c>
      <c r="N1295">
        <v>0</v>
      </c>
      <c r="O1295">
        <v>0</v>
      </c>
      <c r="R1295" t="str">
        <f t="shared" si="40"/>
        <v>no</v>
      </c>
      <c r="S1295" t="str">
        <f t="shared" si="41"/>
        <v>no</v>
      </c>
    </row>
    <row r="1296" spans="1:19" x14ac:dyDescent="0.35">
      <c r="A1296" s="1">
        <v>1294</v>
      </c>
      <c r="B1296" t="s">
        <v>829</v>
      </c>
      <c r="C1296" t="s">
        <v>142</v>
      </c>
      <c r="D1296" t="s">
        <v>235</v>
      </c>
      <c r="G1296">
        <v>27</v>
      </c>
      <c r="H1296" t="s">
        <v>19</v>
      </c>
      <c r="R1296" t="str">
        <f t="shared" si="40"/>
        <v>no</v>
      </c>
      <c r="S1296" t="str">
        <f t="shared" si="41"/>
        <v>no</v>
      </c>
    </row>
    <row r="1297" spans="1:19" x14ac:dyDescent="0.35">
      <c r="A1297" s="1">
        <v>1295</v>
      </c>
      <c r="B1297" t="s">
        <v>829</v>
      </c>
      <c r="C1297" t="s">
        <v>142</v>
      </c>
      <c r="D1297" t="s">
        <v>236</v>
      </c>
      <c r="G1297">
        <v>27</v>
      </c>
      <c r="H1297" t="s">
        <v>19</v>
      </c>
      <c r="R1297" t="str">
        <f t="shared" si="40"/>
        <v>no</v>
      </c>
      <c r="S1297" t="str">
        <f t="shared" si="41"/>
        <v>no</v>
      </c>
    </row>
    <row r="1298" spans="1:19" x14ac:dyDescent="0.35">
      <c r="A1298" s="1">
        <v>1296</v>
      </c>
      <c r="B1298" t="s">
        <v>829</v>
      </c>
      <c r="C1298" t="s">
        <v>142</v>
      </c>
      <c r="D1298" t="s">
        <v>237</v>
      </c>
      <c r="E1298">
        <v>0</v>
      </c>
      <c r="F1298">
        <v>0</v>
      </c>
      <c r="G1298">
        <v>27</v>
      </c>
      <c r="H1298" t="s">
        <v>19</v>
      </c>
      <c r="M1298">
        <v>0</v>
      </c>
      <c r="N1298">
        <v>0</v>
      </c>
      <c r="O1298">
        <v>0</v>
      </c>
      <c r="R1298" t="str">
        <f t="shared" si="40"/>
        <v>no</v>
      </c>
      <c r="S1298" t="str">
        <f t="shared" si="41"/>
        <v>no</v>
      </c>
    </row>
    <row r="1299" spans="1:19" x14ac:dyDescent="0.35">
      <c r="A1299" s="1">
        <v>1297</v>
      </c>
      <c r="B1299" t="s">
        <v>829</v>
      </c>
      <c r="C1299" t="s">
        <v>142</v>
      </c>
      <c r="D1299" t="s">
        <v>238</v>
      </c>
      <c r="G1299">
        <v>27</v>
      </c>
      <c r="H1299" t="s">
        <v>19</v>
      </c>
      <c r="R1299" t="str">
        <f t="shared" si="40"/>
        <v>no</v>
      </c>
      <c r="S1299" t="str">
        <f t="shared" si="41"/>
        <v>no</v>
      </c>
    </row>
    <row r="1300" spans="1:19" x14ac:dyDescent="0.35">
      <c r="A1300" s="1">
        <v>1298</v>
      </c>
      <c r="B1300" t="s">
        <v>829</v>
      </c>
      <c r="C1300" t="s">
        <v>142</v>
      </c>
      <c r="D1300" t="s">
        <v>239</v>
      </c>
      <c r="G1300">
        <v>27</v>
      </c>
      <c r="H1300" t="s">
        <v>19</v>
      </c>
      <c r="R1300" t="str">
        <f t="shared" si="40"/>
        <v>no</v>
      </c>
      <c r="S1300" t="str">
        <f t="shared" si="41"/>
        <v>no</v>
      </c>
    </row>
    <row r="1301" spans="1:19" x14ac:dyDescent="0.35">
      <c r="A1301" s="1">
        <v>1299</v>
      </c>
      <c r="B1301" t="s">
        <v>829</v>
      </c>
      <c r="C1301" t="s">
        <v>142</v>
      </c>
      <c r="D1301" t="s">
        <v>240</v>
      </c>
      <c r="E1301">
        <v>0</v>
      </c>
      <c r="F1301">
        <v>0</v>
      </c>
      <c r="G1301">
        <v>27</v>
      </c>
      <c r="H1301" t="s">
        <v>19</v>
      </c>
      <c r="M1301">
        <v>0</v>
      </c>
      <c r="N1301">
        <v>0</v>
      </c>
      <c r="O1301">
        <v>0</v>
      </c>
      <c r="R1301" t="str">
        <f t="shared" si="40"/>
        <v>no</v>
      </c>
      <c r="S1301" t="str">
        <f t="shared" si="41"/>
        <v>no</v>
      </c>
    </row>
    <row r="1302" spans="1:19" x14ac:dyDescent="0.35">
      <c r="A1302" s="1">
        <v>1300</v>
      </c>
      <c r="B1302" t="s">
        <v>829</v>
      </c>
      <c r="C1302" t="s">
        <v>142</v>
      </c>
      <c r="D1302" t="s">
        <v>241</v>
      </c>
      <c r="G1302">
        <v>27</v>
      </c>
      <c r="H1302" t="s">
        <v>19</v>
      </c>
      <c r="R1302" t="str">
        <f t="shared" si="40"/>
        <v>no</v>
      </c>
      <c r="S1302" t="str">
        <f t="shared" si="41"/>
        <v>no</v>
      </c>
    </row>
    <row r="1303" spans="1:19" x14ac:dyDescent="0.35">
      <c r="A1303" s="1">
        <v>1301</v>
      </c>
      <c r="B1303" t="s">
        <v>829</v>
      </c>
      <c r="C1303" t="s">
        <v>142</v>
      </c>
      <c r="D1303" t="s">
        <v>242</v>
      </c>
      <c r="G1303">
        <v>27</v>
      </c>
      <c r="H1303" t="s">
        <v>19</v>
      </c>
      <c r="R1303" t="str">
        <f t="shared" si="40"/>
        <v>no</v>
      </c>
      <c r="S1303" t="str">
        <f t="shared" si="41"/>
        <v>no</v>
      </c>
    </row>
    <row r="1304" spans="1:19" x14ac:dyDescent="0.35">
      <c r="A1304" s="1">
        <v>1302</v>
      </c>
      <c r="B1304" t="s">
        <v>829</v>
      </c>
      <c r="C1304" t="s">
        <v>142</v>
      </c>
      <c r="D1304" t="s">
        <v>243</v>
      </c>
      <c r="E1304">
        <v>0</v>
      </c>
      <c r="F1304">
        <v>0</v>
      </c>
      <c r="G1304">
        <v>27</v>
      </c>
      <c r="H1304" t="s">
        <v>19</v>
      </c>
      <c r="M1304">
        <v>0</v>
      </c>
      <c r="N1304">
        <v>0</v>
      </c>
      <c r="O1304">
        <v>0</v>
      </c>
      <c r="R1304" t="str">
        <f t="shared" si="40"/>
        <v>no</v>
      </c>
      <c r="S1304" t="str">
        <f t="shared" si="41"/>
        <v>no</v>
      </c>
    </row>
    <row r="1305" spans="1:19" x14ac:dyDescent="0.35">
      <c r="A1305" s="1">
        <v>1303</v>
      </c>
      <c r="B1305" t="s">
        <v>829</v>
      </c>
      <c r="C1305" t="s">
        <v>142</v>
      </c>
      <c r="D1305" t="s">
        <v>244</v>
      </c>
      <c r="G1305">
        <v>27</v>
      </c>
      <c r="H1305" t="s">
        <v>19</v>
      </c>
      <c r="R1305" t="str">
        <f t="shared" si="40"/>
        <v>no</v>
      </c>
      <c r="S1305" t="str">
        <f t="shared" si="41"/>
        <v>no</v>
      </c>
    </row>
    <row r="1306" spans="1:19" x14ac:dyDescent="0.35">
      <c r="A1306" s="1">
        <v>1304</v>
      </c>
      <c r="B1306" t="s">
        <v>829</v>
      </c>
      <c r="C1306" t="s">
        <v>142</v>
      </c>
      <c r="D1306" t="s">
        <v>245</v>
      </c>
      <c r="G1306">
        <v>27</v>
      </c>
      <c r="H1306" t="s">
        <v>19</v>
      </c>
      <c r="R1306" t="str">
        <f t="shared" si="40"/>
        <v>no</v>
      </c>
      <c r="S1306" t="str">
        <f t="shared" si="41"/>
        <v>no</v>
      </c>
    </row>
    <row r="1307" spans="1:19" x14ac:dyDescent="0.35">
      <c r="A1307" s="1">
        <v>1305</v>
      </c>
      <c r="B1307" t="s">
        <v>829</v>
      </c>
      <c r="C1307" t="s">
        <v>142</v>
      </c>
      <c r="D1307" t="s">
        <v>246</v>
      </c>
      <c r="E1307">
        <v>0</v>
      </c>
      <c r="F1307">
        <v>0</v>
      </c>
      <c r="G1307">
        <v>27</v>
      </c>
      <c r="H1307" t="s">
        <v>19</v>
      </c>
      <c r="M1307">
        <v>0</v>
      </c>
      <c r="N1307">
        <v>0</v>
      </c>
      <c r="O1307">
        <v>0</v>
      </c>
      <c r="R1307" t="str">
        <f t="shared" si="40"/>
        <v>no</v>
      </c>
      <c r="S1307" t="str">
        <f t="shared" si="41"/>
        <v>no</v>
      </c>
    </row>
    <row r="1308" spans="1:19" x14ac:dyDescent="0.35">
      <c r="A1308" s="1">
        <v>1306</v>
      </c>
      <c r="B1308" t="s">
        <v>829</v>
      </c>
      <c r="C1308" t="s">
        <v>142</v>
      </c>
      <c r="D1308" t="s">
        <v>247</v>
      </c>
      <c r="G1308">
        <v>27</v>
      </c>
      <c r="H1308" t="s">
        <v>19</v>
      </c>
      <c r="R1308" t="str">
        <f t="shared" si="40"/>
        <v>no</v>
      </c>
      <c r="S1308" t="str">
        <f t="shared" si="41"/>
        <v>no</v>
      </c>
    </row>
    <row r="1309" spans="1:19" x14ac:dyDescent="0.35">
      <c r="A1309" s="1">
        <v>1307</v>
      </c>
      <c r="B1309" t="s">
        <v>829</v>
      </c>
      <c r="C1309" t="s">
        <v>142</v>
      </c>
      <c r="D1309" t="s">
        <v>248</v>
      </c>
      <c r="G1309">
        <v>27</v>
      </c>
      <c r="H1309" t="s">
        <v>19</v>
      </c>
      <c r="R1309" t="str">
        <f t="shared" si="40"/>
        <v>no</v>
      </c>
      <c r="S1309" t="str">
        <f t="shared" si="41"/>
        <v>no</v>
      </c>
    </row>
    <row r="1310" spans="1:19" x14ac:dyDescent="0.35">
      <c r="A1310" s="1">
        <v>1308</v>
      </c>
      <c r="B1310" t="s">
        <v>829</v>
      </c>
      <c r="C1310" t="s">
        <v>142</v>
      </c>
      <c r="D1310" t="s">
        <v>249</v>
      </c>
      <c r="E1310">
        <v>0</v>
      </c>
      <c r="F1310">
        <v>0</v>
      </c>
      <c r="G1310">
        <v>27</v>
      </c>
      <c r="H1310" t="s">
        <v>19</v>
      </c>
      <c r="M1310">
        <v>0</v>
      </c>
      <c r="N1310">
        <v>0</v>
      </c>
      <c r="O1310">
        <v>0</v>
      </c>
      <c r="R1310" t="str">
        <f t="shared" si="40"/>
        <v>no</v>
      </c>
      <c r="S1310" t="str">
        <f t="shared" si="41"/>
        <v>no</v>
      </c>
    </row>
    <row r="1311" spans="1:19" x14ac:dyDescent="0.35">
      <c r="A1311" s="1">
        <v>1309</v>
      </c>
      <c r="B1311" t="s">
        <v>829</v>
      </c>
      <c r="C1311" t="s">
        <v>142</v>
      </c>
      <c r="D1311" t="s">
        <v>250</v>
      </c>
      <c r="G1311">
        <v>27</v>
      </c>
      <c r="H1311" t="s">
        <v>19</v>
      </c>
      <c r="R1311" t="str">
        <f t="shared" si="40"/>
        <v>no</v>
      </c>
      <c r="S1311" t="str">
        <f t="shared" si="41"/>
        <v>no</v>
      </c>
    </row>
    <row r="1312" spans="1:19" x14ac:dyDescent="0.35">
      <c r="A1312" s="1">
        <v>1310</v>
      </c>
      <c r="B1312" t="s">
        <v>829</v>
      </c>
      <c r="C1312" t="s">
        <v>251</v>
      </c>
      <c r="D1312" t="s">
        <v>252</v>
      </c>
      <c r="G1312">
        <v>27</v>
      </c>
      <c r="H1312" t="s">
        <v>19</v>
      </c>
      <c r="R1312" t="str">
        <f t="shared" si="40"/>
        <v>no</v>
      </c>
      <c r="S1312" t="str">
        <f t="shared" si="41"/>
        <v>no</v>
      </c>
    </row>
    <row r="1313" spans="1:19" x14ac:dyDescent="0.35">
      <c r="A1313" s="1">
        <v>1311</v>
      </c>
      <c r="B1313" t="s">
        <v>829</v>
      </c>
      <c r="C1313" t="s">
        <v>17</v>
      </c>
      <c r="D1313" t="s">
        <v>18</v>
      </c>
      <c r="E1313">
        <v>7505.680246913581</v>
      </c>
      <c r="F1313">
        <v>106.5525615452807</v>
      </c>
      <c r="G1313">
        <v>27</v>
      </c>
      <c r="H1313" t="s">
        <v>19</v>
      </c>
      <c r="M1313">
        <v>7718.7853700041424</v>
      </c>
      <c r="N1313">
        <v>7292.5751238230196</v>
      </c>
      <c r="O1313">
        <v>426.21024618112278</v>
      </c>
      <c r="P1313">
        <v>70.441105667121462</v>
      </c>
      <c r="R1313" t="str">
        <f t="shared" si="40"/>
        <v>no</v>
      </c>
      <c r="S1313" t="str">
        <f t="shared" si="41"/>
        <v>no</v>
      </c>
    </row>
    <row r="1314" spans="1:19" x14ac:dyDescent="0.35">
      <c r="A1314" s="1">
        <v>1312</v>
      </c>
      <c r="B1314" t="s">
        <v>829</v>
      </c>
      <c r="C1314" t="s">
        <v>17</v>
      </c>
      <c r="D1314" t="s">
        <v>20</v>
      </c>
      <c r="E1314">
        <v>1</v>
      </c>
      <c r="F1314">
        <v>0</v>
      </c>
      <c r="G1314">
        <v>27</v>
      </c>
      <c r="H1314" t="s">
        <v>19</v>
      </c>
      <c r="M1314">
        <v>1</v>
      </c>
      <c r="N1314">
        <v>1</v>
      </c>
      <c r="O1314">
        <v>0</v>
      </c>
      <c r="P1314" t="s">
        <v>21</v>
      </c>
      <c r="R1314" t="str">
        <f t="shared" si="40"/>
        <v>no</v>
      </c>
      <c r="S1314" t="str">
        <f t="shared" si="41"/>
        <v>no</v>
      </c>
    </row>
    <row r="1315" spans="1:19" x14ac:dyDescent="0.35">
      <c r="A1315" s="1">
        <v>1313</v>
      </c>
      <c r="B1315" t="s">
        <v>829</v>
      </c>
      <c r="C1315" t="s">
        <v>17</v>
      </c>
      <c r="D1315" t="s">
        <v>22</v>
      </c>
      <c r="E1315">
        <v>7510.0259259259255</v>
      </c>
      <c r="F1315">
        <v>120.0687958220564</v>
      </c>
      <c r="G1315">
        <v>27</v>
      </c>
      <c r="H1315" t="s">
        <v>19</v>
      </c>
      <c r="M1315">
        <v>7750.1635175700376</v>
      </c>
      <c r="N1315">
        <v>7269.8883342818126</v>
      </c>
      <c r="O1315">
        <v>480.27518328822589</v>
      </c>
      <c r="P1315">
        <v>62.547690884281756</v>
      </c>
      <c r="R1315" t="str">
        <f t="shared" si="40"/>
        <v>no</v>
      </c>
      <c r="S1315" t="str">
        <f t="shared" si="41"/>
        <v>no</v>
      </c>
    </row>
    <row r="1316" spans="1:19" x14ac:dyDescent="0.35">
      <c r="A1316" s="1">
        <v>1314</v>
      </c>
      <c r="B1316" t="s">
        <v>829</v>
      </c>
      <c r="C1316" t="s">
        <v>17</v>
      </c>
      <c r="D1316" t="s">
        <v>23</v>
      </c>
      <c r="E1316">
        <v>1</v>
      </c>
      <c r="F1316">
        <v>0</v>
      </c>
      <c r="G1316">
        <v>27</v>
      </c>
      <c r="H1316" t="s">
        <v>19</v>
      </c>
      <c r="M1316">
        <v>1</v>
      </c>
      <c r="N1316">
        <v>1</v>
      </c>
      <c r="O1316">
        <v>0</v>
      </c>
      <c r="P1316" t="s">
        <v>21</v>
      </c>
      <c r="R1316" t="str">
        <f t="shared" si="40"/>
        <v>no</v>
      </c>
      <c r="S1316" t="str">
        <f t="shared" si="41"/>
        <v>no</v>
      </c>
    </row>
    <row r="1317" spans="1:19" x14ac:dyDescent="0.35">
      <c r="A1317" s="1">
        <v>1315</v>
      </c>
      <c r="B1317" t="s">
        <v>829</v>
      </c>
      <c r="C1317" t="s">
        <v>17</v>
      </c>
      <c r="D1317" t="s">
        <v>24</v>
      </c>
      <c r="E1317">
        <v>7646.103703703704</v>
      </c>
      <c r="F1317">
        <v>122.94959945318971</v>
      </c>
      <c r="G1317">
        <v>27</v>
      </c>
      <c r="H1317" t="s">
        <v>19</v>
      </c>
      <c r="M1317">
        <v>7892.0029026100838</v>
      </c>
      <c r="N1317">
        <v>7400.2045047973243</v>
      </c>
      <c r="O1317">
        <v>491.7983978127595</v>
      </c>
      <c r="P1317">
        <v>62.188927314194189</v>
      </c>
      <c r="R1317" t="str">
        <f t="shared" si="40"/>
        <v>no</v>
      </c>
      <c r="S1317" t="str">
        <f t="shared" si="41"/>
        <v>no</v>
      </c>
    </row>
    <row r="1318" spans="1:19" x14ac:dyDescent="0.35">
      <c r="A1318" s="1">
        <v>1316</v>
      </c>
      <c r="B1318" t="s">
        <v>829</v>
      </c>
      <c r="C1318" t="s">
        <v>17</v>
      </c>
      <c r="D1318" t="s">
        <v>25</v>
      </c>
      <c r="E1318">
        <v>1</v>
      </c>
      <c r="F1318">
        <v>0</v>
      </c>
      <c r="G1318">
        <v>27</v>
      </c>
      <c r="H1318" t="s">
        <v>19</v>
      </c>
      <c r="M1318">
        <v>1</v>
      </c>
      <c r="N1318">
        <v>1</v>
      </c>
      <c r="O1318">
        <v>0</v>
      </c>
      <c r="P1318" t="s">
        <v>21</v>
      </c>
      <c r="R1318" t="str">
        <f t="shared" si="40"/>
        <v>no</v>
      </c>
      <c r="S1318" t="str">
        <f t="shared" si="41"/>
        <v>no</v>
      </c>
    </row>
    <row r="1319" spans="1:19" x14ac:dyDescent="0.35">
      <c r="A1319" s="1">
        <v>1317</v>
      </c>
      <c r="B1319" t="s">
        <v>829</v>
      </c>
      <c r="C1319" t="s">
        <v>17</v>
      </c>
      <c r="D1319" t="s">
        <v>26</v>
      </c>
      <c r="E1319">
        <v>7589.2777777777783</v>
      </c>
      <c r="F1319">
        <v>102.3574193861098</v>
      </c>
      <c r="G1319">
        <v>27</v>
      </c>
      <c r="H1319" t="s">
        <v>19</v>
      </c>
      <c r="M1319">
        <v>7793.9926165499983</v>
      </c>
      <c r="N1319">
        <v>7384.5629390055583</v>
      </c>
      <c r="O1319">
        <v>409.42967754443998</v>
      </c>
      <c r="P1319">
        <v>74.144872187034309</v>
      </c>
      <c r="R1319" t="str">
        <f t="shared" si="40"/>
        <v>no</v>
      </c>
      <c r="S1319" t="str">
        <f t="shared" si="41"/>
        <v>no</v>
      </c>
    </row>
    <row r="1320" spans="1:19" x14ac:dyDescent="0.35">
      <c r="A1320" s="1">
        <v>1318</v>
      </c>
      <c r="B1320" t="s">
        <v>829</v>
      </c>
      <c r="C1320" t="s">
        <v>17</v>
      </c>
      <c r="D1320" t="s">
        <v>27</v>
      </c>
      <c r="E1320">
        <v>1</v>
      </c>
      <c r="F1320">
        <v>0</v>
      </c>
      <c r="G1320">
        <v>27</v>
      </c>
      <c r="H1320" t="s">
        <v>19</v>
      </c>
      <c r="M1320">
        <v>1</v>
      </c>
      <c r="N1320">
        <v>1</v>
      </c>
      <c r="O1320">
        <v>0</v>
      </c>
      <c r="P1320" t="s">
        <v>21</v>
      </c>
      <c r="R1320" t="str">
        <f t="shared" si="40"/>
        <v>no</v>
      </c>
      <c r="S1320" t="str">
        <f t="shared" si="41"/>
        <v>no</v>
      </c>
    </row>
    <row r="1321" spans="1:19" x14ac:dyDescent="0.35">
      <c r="A1321" s="1">
        <v>1319</v>
      </c>
      <c r="B1321" t="s">
        <v>829</v>
      </c>
      <c r="C1321" t="s">
        <v>17</v>
      </c>
      <c r="D1321" t="s">
        <v>28</v>
      </c>
      <c r="E1321">
        <v>7537.7888888888883</v>
      </c>
      <c r="F1321">
        <v>104.3043445895474</v>
      </c>
      <c r="G1321">
        <v>27</v>
      </c>
      <c r="H1321" t="s">
        <v>19</v>
      </c>
      <c r="M1321">
        <v>7746.397578067983</v>
      </c>
      <c r="N1321">
        <v>7329.1801997097937</v>
      </c>
      <c r="O1321">
        <v>417.21737835818931</v>
      </c>
      <c r="P1321">
        <v>72.267257117152425</v>
      </c>
      <c r="R1321" t="str">
        <f t="shared" si="40"/>
        <v>no</v>
      </c>
      <c r="S1321" t="str">
        <f t="shared" si="41"/>
        <v>no</v>
      </c>
    </row>
    <row r="1322" spans="1:19" x14ac:dyDescent="0.35">
      <c r="A1322" s="1">
        <v>1320</v>
      </c>
      <c r="B1322" t="s">
        <v>829</v>
      </c>
      <c r="C1322" t="s">
        <v>17</v>
      </c>
      <c r="D1322" t="s">
        <v>29</v>
      </c>
      <c r="E1322">
        <v>1</v>
      </c>
      <c r="F1322">
        <v>0</v>
      </c>
      <c r="G1322">
        <v>27</v>
      </c>
      <c r="H1322" t="s">
        <v>19</v>
      </c>
      <c r="M1322">
        <v>1</v>
      </c>
      <c r="N1322">
        <v>1</v>
      </c>
      <c r="O1322">
        <v>0</v>
      </c>
      <c r="P1322" t="s">
        <v>21</v>
      </c>
      <c r="R1322" t="str">
        <f t="shared" si="40"/>
        <v>no</v>
      </c>
      <c r="S1322" t="str">
        <f t="shared" si="41"/>
        <v>no</v>
      </c>
    </row>
    <row r="1323" spans="1:19" x14ac:dyDescent="0.35">
      <c r="A1323" s="1">
        <v>1321</v>
      </c>
      <c r="B1323" t="s">
        <v>829</v>
      </c>
      <c r="C1323" t="s">
        <v>17</v>
      </c>
      <c r="D1323" t="s">
        <v>30</v>
      </c>
      <c r="E1323">
        <v>7578.4901234567906</v>
      </c>
      <c r="F1323">
        <v>124.3090071644245</v>
      </c>
      <c r="G1323">
        <v>27</v>
      </c>
      <c r="H1323" t="s">
        <v>19</v>
      </c>
      <c r="M1323">
        <v>7827.1081377856399</v>
      </c>
      <c r="N1323">
        <v>7329.8721091279413</v>
      </c>
      <c r="O1323">
        <v>497.23602865769863</v>
      </c>
      <c r="P1323">
        <v>60.964931635506197</v>
      </c>
      <c r="R1323" t="str">
        <f t="shared" si="40"/>
        <v>no</v>
      </c>
      <c r="S1323" t="str">
        <f t="shared" si="41"/>
        <v>no</v>
      </c>
    </row>
    <row r="1324" spans="1:19" x14ac:dyDescent="0.35">
      <c r="A1324" s="1">
        <v>1322</v>
      </c>
      <c r="B1324" t="s">
        <v>829</v>
      </c>
      <c r="C1324" t="s">
        <v>17</v>
      </c>
      <c r="D1324" t="s">
        <v>31</v>
      </c>
      <c r="E1324">
        <v>1</v>
      </c>
      <c r="F1324">
        <v>0</v>
      </c>
      <c r="G1324">
        <v>27</v>
      </c>
      <c r="H1324" t="s">
        <v>19</v>
      </c>
      <c r="M1324">
        <v>1</v>
      </c>
      <c r="N1324">
        <v>1</v>
      </c>
      <c r="O1324">
        <v>0</v>
      </c>
      <c r="P1324" t="s">
        <v>21</v>
      </c>
      <c r="R1324" t="str">
        <f t="shared" si="40"/>
        <v>no</v>
      </c>
      <c r="S1324" t="str">
        <f t="shared" si="41"/>
        <v>no</v>
      </c>
    </row>
    <row r="1325" spans="1:19" x14ac:dyDescent="0.35">
      <c r="A1325" s="1">
        <v>1323</v>
      </c>
      <c r="B1325" t="s">
        <v>829</v>
      </c>
      <c r="C1325" t="s">
        <v>17</v>
      </c>
      <c r="D1325" t="s">
        <v>32</v>
      </c>
      <c r="E1325">
        <v>7584.2345679012342</v>
      </c>
      <c r="F1325">
        <v>98.195748181833679</v>
      </c>
      <c r="G1325">
        <v>27</v>
      </c>
      <c r="H1325" t="s">
        <v>19</v>
      </c>
      <c r="M1325">
        <v>7780.6260642649013</v>
      </c>
      <c r="N1325">
        <v>7387.8430715375671</v>
      </c>
      <c r="O1325">
        <v>392.7829927273342</v>
      </c>
      <c r="P1325">
        <v>77.235875364553976</v>
      </c>
      <c r="R1325" t="str">
        <f t="shared" si="40"/>
        <v>no</v>
      </c>
      <c r="S1325" t="str">
        <f t="shared" si="41"/>
        <v>no</v>
      </c>
    </row>
    <row r="1326" spans="1:19" x14ac:dyDescent="0.35">
      <c r="A1326" s="1">
        <v>1324</v>
      </c>
      <c r="B1326" t="s">
        <v>829</v>
      </c>
      <c r="C1326" t="s">
        <v>17</v>
      </c>
      <c r="D1326" t="s">
        <v>33</v>
      </c>
      <c r="E1326">
        <v>1</v>
      </c>
      <c r="F1326">
        <v>0</v>
      </c>
      <c r="G1326">
        <v>27</v>
      </c>
      <c r="H1326" t="s">
        <v>19</v>
      </c>
      <c r="M1326">
        <v>1</v>
      </c>
      <c r="N1326">
        <v>1</v>
      </c>
      <c r="O1326">
        <v>0</v>
      </c>
      <c r="P1326" t="s">
        <v>21</v>
      </c>
      <c r="R1326" t="str">
        <f t="shared" si="40"/>
        <v>no</v>
      </c>
      <c r="S1326" t="str">
        <f t="shared" si="41"/>
        <v>no</v>
      </c>
    </row>
    <row r="1327" spans="1:19" x14ac:dyDescent="0.35">
      <c r="A1327" s="1">
        <v>1325</v>
      </c>
      <c r="B1327" t="s">
        <v>829</v>
      </c>
      <c r="C1327" t="s">
        <v>17</v>
      </c>
      <c r="D1327" t="s">
        <v>34</v>
      </c>
      <c r="E1327">
        <v>7529.2123456790123</v>
      </c>
      <c r="F1327">
        <v>94.080522445586965</v>
      </c>
      <c r="G1327">
        <v>27</v>
      </c>
      <c r="H1327" t="s">
        <v>19</v>
      </c>
      <c r="M1327">
        <v>7717.3733905701874</v>
      </c>
      <c r="N1327">
        <v>7341.051300787838</v>
      </c>
      <c r="O1327">
        <v>376.32208978234848</v>
      </c>
      <c r="P1327">
        <v>80.029448710105299</v>
      </c>
      <c r="R1327" t="str">
        <f t="shared" si="40"/>
        <v>no</v>
      </c>
      <c r="S1327" t="str">
        <f t="shared" si="41"/>
        <v>no</v>
      </c>
    </row>
    <row r="1328" spans="1:19" x14ac:dyDescent="0.35">
      <c r="A1328" s="1">
        <v>1326</v>
      </c>
      <c r="B1328" t="s">
        <v>829</v>
      </c>
      <c r="C1328" t="s">
        <v>17</v>
      </c>
      <c r="D1328" t="s">
        <v>35</v>
      </c>
      <c r="E1328">
        <v>1</v>
      </c>
      <c r="F1328">
        <v>0</v>
      </c>
      <c r="G1328">
        <v>27</v>
      </c>
      <c r="H1328" t="s">
        <v>19</v>
      </c>
      <c r="M1328">
        <v>1</v>
      </c>
      <c r="N1328">
        <v>1</v>
      </c>
      <c r="O1328">
        <v>0</v>
      </c>
      <c r="P1328" t="s">
        <v>21</v>
      </c>
      <c r="R1328" t="str">
        <f t="shared" si="40"/>
        <v>no</v>
      </c>
      <c r="S1328" t="str">
        <f t="shared" si="41"/>
        <v>no</v>
      </c>
    </row>
    <row r="1329" spans="1:19" x14ac:dyDescent="0.35">
      <c r="A1329" s="1">
        <v>1327</v>
      </c>
      <c r="B1329" t="s">
        <v>829</v>
      </c>
      <c r="C1329" t="s">
        <v>17</v>
      </c>
      <c r="D1329" t="s">
        <v>36</v>
      </c>
      <c r="E1329">
        <v>2.924081133557801</v>
      </c>
      <c r="F1329">
        <v>3.3567208840053382E-2</v>
      </c>
      <c r="G1329">
        <v>27</v>
      </c>
      <c r="H1329" t="s">
        <v>19</v>
      </c>
      <c r="M1329">
        <v>2.9912155512379082</v>
      </c>
      <c r="N1329">
        <v>2.8569467158776942</v>
      </c>
      <c r="O1329">
        <v>0.1342688353602135</v>
      </c>
      <c r="P1329">
        <v>87.111238455688977</v>
      </c>
      <c r="R1329" t="str">
        <f t="shared" si="40"/>
        <v>no</v>
      </c>
      <c r="S1329" t="str">
        <f t="shared" si="41"/>
        <v>no</v>
      </c>
    </row>
    <row r="1330" spans="1:19" x14ac:dyDescent="0.35">
      <c r="A1330" s="1">
        <v>1328</v>
      </c>
      <c r="B1330" t="s">
        <v>829</v>
      </c>
      <c r="C1330" t="s">
        <v>17</v>
      </c>
      <c r="D1330" t="s">
        <v>37</v>
      </c>
      <c r="E1330">
        <v>23.90660653198653</v>
      </c>
      <c r="F1330">
        <v>0.1404465177916509</v>
      </c>
      <c r="G1330">
        <v>27</v>
      </c>
      <c r="H1330" t="s">
        <v>19</v>
      </c>
      <c r="M1330">
        <v>24.18749956756983</v>
      </c>
      <c r="N1330">
        <v>23.625713496403229</v>
      </c>
      <c r="O1330">
        <v>0.56178607116660118</v>
      </c>
      <c r="P1330">
        <v>170.21857791769119</v>
      </c>
      <c r="R1330" t="str">
        <f t="shared" si="40"/>
        <v>no</v>
      </c>
      <c r="S1330" t="str">
        <f t="shared" si="41"/>
        <v>no</v>
      </c>
    </row>
    <row r="1331" spans="1:19" x14ac:dyDescent="0.35">
      <c r="A1331" s="1">
        <v>1329</v>
      </c>
      <c r="B1331" t="s">
        <v>829</v>
      </c>
      <c r="C1331" t="s">
        <v>17</v>
      </c>
      <c r="D1331" t="s">
        <v>38</v>
      </c>
      <c r="E1331">
        <v>9.7833759820426497E-2</v>
      </c>
      <c r="F1331">
        <v>1.089698849065603E-2</v>
      </c>
      <c r="G1331">
        <v>27</v>
      </c>
      <c r="H1331" t="s">
        <v>19</v>
      </c>
      <c r="M1331">
        <v>0.11962773680173849</v>
      </c>
      <c r="N1331">
        <v>7.6039782839114445E-2</v>
      </c>
      <c r="O1331">
        <v>4.3587953962624097E-2</v>
      </c>
      <c r="P1331">
        <v>8.9780547996648039</v>
      </c>
      <c r="R1331" t="str">
        <f t="shared" si="40"/>
        <v>no</v>
      </c>
      <c r="S1331" t="str">
        <f t="shared" si="41"/>
        <v>no</v>
      </c>
    </row>
    <row r="1332" spans="1:19" x14ac:dyDescent="0.35">
      <c r="A1332" s="1">
        <v>1330</v>
      </c>
      <c r="B1332" t="s">
        <v>829</v>
      </c>
      <c r="C1332" t="s">
        <v>17</v>
      </c>
      <c r="D1332" t="s">
        <v>39</v>
      </c>
      <c r="E1332">
        <v>23.949108989898988</v>
      </c>
      <c r="F1332">
        <v>0.14435781612762411</v>
      </c>
      <c r="G1332">
        <v>27</v>
      </c>
      <c r="H1332" t="s">
        <v>19</v>
      </c>
      <c r="M1332">
        <v>24.237824622154239</v>
      </c>
      <c r="N1332">
        <v>23.660393357643741</v>
      </c>
      <c r="O1332">
        <v>0.5774312645104942</v>
      </c>
      <c r="P1332">
        <v>165.9010203418845</v>
      </c>
      <c r="R1332" t="str">
        <f t="shared" si="40"/>
        <v>no</v>
      </c>
      <c r="S1332" t="str">
        <f t="shared" si="41"/>
        <v>no</v>
      </c>
    </row>
    <row r="1333" spans="1:19" x14ac:dyDescent="0.35">
      <c r="A1333" s="1">
        <v>1331</v>
      </c>
      <c r="B1333" t="s">
        <v>829</v>
      </c>
      <c r="C1333" t="s">
        <v>17</v>
      </c>
      <c r="D1333" t="s">
        <v>40</v>
      </c>
      <c r="E1333">
        <v>0.10178703703703711</v>
      </c>
      <c r="F1333">
        <v>1.6806907155125759E-2</v>
      </c>
      <c r="G1333">
        <v>27</v>
      </c>
      <c r="H1333" t="s">
        <v>19</v>
      </c>
      <c r="M1333">
        <v>0.1354008513472886</v>
      </c>
      <c r="N1333">
        <v>6.8173222726785582E-2</v>
      </c>
      <c r="O1333">
        <v>6.7227628620503049E-2</v>
      </c>
      <c r="P1333">
        <v>6.0562622318047472</v>
      </c>
      <c r="R1333" t="str">
        <f t="shared" si="40"/>
        <v>no</v>
      </c>
      <c r="S1333" t="str">
        <f t="shared" si="41"/>
        <v>no</v>
      </c>
    </row>
    <row r="1334" spans="1:19" x14ac:dyDescent="0.35">
      <c r="A1334" s="1">
        <v>1332</v>
      </c>
      <c r="B1334" t="s">
        <v>829</v>
      </c>
      <c r="C1334" t="s">
        <v>17</v>
      </c>
      <c r="D1334" t="s">
        <v>41</v>
      </c>
      <c r="E1334">
        <v>23.982404904601569</v>
      </c>
      <c r="F1334">
        <v>0.1479431359558411</v>
      </c>
      <c r="G1334">
        <v>27</v>
      </c>
      <c r="H1334" t="s">
        <v>19</v>
      </c>
      <c r="M1334">
        <v>24.27829117651325</v>
      </c>
      <c r="N1334">
        <v>23.686518632689889</v>
      </c>
      <c r="O1334">
        <v>0.59177254382336741</v>
      </c>
      <c r="P1334">
        <v>162.10556001570751</v>
      </c>
      <c r="R1334" t="str">
        <f t="shared" si="40"/>
        <v>no</v>
      </c>
      <c r="S1334" t="str">
        <f t="shared" si="41"/>
        <v>no</v>
      </c>
    </row>
    <row r="1335" spans="1:19" x14ac:dyDescent="0.35">
      <c r="A1335" s="1">
        <v>1333</v>
      </c>
      <c r="B1335" t="s">
        <v>829</v>
      </c>
      <c r="C1335" t="s">
        <v>17</v>
      </c>
      <c r="D1335" t="s">
        <v>42</v>
      </c>
      <c r="E1335">
        <v>1.945626262626262E-2</v>
      </c>
      <c r="F1335">
        <v>6.0508001744517207E-3</v>
      </c>
      <c r="G1335">
        <v>27</v>
      </c>
      <c r="H1335" t="s">
        <v>19</v>
      </c>
      <c r="M1335">
        <v>3.1557862975166058E-2</v>
      </c>
      <c r="N1335">
        <v>7.3546622773591787E-3</v>
      </c>
      <c r="O1335">
        <v>2.420320069780689E-2</v>
      </c>
      <c r="P1335">
        <v>3.2154858969583482</v>
      </c>
      <c r="R1335" t="str">
        <f t="shared" si="40"/>
        <v>no</v>
      </c>
      <c r="S1335" t="str">
        <f t="shared" si="41"/>
        <v>no</v>
      </c>
    </row>
    <row r="1336" spans="1:19" x14ac:dyDescent="0.35">
      <c r="A1336" s="1">
        <v>1334</v>
      </c>
      <c r="B1336" t="s">
        <v>829</v>
      </c>
      <c r="C1336" t="s">
        <v>17</v>
      </c>
      <c r="D1336" t="s">
        <v>43</v>
      </c>
      <c r="E1336">
        <v>23.961875162738501</v>
      </c>
      <c r="F1336">
        <v>0.12332768752360521</v>
      </c>
      <c r="G1336">
        <v>27</v>
      </c>
      <c r="H1336" t="s">
        <v>19</v>
      </c>
      <c r="M1336">
        <v>24.208530537785709</v>
      </c>
      <c r="N1336">
        <v>23.715219787691289</v>
      </c>
      <c r="O1336">
        <v>0.49331075009442321</v>
      </c>
      <c r="P1336">
        <v>194.29436847384449</v>
      </c>
      <c r="R1336" t="str">
        <f t="shared" si="40"/>
        <v>no</v>
      </c>
      <c r="S1336" t="str">
        <f t="shared" si="41"/>
        <v>no</v>
      </c>
    </row>
    <row r="1337" spans="1:19" x14ac:dyDescent="0.35">
      <c r="A1337" s="1">
        <v>1335</v>
      </c>
      <c r="B1337" t="s">
        <v>829</v>
      </c>
      <c r="C1337" t="s">
        <v>17</v>
      </c>
      <c r="D1337" t="s">
        <v>44</v>
      </c>
      <c r="E1337">
        <v>0.942071874298541</v>
      </c>
      <c r="F1337">
        <v>2.7674720601175359E-2</v>
      </c>
      <c r="G1337">
        <v>27</v>
      </c>
      <c r="H1337" t="s">
        <v>19</v>
      </c>
      <c r="M1337">
        <v>0.99742131550089175</v>
      </c>
      <c r="N1337">
        <v>0.88672243309619025</v>
      </c>
      <c r="O1337">
        <v>0.11069888240470151</v>
      </c>
      <c r="P1337">
        <v>34.040881130287943</v>
      </c>
      <c r="R1337" t="str">
        <f t="shared" si="40"/>
        <v>no</v>
      </c>
      <c r="S1337" t="str">
        <f t="shared" si="41"/>
        <v>no</v>
      </c>
    </row>
    <row r="1338" spans="1:19" x14ac:dyDescent="0.35">
      <c r="A1338" s="1">
        <v>1336</v>
      </c>
      <c r="B1338" t="s">
        <v>829</v>
      </c>
      <c r="C1338" t="s">
        <v>17</v>
      </c>
      <c r="D1338" t="s">
        <v>45</v>
      </c>
      <c r="E1338">
        <v>35.796753097643098</v>
      </c>
      <c r="F1338">
        <v>0.1206734623175959</v>
      </c>
      <c r="G1338">
        <v>27</v>
      </c>
      <c r="H1338" t="s">
        <v>19</v>
      </c>
      <c r="M1338">
        <v>36.038100022278293</v>
      </c>
      <c r="N1338">
        <v>35.555406173007903</v>
      </c>
      <c r="O1338">
        <v>0.48269384927039027</v>
      </c>
      <c r="P1338">
        <v>296.64146872185518</v>
      </c>
      <c r="R1338" t="str">
        <f t="shared" si="40"/>
        <v>no</v>
      </c>
      <c r="S1338" t="str">
        <f t="shared" si="41"/>
        <v>no</v>
      </c>
    </row>
    <row r="1339" spans="1:19" x14ac:dyDescent="0.35">
      <c r="A1339" s="1">
        <v>1337</v>
      </c>
      <c r="B1339" t="s">
        <v>829</v>
      </c>
      <c r="C1339" t="s">
        <v>17</v>
      </c>
      <c r="D1339" t="s">
        <v>46</v>
      </c>
      <c r="E1339">
        <v>0.95390251402918069</v>
      </c>
      <c r="F1339">
        <v>1.8591999924831789E-2</v>
      </c>
      <c r="G1339">
        <v>27</v>
      </c>
      <c r="H1339" t="s">
        <v>19</v>
      </c>
      <c r="M1339">
        <v>0.99108651387884428</v>
      </c>
      <c r="N1339">
        <v>0.91671851417951711</v>
      </c>
      <c r="O1339">
        <v>7.436799969932717E-2</v>
      </c>
      <c r="P1339">
        <v>51.307149197818809</v>
      </c>
      <c r="R1339" t="str">
        <f t="shared" si="40"/>
        <v>no</v>
      </c>
      <c r="S1339" t="str">
        <f t="shared" si="41"/>
        <v>no</v>
      </c>
    </row>
    <row r="1340" spans="1:19" x14ac:dyDescent="0.35">
      <c r="A1340" s="1">
        <v>1338</v>
      </c>
      <c r="B1340" t="s">
        <v>829</v>
      </c>
      <c r="C1340" t="s">
        <v>17</v>
      </c>
      <c r="D1340" t="s">
        <v>47</v>
      </c>
      <c r="E1340">
        <v>35.821033827160491</v>
      </c>
      <c r="F1340">
        <v>0.14339080446106239</v>
      </c>
      <c r="G1340">
        <v>27</v>
      </c>
      <c r="H1340" t="s">
        <v>19</v>
      </c>
      <c r="M1340">
        <v>36.107815436082618</v>
      </c>
      <c r="N1340">
        <v>35.534252218238358</v>
      </c>
      <c r="O1340">
        <v>0.5735632178442529</v>
      </c>
      <c r="P1340">
        <v>249.81402372205571</v>
      </c>
      <c r="R1340" t="str">
        <f t="shared" si="40"/>
        <v>no</v>
      </c>
      <c r="S1340" t="str">
        <f t="shared" si="41"/>
        <v>no</v>
      </c>
    </row>
    <row r="1341" spans="1:19" x14ac:dyDescent="0.35">
      <c r="A1341" s="1">
        <v>1339</v>
      </c>
      <c r="B1341" t="s">
        <v>829</v>
      </c>
      <c r="C1341" t="s">
        <v>17</v>
      </c>
      <c r="D1341" t="s">
        <v>48</v>
      </c>
      <c r="E1341">
        <v>0.94431607182940513</v>
      </c>
      <c r="F1341">
        <v>1.67474637980248E-2</v>
      </c>
      <c r="G1341">
        <v>27</v>
      </c>
      <c r="H1341" t="s">
        <v>19</v>
      </c>
      <c r="M1341">
        <v>0.97781099942545469</v>
      </c>
      <c r="N1341">
        <v>0.91082114423335558</v>
      </c>
      <c r="O1341">
        <v>6.6989855192099101E-2</v>
      </c>
      <c r="P1341">
        <v>56.385616545758893</v>
      </c>
      <c r="R1341" t="str">
        <f t="shared" si="40"/>
        <v>no</v>
      </c>
      <c r="S1341" t="str">
        <f t="shared" si="41"/>
        <v>no</v>
      </c>
    </row>
    <row r="1342" spans="1:19" x14ac:dyDescent="0.35">
      <c r="A1342" s="1">
        <v>1340</v>
      </c>
      <c r="B1342" t="s">
        <v>829</v>
      </c>
      <c r="C1342" t="s">
        <v>17</v>
      </c>
      <c r="D1342" t="s">
        <v>49</v>
      </c>
      <c r="E1342">
        <v>35.743606498316502</v>
      </c>
      <c r="F1342">
        <v>0.1184965008944584</v>
      </c>
      <c r="G1342">
        <v>27</v>
      </c>
      <c r="H1342" t="s">
        <v>19</v>
      </c>
      <c r="M1342">
        <v>35.98059950010542</v>
      </c>
      <c r="N1342">
        <v>35.506613496527592</v>
      </c>
      <c r="O1342">
        <v>0.47398600357783488</v>
      </c>
      <c r="P1342">
        <v>301.64271711408901</v>
      </c>
      <c r="R1342" t="str">
        <f t="shared" si="40"/>
        <v>no</v>
      </c>
      <c r="S1342" t="str">
        <f t="shared" si="41"/>
        <v>no</v>
      </c>
    </row>
    <row r="1343" spans="1:19" x14ac:dyDescent="0.35">
      <c r="A1343" s="1">
        <v>1341</v>
      </c>
      <c r="B1343" t="s">
        <v>829</v>
      </c>
      <c r="C1343" t="s">
        <v>17</v>
      </c>
      <c r="D1343" t="s">
        <v>50</v>
      </c>
      <c r="E1343">
        <v>0.94338127946127948</v>
      </c>
      <c r="F1343">
        <v>1.9677879643579539E-2</v>
      </c>
      <c r="G1343">
        <v>27</v>
      </c>
      <c r="H1343" t="s">
        <v>19</v>
      </c>
      <c r="M1343">
        <v>0.98273703874843854</v>
      </c>
      <c r="N1343">
        <v>0.90402552017412041</v>
      </c>
      <c r="O1343">
        <v>7.8711518574318129E-2</v>
      </c>
      <c r="P1343">
        <v>47.941205889481303</v>
      </c>
      <c r="R1343" t="str">
        <f t="shared" si="40"/>
        <v>no</v>
      </c>
      <c r="S1343" t="str">
        <f t="shared" si="41"/>
        <v>no</v>
      </c>
    </row>
    <row r="1344" spans="1:19" x14ac:dyDescent="0.35">
      <c r="A1344" s="1">
        <v>1342</v>
      </c>
      <c r="B1344" t="s">
        <v>829</v>
      </c>
      <c r="C1344" t="s">
        <v>17</v>
      </c>
      <c r="D1344" t="s">
        <v>51</v>
      </c>
      <c r="E1344">
        <v>35.706810157126817</v>
      </c>
      <c r="F1344">
        <v>0.1226415242591307</v>
      </c>
      <c r="G1344">
        <v>27</v>
      </c>
      <c r="H1344" t="s">
        <v>19</v>
      </c>
      <c r="M1344">
        <v>35.952093205645077</v>
      </c>
      <c r="N1344">
        <v>35.461527108608557</v>
      </c>
      <c r="O1344">
        <v>0.49056609703652038</v>
      </c>
      <c r="P1344">
        <v>291.14780147123321</v>
      </c>
      <c r="R1344" t="str">
        <f t="shared" si="40"/>
        <v>no</v>
      </c>
      <c r="S1344" t="str">
        <f t="shared" si="41"/>
        <v>no</v>
      </c>
    </row>
    <row r="1345" spans="1:19" x14ac:dyDescent="0.35">
      <c r="A1345" s="1">
        <v>1343</v>
      </c>
      <c r="B1345" t="s">
        <v>829</v>
      </c>
      <c r="C1345" t="s">
        <v>17</v>
      </c>
      <c r="D1345" t="s">
        <v>52</v>
      </c>
      <c r="E1345">
        <v>0.93831372615039277</v>
      </c>
      <c r="F1345">
        <v>2.1750072890455031E-2</v>
      </c>
      <c r="G1345">
        <v>27</v>
      </c>
      <c r="H1345" t="s">
        <v>19</v>
      </c>
      <c r="M1345">
        <v>0.98181387193130287</v>
      </c>
      <c r="N1345">
        <v>0.89481358036948266</v>
      </c>
      <c r="O1345">
        <v>8.7000291561820209E-2</v>
      </c>
      <c r="P1345">
        <v>43.140716395583652</v>
      </c>
      <c r="R1345" t="str">
        <f t="shared" si="40"/>
        <v>no</v>
      </c>
      <c r="S1345" t="str">
        <f t="shared" si="41"/>
        <v>no</v>
      </c>
    </row>
    <row r="1346" spans="1:19" x14ac:dyDescent="0.35">
      <c r="A1346" s="1">
        <v>1344</v>
      </c>
      <c r="B1346" t="s">
        <v>829</v>
      </c>
      <c r="C1346" t="s">
        <v>17</v>
      </c>
      <c r="D1346" t="s">
        <v>53</v>
      </c>
      <c r="E1346">
        <v>35.719321649831649</v>
      </c>
      <c r="F1346">
        <v>0.13700654598746559</v>
      </c>
      <c r="G1346">
        <v>27</v>
      </c>
      <c r="H1346" t="s">
        <v>19</v>
      </c>
      <c r="M1346">
        <v>35.993334741806578</v>
      </c>
      <c r="N1346">
        <v>35.44530855785672</v>
      </c>
      <c r="O1346">
        <v>0.54802618394985814</v>
      </c>
      <c r="P1346">
        <v>260.71251845951599</v>
      </c>
      <c r="R1346" t="str">
        <f t="shared" si="40"/>
        <v>no</v>
      </c>
      <c r="S1346" t="str">
        <f t="shared" si="41"/>
        <v>no</v>
      </c>
    </row>
    <row r="1347" spans="1:19" x14ac:dyDescent="0.35">
      <c r="A1347" s="1">
        <v>1345</v>
      </c>
      <c r="B1347" t="s">
        <v>829</v>
      </c>
      <c r="C1347" t="s">
        <v>17</v>
      </c>
      <c r="D1347" t="s">
        <v>54</v>
      </c>
      <c r="E1347">
        <v>0.97050530864197526</v>
      </c>
      <c r="F1347">
        <v>1.7596681877356749E-2</v>
      </c>
      <c r="G1347">
        <v>27</v>
      </c>
      <c r="H1347" t="s">
        <v>19</v>
      </c>
      <c r="M1347">
        <v>1.005698672396689</v>
      </c>
      <c r="N1347">
        <v>0.93531194488726177</v>
      </c>
      <c r="O1347">
        <v>7.0386727509426983E-2</v>
      </c>
      <c r="P1347">
        <v>55.152745012161233</v>
      </c>
      <c r="R1347" t="str">
        <f t="shared" ref="R1347:R1410" si="42">IF(H1347="yes","yes","no")</f>
        <v>no</v>
      </c>
      <c r="S1347" t="str">
        <f t="shared" ref="S1347:S1410" si="43">IF(I1347,"yes","no")</f>
        <v>no</v>
      </c>
    </row>
    <row r="1348" spans="1:19" x14ac:dyDescent="0.35">
      <c r="A1348" s="1">
        <v>1346</v>
      </c>
      <c r="B1348" t="s">
        <v>829</v>
      </c>
      <c r="C1348" t="s">
        <v>17</v>
      </c>
      <c r="D1348" t="s">
        <v>55</v>
      </c>
      <c r="E1348">
        <v>35.81669117845118</v>
      </c>
      <c r="F1348">
        <v>9.8469689836970381E-2</v>
      </c>
      <c r="G1348">
        <v>27</v>
      </c>
      <c r="H1348" t="s">
        <v>19</v>
      </c>
      <c r="M1348">
        <v>36.013630558125122</v>
      </c>
      <c r="N1348">
        <v>35.619751798777237</v>
      </c>
      <c r="O1348">
        <v>0.39387875934788502</v>
      </c>
      <c r="P1348">
        <v>363.73315725631369</v>
      </c>
      <c r="R1348" t="str">
        <f t="shared" si="42"/>
        <v>no</v>
      </c>
      <c r="S1348" t="str">
        <f t="shared" si="43"/>
        <v>no</v>
      </c>
    </row>
    <row r="1349" spans="1:19" x14ac:dyDescent="0.35">
      <c r="A1349" s="1">
        <v>1347</v>
      </c>
      <c r="B1349" t="s">
        <v>829</v>
      </c>
      <c r="C1349" t="s">
        <v>56</v>
      </c>
      <c r="D1349" t="s">
        <v>57</v>
      </c>
      <c r="E1349">
        <v>0</v>
      </c>
      <c r="F1349">
        <v>0</v>
      </c>
      <c r="G1349">
        <v>27</v>
      </c>
      <c r="H1349" t="s">
        <v>58</v>
      </c>
      <c r="M1349">
        <v>0</v>
      </c>
      <c r="N1349">
        <v>0</v>
      </c>
      <c r="O1349">
        <v>0</v>
      </c>
      <c r="R1349" t="str">
        <f t="shared" si="42"/>
        <v>yes</v>
      </c>
      <c r="S1349" t="str">
        <f t="shared" si="43"/>
        <v>no</v>
      </c>
    </row>
    <row r="1350" spans="1:19" x14ac:dyDescent="0.35">
      <c r="A1350" s="1">
        <v>1348</v>
      </c>
      <c r="B1350" t="s">
        <v>829</v>
      </c>
      <c r="C1350" t="s">
        <v>56</v>
      </c>
      <c r="D1350" t="s">
        <v>59</v>
      </c>
      <c r="E1350">
        <v>0</v>
      </c>
      <c r="F1350">
        <v>0</v>
      </c>
      <c r="G1350">
        <v>27</v>
      </c>
      <c r="H1350" t="s">
        <v>58</v>
      </c>
      <c r="M1350">
        <v>0</v>
      </c>
      <c r="N1350">
        <v>0</v>
      </c>
      <c r="O1350">
        <v>0</v>
      </c>
      <c r="R1350" t="str">
        <f t="shared" si="42"/>
        <v>yes</v>
      </c>
      <c r="S1350" t="str">
        <f t="shared" si="43"/>
        <v>no</v>
      </c>
    </row>
    <row r="1351" spans="1:19" x14ac:dyDescent="0.35">
      <c r="A1351" s="1">
        <v>1349</v>
      </c>
      <c r="B1351" t="s">
        <v>829</v>
      </c>
      <c r="C1351" t="s">
        <v>56</v>
      </c>
      <c r="D1351" t="s">
        <v>60</v>
      </c>
      <c r="E1351">
        <v>0</v>
      </c>
      <c r="F1351">
        <v>0</v>
      </c>
      <c r="G1351">
        <v>27</v>
      </c>
      <c r="H1351" t="s">
        <v>58</v>
      </c>
      <c r="M1351">
        <v>0</v>
      </c>
      <c r="N1351">
        <v>0</v>
      </c>
      <c r="O1351">
        <v>0</v>
      </c>
      <c r="R1351" t="str">
        <f t="shared" si="42"/>
        <v>yes</v>
      </c>
      <c r="S1351" t="str">
        <f t="shared" si="43"/>
        <v>no</v>
      </c>
    </row>
    <row r="1352" spans="1:19" x14ac:dyDescent="0.35">
      <c r="A1352" s="1">
        <v>1350</v>
      </c>
      <c r="B1352" t="s">
        <v>829</v>
      </c>
      <c r="C1352" t="s">
        <v>56</v>
      </c>
      <c r="D1352" t="s">
        <v>61</v>
      </c>
      <c r="E1352">
        <v>0</v>
      </c>
      <c r="F1352">
        <v>0</v>
      </c>
      <c r="G1352">
        <v>27</v>
      </c>
      <c r="H1352" t="s">
        <v>58</v>
      </c>
      <c r="M1352">
        <v>0</v>
      </c>
      <c r="N1352">
        <v>0</v>
      </c>
      <c r="O1352">
        <v>0</v>
      </c>
      <c r="R1352" t="str">
        <f t="shared" si="42"/>
        <v>yes</v>
      </c>
      <c r="S1352" t="str">
        <f t="shared" si="43"/>
        <v>no</v>
      </c>
    </row>
    <row r="1353" spans="1:19" x14ac:dyDescent="0.35">
      <c r="A1353" s="1">
        <v>1351</v>
      </c>
      <c r="B1353" t="s">
        <v>829</v>
      </c>
      <c r="C1353" t="s">
        <v>56</v>
      </c>
      <c r="D1353" t="s">
        <v>62</v>
      </c>
      <c r="E1353">
        <v>0</v>
      </c>
      <c r="F1353">
        <v>0</v>
      </c>
      <c r="G1353">
        <v>27</v>
      </c>
      <c r="H1353" t="s">
        <v>58</v>
      </c>
      <c r="M1353">
        <v>0</v>
      </c>
      <c r="N1353">
        <v>0</v>
      </c>
      <c r="O1353">
        <v>0</v>
      </c>
      <c r="R1353" t="str">
        <f t="shared" si="42"/>
        <v>yes</v>
      </c>
      <c r="S1353" t="str">
        <f t="shared" si="43"/>
        <v>no</v>
      </c>
    </row>
    <row r="1354" spans="1:19" x14ac:dyDescent="0.35">
      <c r="A1354" s="1">
        <v>1352</v>
      </c>
      <c r="B1354" t="s">
        <v>829</v>
      </c>
      <c r="C1354" t="s">
        <v>56</v>
      </c>
      <c r="D1354" t="s">
        <v>63</v>
      </c>
      <c r="E1354">
        <v>0</v>
      </c>
      <c r="F1354">
        <v>0</v>
      </c>
      <c r="G1354">
        <v>27</v>
      </c>
      <c r="H1354" t="s">
        <v>58</v>
      </c>
      <c r="M1354">
        <v>0</v>
      </c>
      <c r="N1354">
        <v>0</v>
      </c>
      <c r="O1354">
        <v>0</v>
      </c>
      <c r="R1354" t="str">
        <f t="shared" si="42"/>
        <v>yes</v>
      </c>
      <c r="S1354" t="str">
        <f t="shared" si="43"/>
        <v>no</v>
      </c>
    </row>
    <row r="1355" spans="1:19" x14ac:dyDescent="0.35">
      <c r="A1355" s="1">
        <v>1353</v>
      </c>
      <c r="B1355" t="s">
        <v>829</v>
      </c>
      <c r="C1355" t="s">
        <v>56</v>
      </c>
      <c r="D1355" t="s">
        <v>64</v>
      </c>
      <c r="E1355">
        <v>0</v>
      </c>
      <c r="F1355">
        <v>0</v>
      </c>
      <c r="G1355">
        <v>27</v>
      </c>
      <c r="H1355" t="s">
        <v>58</v>
      </c>
      <c r="M1355">
        <v>0</v>
      </c>
      <c r="N1355">
        <v>0</v>
      </c>
      <c r="O1355">
        <v>0</v>
      </c>
      <c r="R1355" t="str">
        <f t="shared" si="42"/>
        <v>yes</v>
      </c>
      <c r="S1355" t="str">
        <f t="shared" si="43"/>
        <v>no</v>
      </c>
    </row>
    <row r="1356" spans="1:19" x14ac:dyDescent="0.35">
      <c r="A1356" s="1">
        <v>1354</v>
      </c>
      <c r="B1356" t="s">
        <v>829</v>
      </c>
      <c r="C1356" t="s">
        <v>56</v>
      </c>
      <c r="D1356" t="s">
        <v>65</v>
      </c>
      <c r="E1356">
        <v>0</v>
      </c>
      <c r="F1356">
        <v>0</v>
      </c>
      <c r="G1356">
        <v>27</v>
      </c>
      <c r="H1356" t="s">
        <v>58</v>
      </c>
      <c r="M1356">
        <v>0</v>
      </c>
      <c r="N1356">
        <v>0</v>
      </c>
      <c r="O1356">
        <v>0</v>
      </c>
      <c r="R1356" t="str">
        <f t="shared" si="42"/>
        <v>yes</v>
      </c>
      <c r="S1356" t="str">
        <f t="shared" si="43"/>
        <v>no</v>
      </c>
    </row>
    <row r="1357" spans="1:19" x14ac:dyDescent="0.35">
      <c r="A1357" s="1">
        <v>1355</v>
      </c>
      <c r="B1357" t="s">
        <v>829</v>
      </c>
      <c r="C1357" t="s">
        <v>56</v>
      </c>
      <c r="D1357" t="s">
        <v>66</v>
      </c>
      <c r="E1357">
        <v>0</v>
      </c>
      <c r="F1357">
        <v>0</v>
      </c>
      <c r="G1357">
        <v>27</v>
      </c>
      <c r="H1357" t="s">
        <v>58</v>
      </c>
      <c r="M1357">
        <v>0</v>
      </c>
      <c r="N1357">
        <v>0</v>
      </c>
      <c r="O1357">
        <v>0</v>
      </c>
      <c r="R1357" t="str">
        <f t="shared" si="42"/>
        <v>yes</v>
      </c>
      <c r="S1357" t="str">
        <f t="shared" si="43"/>
        <v>no</v>
      </c>
    </row>
    <row r="1358" spans="1:19" x14ac:dyDescent="0.35">
      <c r="A1358" s="1">
        <v>1356</v>
      </c>
      <c r="B1358" t="s">
        <v>829</v>
      </c>
      <c r="C1358" t="s">
        <v>56</v>
      </c>
      <c r="D1358" t="s">
        <v>67</v>
      </c>
      <c r="E1358">
        <v>0</v>
      </c>
      <c r="F1358">
        <v>0</v>
      </c>
      <c r="G1358">
        <v>27</v>
      </c>
      <c r="H1358" t="s">
        <v>58</v>
      </c>
      <c r="I1358">
        <v>-50</v>
      </c>
      <c r="J1358">
        <v>90</v>
      </c>
      <c r="K1358">
        <v>20</v>
      </c>
      <c r="L1358">
        <v>140</v>
      </c>
      <c r="M1358">
        <v>0</v>
      </c>
      <c r="N1358">
        <v>0</v>
      </c>
      <c r="O1358">
        <v>0</v>
      </c>
      <c r="Q1358" t="s">
        <v>21</v>
      </c>
      <c r="R1358" t="str">
        <f t="shared" si="42"/>
        <v>yes</v>
      </c>
      <c r="S1358" t="str">
        <f t="shared" si="43"/>
        <v>yes</v>
      </c>
    </row>
    <row r="1359" spans="1:19" x14ac:dyDescent="0.35">
      <c r="A1359" s="1">
        <v>1357</v>
      </c>
      <c r="B1359" t="s">
        <v>829</v>
      </c>
      <c r="C1359" t="s">
        <v>56</v>
      </c>
      <c r="D1359" t="s">
        <v>68</v>
      </c>
      <c r="E1359">
        <v>0</v>
      </c>
      <c r="F1359">
        <v>0</v>
      </c>
      <c r="G1359">
        <v>27</v>
      </c>
      <c r="H1359" t="s">
        <v>58</v>
      </c>
      <c r="I1359">
        <v>-50</v>
      </c>
      <c r="J1359">
        <v>90</v>
      </c>
      <c r="K1359">
        <v>20</v>
      </c>
      <c r="L1359">
        <v>140</v>
      </c>
      <c r="M1359">
        <v>0</v>
      </c>
      <c r="N1359">
        <v>0</v>
      </c>
      <c r="O1359">
        <v>0</v>
      </c>
      <c r="Q1359" t="s">
        <v>21</v>
      </c>
      <c r="R1359" t="str">
        <f t="shared" si="42"/>
        <v>yes</v>
      </c>
      <c r="S1359" t="str">
        <f t="shared" si="43"/>
        <v>yes</v>
      </c>
    </row>
    <row r="1360" spans="1:19" x14ac:dyDescent="0.35">
      <c r="A1360" s="1">
        <v>1358</v>
      </c>
      <c r="B1360" t="s">
        <v>829</v>
      </c>
      <c r="C1360" t="s">
        <v>56</v>
      </c>
      <c r="D1360" t="s">
        <v>69</v>
      </c>
      <c r="E1360">
        <v>0.26070625185185192</v>
      </c>
      <c r="F1360">
        <v>0.69043655182632002</v>
      </c>
      <c r="G1360">
        <v>27</v>
      </c>
      <c r="H1360" t="s">
        <v>58</v>
      </c>
      <c r="M1360">
        <v>1.641579355504492</v>
      </c>
      <c r="N1360">
        <v>-1.1201668518007879</v>
      </c>
      <c r="O1360">
        <v>2.7617462073052801</v>
      </c>
      <c r="P1360">
        <v>0.37759624857959839</v>
      </c>
      <c r="R1360" t="str">
        <f t="shared" si="42"/>
        <v>yes</v>
      </c>
      <c r="S1360" t="str">
        <f t="shared" si="43"/>
        <v>no</v>
      </c>
    </row>
    <row r="1361" spans="1:19" x14ac:dyDescent="0.35">
      <c r="A1361" s="1">
        <v>1359</v>
      </c>
      <c r="B1361" t="s">
        <v>829</v>
      </c>
      <c r="C1361" t="s">
        <v>56</v>
      </c>
      <c r="D1361" t="s">
        <v>70</v>
      </c>
      <c r="E1361">
        <v>-0.22689443333333331</v>
      </c>
      <c r="F1361">
        <v>8.178133221636126E-2</v>
      </c>
      <c r="G1361">
        <v>27</v>
      </c>
      <c r="H1361" t="s">
        <v>58</v>
      </c>
      <c r="M1361">
        <v>-6.3331768900610791E-2</v>
      </c>
      <c r="N1361">
        <v>-0.39045709776605592</v>
      </c>
      <c r="O1361">
        <v>0.3271253288654451</v>
      </c>
      <c r="P1361">
        <v>-2.7744037322974862</v>
      </c>
      <c r="R1361" t="str">
        <f t="shared" si="42"/>
        <v>yes</v>
      </c>
      <c r="S1361" t="str">
        <f t="shared" si="43"/>
        <v>no</v>
      </c>
    </row>
    <row r="1362" spans="1:19" x14ac:dyDescent="0.35">
      <c r="A1362" s="1">
        <v>1360</v>
      </c>
      <c r="B1362" t="s">
        <v>829</v>
      </c>
      <c r="C1362" t="s">
        <v>56</v>
      </c>
      <c r="D1362" t="s">
        <v>71</v>
      </c>
      <c r="E1362">
        <v>39.715870849382711</v>
      </c>
      <c r="F1362">
        <v>68.650930473931268</v>
      </c>
      <c r="G1362">
        <v>27</v>
      </c>
      <c r="H1362" t="s">
        <v>58</v>
      </c>
      <c r="M1362">
        <v>177.0177317972452</v>
      </c>
      <c r="N1362">
        <v>-97.585990098479826</v>
      </c>
      <c r="O1362">
        <v>274.60372189572507</v>
      </c>
      <c r="P1362">
        <v>0.57851904664954201</v>
      </c>
      <c r="R1362" t="str">
        <f t="shared" si="42"/>
        <v>yes</v>
      </c>
      <c r="S1362" t="str">
        <f t="shared" si="43"/>
        <v>no</v>
      </c>
    </row>
    <row r="1363" spans="1:19" x14ac:dyDescent="0.35">
      <c r="A1363" s="1">
        <v>1361</v>
      </c>
      <c r="B1363" t="s">
        <v>829</v>
      </c>
      <c r="C1363" t="s">
        <v>56</v>
      </c>
      <c r="D1363" t="s">
        <v>72</v>
      </c>
      <c r="E1363">
        <v>18.560154759259259</v>
      </c>
      <c r="F1363">
        <v>52.574354936482443</v>
      </c>
      <c r="G1363">
        <v>27</v>
      </c>
      <c r="H1363" t="s">
        <v>58</v>
      </c>
      <c r="M1363">
        <v>123.70886463222411</v>
      </c>
      <c r="N1363">
        <v>-86.588555113705624</v>
      </c>
      <c r="O1363">
        <v>210.2974197459298</v>
      </c>
      <c r="P1363">
        <v>0.35302677097384572</v>
      </c>
      <c r="R1363" t="str">
        <f t="shared" si="42"/>
        <v>yes</v>
      </c>
      <c r="S1363" t="str">
        <f t="shared" si="43"/>
        <v>no</v>
      </c>
    </row>
    <row r="1364" spans="1:19" x14ac:dyDescent="0.35">
      <c r="A1364" s="1">
        <v>1362</v>
      </c>
      <c r="B1364" t="s">
        <v>829</v>
      </c>
      <c r="C1364" t="s">
        <v>56</v>
      </c>
      <c r="D1364" t="s">
        <v>73</v>
      </c>
      <c r="E1364">
        <v>3.843637818518518</v>
      </c>
      <c r="F1364">
        <v>10.871449463607201</v>
      </c>
      <c r="G1364">
        <v>27</v>
      </c>
      <c r="H1364" t="s">
        <v>58</v>
      </c>
      <c r="M1364">
        <v>25.586536745732921</v>
      </c>
      <c r="N1364">
        <v>-17.899261108695882</v>
      </c>
      <c r="O1364">
        <v>43.485797854428803</v>
      </c>
      <c r="P1364">
        <v>0.35355339059297619</v>
      </c>
      <c r="R1364" t="str">
        <f t="shared" si="42"/>
        <v>yes</v>
      </c>
      <c r="S1364" t="str">
        <f t="shared" si="43"/>
        <v>no</v>
      </c>
    </row>
    <row r="1365" spans="1:19" x14ac:dyDescent="0.35">
      <c r="A1365" s="1">
        <v>1363</v>
      </c>
      <c r="B1365" t="s">
        <v>829</v>
      </c>
      <c r="C1365" t="s">
        <v>56</v>
      </c>
      <c r="D1365" t="s">
        <v>74</v>
      </c>
      <c r="E1365">
        <v>-9.6183718419753088</v>
      </c>
      <c r="F1365">
        <v>27.204863813738431</v>
      </c>
      <c r="G1365">
        <v>27</v>
      </c>
      <c r="H1365" t="s">
        <v>58</v>
      </c>
      <c r="M1365">
        <v>44.791355785501551</v>
      </c>
      <c r="N1365">
        <v>-64.028099469452172</v>
      </c>
      <c r="O1365">
        <v>108.8194552549537</v>
      </c>
      <c r="P1365">
        <v>-0.35355339059326729</v>
      </c>
      <c r="R1365" t="str">
        <f t="shared" si="42"/>
        <v>yes</v>
      </c>
      <c r="S1365" t="str">
        <f t="shared" si="43"/>
        <v>no</v>
      </c>
    </row>
    <row r="1366" spans="1:19" x14ac:dyDescent="0.35">
      <c r="A1366" s="1">
        <v>1364</v>
      </c>
      <c r="B1366" t="s">
        <v>829</v>
      </c>
      <c r="C1366" t="s">
        <v>253</v>
      </c>
      <c r="D1366" t="s">
        <v>254</v>
      </c>
      <c r="E1366">
        <v>0</v>
      </c>
      <c r="F1366">
        <v>0</v>
      </c>
      <c r="G1366">
        <v>27</v>
      </c>
      <c r="H1366" t="s">
        <v>58</v>
      </c>
      <c r="M1366">
        <v>0</v>
      </c>
      <c r="N1366">
        <v>0</v>
      </c>
      <c r="O1366">
        <v>0</v>
      </c>
      <c r="R1366" t="str">
        <f t="shared" si="42"/>
        <v>yes</v>
      </c>
      <c r="S1366" t="str">
        <f t="shared" si="43"/>
        <v>no</v>
      </c>
    </row>
    <row r="1367" spans="1:19" x14ac:dyDescent="0.35">
      <c r="A1367" s="1">
        <v>1365</v>
      </c>
      <c r="B1367" t="s">
        <v>829</v>
      </c>
      <c r="C1367" t="s">
        <v>253</v>
      </c>
      <c r="D1367" t="s">
        <v>255</v>
      </c>
      <c r="E1367">
        <v>2.9957555555555562</v>
      </c>
      <c r="F1367">
        <v>5.6045454517067581</v>
      </c>
      <c r="G1367">
        <v>27</v>
      </c>
      <c r="H1367" t="s">
        <v>58</v>
      </c>
      <c r="M1367">
        <v>14.204846458969071</v>
      </c>
      <c r="N1367">
        <v>-8.21333534785796</v>
      </c>
      <c r="O1367">
        <v>22.418181806827029</v>
      </c>
      <c r="P1367">
        <v>0.5345224838248489</v>
      </c>
      <c r="R1367" t="str">
        <f t="shared" si="42"/>
        <v>yes</v>
      </c>
      <c r="S1367" t="str">
        <f t="shared" si="43"/>
        <v>no</v>
      </c>
    </row>
    <row r="1368" spans="1:19" x14ac:dyDescent="0.35">
      <c r="A1368" s="1">
        <v>1366</v>
      </c>
      <c r="B1368" t="s">
        <v>829</v>
      </c>
      <c r="C1368" t="s">
        <v>253</v>
      </c>
      <c r="D1368" t="s">
        <v>256</v>
      </c>
      <c r="E1368">
        <v>0</v>
      </c>
      <c r="F1368">
        <v>0</v>
      </c>
      <c r="G1368">
        <v>27</v>
      </c>
      <c r="H1368" t="s">
        <v>58</v>
      </c>
      <c r="M1368">
        <v>0</v>
      </c>
      <c r="N1368">
        <v>0</v>
      </c>
      <c r="O1368">
        <v>0</v>
      </c>
      <c r="R1368" t="str">
        <f t="shared" si="42"/>
        <v>yes</v>
      </c>
      <c r="S1368" t="str">
        <f t="shared" si="43"/>
        <v>no</v>
      </c>
    </row>
    <row r="1369" spans="1:19" x14ac:dyDescent="0.35">
      <c r="A1369" s="1">
        <v>1367</v>
      </c>
      <c r="B1369" t="s">
        <v>829</v>
      </c>
      <c r="C1369" t="s">
        <v>253</v>
      </c>
      <c r="D1369" t="s">
        <v>257</v>
      </c>
      <c r="E1369">
        <v>9.0992481481481473</v>
      </c>
      <c r="F1369">
        <v>17.105734895282399</v>
      </c>
      <c r="G1369">
        <v>27</v>
      </c>
      <c r="H1369" t="s">
        <v>58</v>
      </c>
      <c r="M1369">
        <v>43.310717938712948</v>
      </c>
      <c r="N1369">
        <v>-25.11222164241665</v>
      </c>
      <c r="O1369">
        <v>68.422939581129597</v>
      </c>
      <c r="P1369">
        <v>0.53194137544231634</v>
      </c>
      <c r="R1369" t="str">
        <f t="shared" si="42"/>
        <v>yes</v>
      </c>
      <c r="S1369" t="str">
        <f t="shared" si="43"/>
        <v>no</v>
      </c>
    </row>
    <row r="1370" spans="1:19" x14ac:dyDescent="0.35">
      <c r="A1370" s="1">
        <v>1368</v>
      </c>
      <c r="B1370" t="s">
        <v>829</v>
      </c>
      <c r="C1370" t="s">
        <v>253</v>
      </c>
      <c r="D1370" t="s">
        <v>258</v>
      </c>
      <c r="E1370">
        <v>0</v>
      </c>
      <c r="F1370">
        <v>0</v>
      </c>
      <c r="G1370">
        <v>27</v>
      </c>
      <c r="H1370" t="s">
        <v>58</v>
      </c>
      <c r="M1370">
        <v>0</v>
      </c>
      <c r="N1370">
        <v>0</v>
      </c>
      <c r="O1370">
        <v>0</v>
      </c>
      <c r="R1370" t="str">
        <f t="shared" si="42"/>
        <v>yes</v>
      </c>
      <c r="S1370" t="str">
        <f t="shared" si="43"/>
        <v>no</v>
      </c>
    </row>
    <row r="1371" spans="1:19" x14ac:dyDescent="0.35">
      <c r="A1371" s="1">
        <v>1369</v>
      </c>
      <c r="B1371" t="s">
        <v>829</v>
      </c>
      <c r="C1371" t="s">
        <v>253</v>
      </c>
      <c r="D1371" t="s">
        <v>259</v>
      </c>
      <c r="E1371">
        <v>3.994340740740741</v>
      </c>
      <c r="F1371">
        <v>6.1556924987129253</v>
      </c>
      <c r="G1371">
        <v>27</v>
      </c>
      <c r="H1371" t="s">
        <v>58</v>
      </c>
      <c r="M1371">
        <v>16.30572573816659</v>
      </c>
      <c r="N1371">
        <v>-8.3170442566851097</v>
      </c>
      <c r="O1371">
        <v>24.622769994851701</v>
      </c>
      <c r="P1371">
        <v>0.64888568452305007</v>
      </c>
      <c r="R1371" t="str">
        <f t="shared" si="42"/>
        <v>yes</v>
      </c>
      <c r="S1371" t="str">
        <f t="shared" si="43"/>
        <v>no</v>
      </c>
    </row>
    <row r="1372" spans="1:19" x14ac:dyDescent="0.35">
      <c r="A1372" s="1">
        <v>1370</v>
      </c>
      <c r="B1372" t="s">
        <v>829</v>
      </c>
      <c r="C1372" t="s">
        <v>253</v>
      </c>
      <c r="D1372" t="s">
        <v>260</v>
      </c>
      <c r="E1372">
        <v>0</v>
      </c>
      <c r="F1372">
        <v>0</v>
      </c>
      <c r="G1372">
        <v>27</v>
      </c>
      <c r="H1372" t="s">
        <v>58</v>
      </c>
      <c r="M1372">
        <v>0</v>
      </c>
      <c r="N1372">
        <v>0</v>
      </c>
      <c r="O1372">
        <v>0</v>
      </c>
      <c r="R1372" t="str">
        <f t="shared" si="42"/>
        <v>yes</v>
      </c>
      <c r="S1372" t="str">
        <f t="shared" si="43"/>
        <v>no</v>
      </c>
    </row>
    <row r="1373" spans="1:19" x14ac:dyDescent="0.35">
      <c r="A1373" s="1">
        <v>1371</v>
      </c>
      <c r="B1373" t="s">
        <v>829</v>
      </c>
      <c r="C1373" t="s">
        <v>253</v>
      </c>
      <c r="D1373" t="s">
        <v>261</v>
      </c>
      <c r="E1373">
        <v>11.954866666666669</v>
      </c>
      <c r="F1373">
        <v>18.546862039329621</v>
      </c>
      <c r="G1373">
        <v>27</v>
      </c>
      <c r="H1373" t="s">
        <v>58</v>
      </c>
      <c r="M1373">
        <v>49.04859074532591</v>
      </c>
      <c r="N1373">
        <v>-25.138857411992571</v>
      </c>
      <c r="O1373">
        <v>74.187448157318485</v>
      </c>
      <c r="P1373">
        <v>0.64457624375032985</v>
      </c>
      <c r="R1373" t="str">
        <f t="shared" si="42"/>
        <v>yes</v>
      </c>
      <c r="S1373" t="str">
        <f t="shared" si="43"/>
        <v>no</v>
      </c>
    </row>
    <row r="1374" spans="1:19" x14ac:dyDescent="0.35">
      <c r="A1374" s="1">
        <v>1372</v>
      </c>
      <c r="B1374" t="s">
        <v>829</v>
      </c>
      <c r="C1374" t="s">
        <v>253</v>
      </c>
      <c r="D1374" t="s">
        <v>262</v>
      </c>
      <c r="E1374">
        <v>0</v>
      </c>
      <c r="F1374">
        <v>0</v>
      </c>
      <c r="G1374">
        <v>27</v>
      </c>
      <c r="H1374" t="s">
        <v>58</v>
      </c>
      <c r="M1374">
        <v>0</v>
      </c>
      <c r="N1374">
        <v>0</v>
      </c>
      <c r="O1374">
        <v>0</v>
      </c>
      <c r="R1374" t="str">
        <f t="shared" si="42"/>
        <v>yes</v>
      </c>
      <c r="S1374" t="str">
        <f t="shared" si="43"/>
        <v>no</v>
      </c>
    </row>
    <row r="1375" spans="1:19" x14ac:dyDescent="0.35">
      <c r="A1375" s="1">
        <v>1373</v>
      </c>
      <c r="B1375" t="s">
        <v>829</v>
      </c>
      <c r="C1375" t="s">
        <v>253</v>
      </c>
      <c r="D1375" t="s">
        <v>263</v>
      </c>
      <c r="E1375">
        <v>2.9957555555555562</v>
      </c>
      <c r="F1375">
        <v>5.6045454517067581</v>
      </c>
      <c r="G1375">
        <v>27</v>
      </c>
      <c r="H1375" t="s">
        <v>58</v>
      </c>
      <c r="M1375">
        <v>14.204846458969071</v>
      </c>
      <c r="N1375">
        <v>-8.21333534785796</v>
      </c>
      <c r="O1375">
        <v>22.418181806827029</v>
      </c>
      <c r="P1375">
        <v>0.5345224838248489</v>
      </c>
      <c r="R1375" t="str">
        <f t="shared" si="42"/>
        <v>yes</v>
      </c>
      <c r="S1375" t="str">
        <f t="shared" si="43"/>
        <v>no</v>
      </c>
    </row>
    <row r="1376" spans="1:19" x14ac:dyDescent="0.35">
      <c r="A1376" s="1">
        <v>1374</v>
      </c>
      <c r="B1376" t="s">
        <v>829</v>
      </c>
      <c r="C1376" t="s">
        <v>253</v>
      </c>
      <c r="D1376" t="s">
        <v>264</v>
      </c>
      <c r="E1376">
        <v>0</v>
      </c>
      <c r="F1376">
        <v>0</v>
      </c>
      <c r="G1376">
        <v>27</v>
      </c>
      <c r="H1376" t="s">
        <v>58</v>
      </c>
      <c r="M1376">
        <v>0</v>
      </c>
      <c r="N1376">
        <v>0</v>
      </c>
      <c r="O1376">
        <v>0</v>
      </c>
      <c r="R1376" t="str">
        <f t="shared" si="42"/>
        <v>yes</v>
      </c>
      <c r="S1376" t="str">
        <f t="shared" si="43"/>
        <v>no</v>
      </c>
    </row>
    <row r="1377" spans="1:19" x14ac:dyDescent="0.35">
      <c r="A1377" s="1">
        <v>1375</v>
      </c>
      <c r="B1377" t="s">
        <v>829</v>
      </c>
      <c r="C1377" t="s">
        <v>253</v>
      </c>
      <c r="D1377" t="s">
        <v>265</v>
      </c>
      <c r="E1377">
        <v>8.5135925925925928</v>
      </c>
      <c r="F1377">
        <v>15.969063457334929</v>
      </c>
      <c r="G1377">
        <v>27</v>
      </c>
      <c r="H1377" t="s">
        <v>58</v>
      </c>
      <c r="M1377">
        <v>40.451719507262453</v>
      </c>
      <c r="N1377">
        <v>-23.42453432207726</v>
      </c>
      <c r="O1377">
        <v>63.876253829339717</v>
      </c>
      <c r="P1377">
        <v>0.53313036267522118</v>
      </c>
      <c r="R1377" t="str">
        <f t="shared" si="42"/>
        <v>yes</v>
      </c>
      <c r="S1377" t="str">
        <f t="shared" si="43"/>
        <v>no</v>
      </c>
    </row>
    <row r="1378" spans="1:19" x14ac:dyDescent="0.35">
      <c r="A1378" s="1">
        <v>1376</v>
      </c>
      <c r="B1378" t="s">
        <v>829</v>
      </c>
      <c r="C1378" t="s">
        <v>253</v>
      </c>
      <c r="D1378" t="s">
        <v>266</v>
      </c>
      <c r="E1378">
        <v>0</v>
      </c>
      <c r="F1378">
        <v>0</v>
      </c>
      <c r="G1378">
        <v>27</v>
      </c>
      <c r="H1378" t="s">
        <v>58</v>
      </c>
      <c r="M1378">
        <v>0</v>
      </c>
      <c r="N1378">
        <v>0</v>
      </c>
      <c r="O1378">
        <v>0</v>
      </c>
      <c r="R1378" t="str">
        <f t="shared" si="42"/>
        <v>yes</v>
      </c>
      <c r="S1378" t="str">
        <f t="shared" si="43"/>
        <v>no</v>
      </c>
    </row>
    <row r="1379" spans="1:19" x14ac:dyDescent="0.35">
      <c r="A1379" s="1">
        <v>1377</v>
      </c>
      <c r="B1379" t="s">
        <v>829</v>
      </c>
      <c r="C1379" t="s">
        <v>253</v>
      </c>
      <c r="D1379" t="s">
        <v>267</v>
      </c>
      <c r="E1379">
        <v>3.994340740740741</v>
      </c>
      <c r="F1379">
        <v>6.1556924987129253</v>
      </c>
      <c r="G1379">
        <v>27</v>
      </c>
      <c r="H1379" t="s">
        <v>58</v>
      </c>
      <c r="M1379">
        <v>16.30572573816659</v>
      </c>
      <c r="N1379">
        <v>-8.3170442566851097</v>
      </c>
      <c r="O1379">
        <v>24.622769994851701</v>
      </c>
      <c r="P1379">
        <v>0.64888568452305007</v>
      </c>
      <c r="R1379" t="str">
        <f t="shared" si="42"/>
        <v>yes</v>
      </c>
      <c r="S1379" t="str">
        <f t="shared" si="43"/>
        <v>no</v>
      </c>
    </row>
    <row r="1380" spans="1:19" x14ac:dyDescent="0.35">
      <c r="A1380" s="1">
        <v>1378</v>
      </c>
      <c r="B1380" t="s">
        <v>829</v>
      </c>
      <c r="C1380" t="s">
        <v>253</v>
      </c>
      <c r="D1380" t="s">
        <v>268</v>
      </c>
      <c r="E1380">
        <v>0</v>
      </c>
      <c r="F1380">
        <v>0</v>
      </c>
      <c r="G1380">
        <v>27</v>
      </c>
      <c r="H1380" t="s">
        <v>58</v>
      </c>
      <c r="M1380">
        <v>0</v>
      </c>
      <c r="N1380">
        <v>0</v>
      </c>
      <c r="O1380">
        <v>0</v>
      </c>
      <c r="R1380" t="str">
        <f t="shared" si="42"/>
        <v>yes</v>
      </c>
      <c r="S1380" t="str">
        <f t="shared" si="43"/>
        <v>no</v>
      </c>
    </row>
    <row r="1381" spans="1:19" x14ac:dyDescent="0.35">
      <c r="A1381" s="1">
        <v>1379</v>
      </c>
      <c r="B1381" t="s">
        <v>829</v>
      </c>
      <c r="C1381" t="s">
        <v>253</v>
      </c>
      <c r="D1381" t="s">
        <v>269</v>
      </c>
      <c r="E1381">
        <v>11.20948518518518</v>
      </c>
      <c r="F1381">
        <v>17.429353594815669</v>
      </c>
      <c r="G1381">
        <v>27</v>
      </c>
      <c r="H1381" t="s">
        <v>58</v>
      </c>
      <c r="M1381">
        <v>46.068192374816519</v>
      </c>
      <c r="N1381">
        <v>-23.649222004446159</v>
      </c>
      <c r="O1381">
        <v>69.717414379262678</v>
      </c>
      <c r="P1381">
        <v>0.64313831974350566</v>
      </c>
      <c r="R1381" t="str">
        <f t="shared" si="42"/>
        <v>yes</v>
      </c>
      <c r="S1381" t="str">
        <f t="shared" si="43"/>
        <v>no</v>
      </c>
    </row>
    <row r="1382" spans="1:19" x14ac:dyDescent="0.35">
      <c r="A1382" s="1">
        <v>1380</v>
      </c>
      <c r="B1382" t="s">
        <v>829</v>
      </c>
      <c r="C1382" t="s">
        <v>253</v>
      </c>
      <c r="D1382" t="s">
        <v>270</v>
      </c>
      <c r="E1382">
        <v>0</v>
      </c>
      <c r="F1382">
        <v>0</v>
      </c>
      <c r="G1382">
        <v>27</v>
      </c>
      <c r="H1382" t="s">
        <v>58</v>
      </c>
      <c r="M1382">
        <v>0</v>
      </c>
      <c r="N1382">
        <v>0</v>
      </c>
      <c r="O1382">
        <v>0</v>
      </c>
      <c r="R1382" t="str">
        <f t="shared" si="42"/>
        <v>yes</v>
      </c>
      <c r="S1382" t="str">
        <f t="shared" si="43"/>
        <v>no</v>
      </c>
    </row>
    <row r="1383" spans="1:19" x14ac:dyDescent="0.35">
      <c r="A1383" s="1">
        <v>1381</v>
      </c>
      <c r="B1383" t="s">
        <v>829</v>
      </c>
      <c r="C1383" t="s">
        <v>253</v>
      </c>
      <c r="D1383" t="s">
        <v>271</v>
      </c>
      <c r="E1383">
        <v>2.9957555555555562</v>
      </c>
      <c r="F1383">
        <v>5.6045454517067581</v>
      </c>
      <c r="G1383">
        <v>27</v>
      </c>
      <c r="H1383" t="s">
        <v>58</v>
      </c>
      <c r="M1383">
        <v>14.204846458969071</v>
      </c>
      <c r="N1383">
        <v>-8.21333534785796</v>
      </c>
      <c r="O1383">
        <v>22.418181806827029</v>
      </c>
      <c r="P1383">
        <v>0.5345224838248489</v>
      </c>
      <c r="R1383" t="str">
        <f t="shared" si="42"/>
        <v>yes</v>
      </c>
      <c r="S1383" t="str">
        <f t="shared" si="43"/>
        <v>no</v>
      </c>
    </row>
    <row r="1384" spans="1:19" x14ac:dyDescent="0.35">
      <c r="A1384" s="1">
        <v>1382</v>
      </c>
      <c r="B1384" t="s">
        <v>829</v>
      </c>
      <c r="C1384" t="s">
        <v>253</v>
      </c>
      <c r="D1384" t="s">
        <v>272</v>
      </c>
      <c r="E1384">
        <v>0</v>
      </c>
      <c r="F1384">
        <v>0</v>
      </c>
      <c r="G1384">
        <v>27</v>
      </c>
      <c r="H1384" t="s">
        <v>58</v>
      </c>
      <c r="M1384">
        <v>0</v>
      </c>
      <c r="N1384">
        <v>0</v>
      </c>
      <c r="O1384">
        <v>0</v>
      </c>
      <c r="R1384" t="str">
        <f t="shared" si="42"/>
        <v>yes</v>
      </c>
      <c r="S1384" t="str">
        <f t="shared" si="43"/>
        <v>no</v>
      </c>
    </row>
    <row r="1385" spans="1:19" x14ac:dyDescent="0.35">
      <c r="A1385" s="1">
        <v>1383</v>
      </c>
      <c r="B1385" t="s">
        <v>829</v>
      </c>
      <c r="C1385" t="s">
        <v>253</v>
      </c>
      <c r="D1385" t="s">
        <v>273</v>
      </c>
      <c r="E1385">
        <v>7.9456888888888866</v>
      </c>
      <c r="F1385">
        <v>14.914519917090329</v>
      </c>
      <c r="G1385">
        <v>27</v>
      </c>
      <c r="H1385" t="s">
        <v>58</v>
      </c>
      <c r="M1385">
        <v>37.774728723069543</v>
      </c>
      <c r="N1385">
        <v>-21.88335094529177</v>
      </c>
      <c r="O1385">
        <v>59.658079668361317</v>
      </c>
      <c r="P1385">
        <v>0.53274855195198323</v>
      </c>
      <c r="R1385" t="str">
        <f t="shared" si="42"/>
        <v>yes</v>
      </c>
      <c r="S1385" t="str">
        <f t="shared" si="43"/>
        <v>no</v>
      </c>
    </row>
    <row r="1386" spans="1:19" x14ac:dyDescent="0.35">
      <c r="A1386" s="1">
        <v>1384</v>
      </c>
      <c r="B1386" t="s">
        <v>829</v>
      </c>
      <c r="C1386" t="s">
        <v>253</v>
      </c>
      <c r="D1386" t="s">
        <v>274</v>
      </c>
      <c r="E1386">
        <v>0</v>
      </c>
      <c r="F1386">
        <v>0</v>
      </c>
      <c r="G1386">
        <v>27</v>
      </c>
      <c r="H1386" t="s">
        <v>58</v>
      </c>
      <c r="M1386">
        <v>0</v>
      </c>
      <c r="N1386">
        <v>0</v>
      </c>
      <c r="O1386">
        <v>0</v>
      </c>
      <c r="R1386" t="str">
        <f t="shared" si="42"/>
        <v>yes</v>
      </c>
      <c r="S1386" t="str">
        <f t="shared" si="43"/>
        <v>no</v>
      </c>
    </row>
    <row r="1387" spans="1:19" x14ac:dyDescent="0.35">
      <c r="A1387" s="1">
        <v>1385</v>
      </c>
      <c r="B1387" t="s">
        <v>829</v>
      </c>
      <c r="C1387" t="s">
        <v>253</v>
      </c>
      <c r="D1387" t="s">
        <v>275</v>
      </c>
      <c r="E1387">
        <v>3.994340740740741</v>
      </c>
      <c r="F1387">
        <v>6.1556924987129253</v>
      </c>
      <c r="G1387">
        <v>27</v>
      </c>
      <c r="H1387" t="s">
        <v>58</v>
      </c>
      <c r="M1387">
        <v>16.30572573816659</v>
      </c>
      <c r="N1387">
        <v>-8.3170442566851097</v>
      </c>
      <c r="O1387">
        <v>24.622769994851701</v>
      </c>
      <c r="P1387">
        <v>0.64888568452305007</v>
      </c>
      <c r="R1387" t="str">
        <f t="shared" si="42"/>
        <v>yes</v>
      </c>
      <c r="S1387" t="str">
        <f t="shared" si="43"/>
        <v>no</v>
      </c>
    </row>
    <row r="1388" spans="1:19" x14ac:dyDescent="0.35">
      <c r="A1388" s="1">
        <v>1386</v>
      </c>
      <c r="B1388" t="s">
        <v>829</v>
      </c>
      <c r="C1388" t="s">
        <v>253</v>
      </c>
      <c r="D1388" t="s">
        <v>276</v>
      </c>
      <c r="E1388">
        <v>0</v>
      </c>
      <c r="F1388">
        <v>0</v>
      </c>
      <c r="G1388">
        <v>27</v>
      </c>
      <c r="H1388" t="s">
        <v>58</v>
      </c>
      <c r="M1388">
        <v>0</v>
      </c>
      <c r="N1388">
        <v>0</v>
      </c>
      <c r="O1388">
        <v>0</v>
      </c>
      <c r="R1388" t="str">
        <f t="shared" si="42"/>
        <v>yes</v>
      </c>
      <c r="S1388" t="str">
        <f t="shared" si="43"/>
        <v>no</v>
      </c>
    </row>
    <row r="1389" spans="1:19" x14ac:dyDescent="0.35">
      <c r="A1389" s="1">
        <v>1387</v>
      </c>
      <c r="B1389" t="s">
        <v>829</v>
      </c>
      <c r="C1389" t="s">
        <v>253</v>
      </c>
      <c r="D1389" t="s">
        <v>277</v>
      </c>
      <c r="E1389">
        <v>11.84838148148148</v>
      </c>
      <c r="F1389">
        <v>18.33904841275065</v>
      </c>
      <c r="G1389">
        <v>27</v>
      </c>
      <c r="H1389" t="s">
        <v>58</v>
      </c>
      <c r="M1389">
        <v>48.526478306982781</v>
      </c>
      <c r="N1389">
        <v>-24.829715344019821</v>
      </c>
      <c r="O1389">
        <v>73.356193651002599</v>
      </c>
      <c r="P1389">
        <v>0.64607395186566052</v>
      </c>
      <c r="R1389" t="str">
        <f t="shared" si="42"/>
        <v>yes</v>
      </c>
      <c r="S1389" t="str">
        <f t="shared" si="43"/>
        <v>no</v>
      </c>
    </row>
    <row r="1390" spans="1:19" x14ac:dyDescent="0.35">
      <c r="A1390" s="1">
        <v>1388</v>
      </c>
      <c r="B1390" t="s">
        <v>829</v>
      </c>
      <c r="C1390" t="s">
        <v>253</v>
      </c>
      <c r="D1390" t="s">
        <v>278</v>
      </c>
      <c r="E1390">
        <v>31.176096296296301</v>
      </c>
      <c r="F1390">
        <v>65.652500124245506</v>
      </c>
      <c r="G1390">
        <v>27</v>
      </c>
      <c r="H1390" t="s">
        <v>58</v>
      </c>
      <c r="M1390">
        <v>162.48109654478731</v>
      </c>
      <c r="N1390">
        <v>-100.1289039521947</v>
      </c>
      <c r="O1390">
        <v>262.61000049698202</v>
      </c>
      <c r="P1390">
        <v>0.47486533242902279</v>
      </c>
      <c r="R1390" t="str">
        <f t="shared" si="42"/>
        <v>yes</v>
      </c>
      <c r="S1390" t="str">
        <f t="shared" si="43"/>
        <v>no</v>
      </c>
    </row>
    <row r="1391" spans="1:19" x14ac:dyDescent="0.35">
      <c r="A1391" s="1">
        <v>1389</v>
      </c>
      <c r="B1391" t="s">
        <v>829</v>
      </c>
      <c r="C1391" t="s">
        <v>253</v>
      </c>
      <c r="D1391" t="s">
        <v>279</v>
      </c>
      <c r="E1391">
        <v>0</v>
      </c>
      <c r="F1391">
        <v>0</v>
      </c>
      <c r="G1391">
        <v>27</v>
      </c>
      <c r="H1391" t="s">
        <v>58</v>
      </c>
      <c r="M1391">
        <v>0</v>
      </c>
      <c r="N1391">
        <v>0</v>
      </c>
      <c r="O1391">
        <v>0</v>
      </c>
      <c r="R1391" t="str">
        <f t="shared" si="42"/>
        <v>yes</v>
      </c>
      <c r="S1391" t="str">
        <f t="shared" si="43"/>
        <v>no</v>
      </c>
    </row>
    <row r="1392" spans="1:19" x14ac:dyDescent="0.35">
      <c r="A1392" s="1">
        <v>1390</v>
      </c>
      <c r="B1392" t="s">
        <v>829</v>
      </c>
      <c r="C1392" t="s">
        <v>253</v>
      </c>
      <c r="D1392" t="s">
        <v>280</v>
      </c>
      <c r="E1392">
        <v>0</v>
      </c>
      <c r="F1392">
        <v>0</v>
      </c>
      <c r="G1392">
        <v>27</v>
      </c>
      <c r="H1392" t="s">
        <v>58</v>
      </c>
      <c r="M1392">
        <v>0</v>
      </c>
      <c r="N1392">
        <v>0</v>
      </c>
      <c r="O1392">
        <v>0</v>
      </c>
      <c r="R1392" t="str">
        <f t="shared" si="42"/>
        <v>yes</v>
      </c>
      <c r="S1392" t="str">
        <f t="shared" si="43"/>
        <v>no</v>
      </c>
    </row>
    <row r="1393" spans="1:19" x14ac:dyDescent="0.35">
      <c r="A1393" s="1">
        <v>1391</v>
      </c>
      <c r="B1393" t="s">
        <v>829</v>
      </c>
      <c r="C1393" t="s">
        <v>253</v>
      </c>
      <c r="D1393" t="s">
        <v>281</v>
      </c>
      <c r="E1393">
        <v>7.4851037037037029</v>
      </c>
      <c r="F1393">
        <v>15.73205291010307</v>
      </c>
      <c r="G1393">
        <v>27</v>
      </c>
      <c r="H1393" t="s">
        <v>58</v>
      </c>
      <c r="M1393">
        <v>38.949209523909843</v>
      </c>
      <c r="N1393">
        <v>-23.979002116502439</v>
      </c>
      <c r="O1393">
        <v>62.928211640412279</v>
      </c>
      <c r="P1393">
        <v>0.47578683764130969</v>
      </c>
      <c r="R1393" t="str">
        <f t="shared" si="42"/>
        <v>yes</v>
      </c>
      <c r="S1393" t="str">
        <f t="shared" si="43"/>
        <v>no</v>
      </c>
    </row>
    <row r="1394" spans="1:19" x14ac:dyDescent="0.35">
      <c r="A1394" s="1">
        <v>1392</v>
      </c>
      <c r="B1394" t="s">
        <v>829</v>
      </c>
      <c r="C1394" t="s">
        <v>253</v>
      </c>
      <c r="D1394" t="s">
        <v>282</v>
      </c>
      <c r="E1394">
        <v>27.516974074074071</v>
      </c>
      <c r="F1394">
        <v>60.059210017205601</v>
      </c>
      <c r="G1394">
        <v>27</v>
      </c>
      <c r="H1394" t="s">
        <v>58</v>
      </c>
      <c r="M1394">
        <v>147.63539410848529</v>
      </c>
      <c r="N1394">
        <v>-92.601445960337131</v>
      </c>
      <c r="O1394">
        <v>240.2368400688224</v>
      </c>
      <c r="P1394">
        <v>0.45816410282771092</v>
      </c>
      <c r="R1394" t="str">
        <f t="shared" si="42"/>
        <v>yes</v>
      </c>
      <c r="S1394" t="str">
        <f t="shared" si="43"/>
        <v>no</v>
      </c>
    </row>
    <row r="1395" spans="1:19" x14ac:dyDescent="0.35">
      <c r="A1395" s="1">
        <v>1393</v>
      </c>
      <c r="B1395" t="s">
        <v>829</v>
      </c>
      <c r="C1395" t="s">
        <v>253</v>
      </c>
      <c r="D1395" t="s">
        <v>283</v>
      </c>
      <c r="E1395">
        <v>0</v>
      </c>
      <c r="F1395">
        <v>0</v>
      </c>
      <c r="G1395">
        <v>27</v>
      </c>
      <c r="H1395" t="s">
        <v>58</v>
      </c>
      <c r="M1395">
        <v>0</v>
      </c>
      <c r="N1395">
        <v>0</v>
      </c>
      <c r="O1395">
        <v>0</v>
      </c>
      <c r="R1395" t="str">
        <f t="shared" si="42"/>
        <v>yes</v>
      </c>
      <c r="S1395" t="str">
        <f t="shared" si="43"/>
        <v>no</v>
      </c>
    </row>
    <row r="1396" spans="1:19" x14ac:dyDescent="0.35">
      <c r="A1396" s="1">
        <v>1394</v>
      </c>
      <c r="B1396" t="s">
        <v>829</v>
      </c>
      <c r="C1396" t="s">
        <v>253</v>
      </c>
      <c r="D1396" t="s">
        <v>284</v>
      </c>
      <c r="E1396">
        <v>0</v>
      </c>
      <c r="F1396">
        <v>0</v>
      </c>
      <c r="G1396">
        <v>27</v>
      </c>
      <c r="H1396" t="s">
        <v>58</v>
      </c>
      <c r="M1396">
        <v>0</v>
      </c>
      <c r="N1396">
        <v>0</v>
      </c>
      <c r="O1396">
        <v>0</v>
      </c>
      <c r="R1396" t="str">
        <f t="shared" si="42"/>
        <v>yes</v>
      </c>
      <c r="S1396" t="str">
        <f t="shared" si="43"/>
        <v>no</v>
      </c>
    </row>
    <row r="1397" spans="1:19" x14ac:dyDescent="0.35">
      <c r="A1397" s="1">
        <v>1395</v>
      </c>
      <c r="B1397" t="s">
        <v>829</v>
      </c>
      <c r="C1397" t="s">
        <v>253</v>
      </c>
      <c r="D1397" t="s">
        <v>285</v>
      </c>
      <c r="E1397">
        <v>6.7929629629629629</v>
      </c>
      <c r="F1397">
        <v>14.26728950543731</v>
      </c>
      <c r="G1397">
        <v>27</v>
      </c>
      <c r="H1397" t="s">
        <v>58</v>
      </c>
      <c r="M1397">
        <v>35.327541973837583</v>
      </c>
      <c r="N1397">
        <v>-21.741616047911659</v>
      </c>
      <c r="O1397">
        <v>57.069158021749239</v>
      </c>
      <c r="P1397">
        <v>0.47612147776030922</v>
      </c>
      <c r="R1397" t="str">
        <f t="shared" si="42"/>
        <v>yes</v>
      </c>
      <c r="S1397" t="str">
        <f t="shared" si="43"/>
        <v>no</v>
      </c>
    </row>
    <row r="1398" spans="1:19" x14ac:dyDescent="0.35">
      <c r="A1398" s="1">
        <v>1396</v>
      </c>
      <c r="B1398" t="s">
        <v>829</v>
      </c>
      <c r="C1398" t="s">
        <v>253</v>
      </c>
      <c r="D1398" t="s">
        <v>286</v>
      </c>
      <c r="E1398">
        <v>32.468333333333327</v>
      </c>
      <c r="F1398">
        <v>68.164888931755144</v>
      </c>
      <c r="G1398">
        <v>27</v>
      </c>
      <c r="H1398" t="s">
        <v>58</v>
      </c>
      <c r="M1398">
        <v>168.79811119684359</v>
      </c>
      <c r="N1398">
        <v>-103.861444530177</v>
      </c>
      <c r="O1398">
        <v>272.65955572702057</v>
      </c>
      <c r="P1398">
        <v>0.47632049053640718</v>
      </c>
      <c r="R1398" t="str">
        <f t="shared" si="42"/>
        <v>yes</v>
      </c>
      <c r="S1398" t="str">
        <f t="shared" si="43"/>
        <v>no</v>
      </c>
    </row>
    <row r="1399" spans="1:19" x14ac:dyDescent="0.35">
      <c r="A1399" s="1">
        <v>1397</v>
      </c>
      <c r="B1399" t="s">
        <v>829</v>
      </c>
      <c r="C1399" t="s">
        <v>253</v>
      </c>
      <c r="D1399" t="s">
        <v>287</v>
      </c>
      <c r="E1399">
        <v>0</v>
      </c>
      <c r="F1399">
        <v>0</v>
      </c>
      <c r="G1399">
        <v>27</v>
      </c>
      <c r="H1399" t="s">
        <v>58</v>
      </c>
      <c r="M1399">
        <v>0</v>
      </c>
      <c r="N1399">
        <v>0</v>
      </c>
      <c r="O1399">
        <v>0</v>
      </c>
      <c r="R1399" t="str">
        <f t="shared" si="42"/>
        <v>yes</v>
      </c>
      <c r="S1399" t="str">
        <f t="shared" si="43"/>
        <v>no</v>
      </c>
    </row>
    <row r="1400" spans="1:19" x14ac:dyDescent="0.35">
      <c r="A1400" s="1">
        <v>1398</v>
      </c>
      <c r="B1400" t="s">
        <v>829</v>
      </c>
      <c r="C1400" t="s">
        <v>253</v>
      </c>
      <c r="D1400" t="s">
        <v>288</v>
      </c>
      <c r="E1400">
        <v>0</v>
      </c>
      <c r="F1400">
        <v>0</v>
      </c>
      <c r="G1400">
        <v>27</v>
      </c>
      <c r="H1400" t="s">
        <v>58</v>
      </c>
      <c r="M1400">
        <v>0</v>
      </c>
      <c r="N1400">
        <v>0</v>
      </c>
      <c r="O1400">
        <v>0</v>
      </c>
      <c r="R1400" t="str">
        <f t="shared" si="42"/>
        <v>yes</v>
      </c>
      <c r="S1400" t="str">
        <f t="shared" si="43"/>
        <v>no</v>
      </c>
    </row>
    <row r="1401" spans="1:19" x14ac:dyDescent="0.35">
      <c r="A1401" s="1">
        <v>1399</v>
      </c>
      <c r="B1401" t="s">
        <v>829</v>
      </c>
      <c r="C1401" t="s">
        <v>253</v>
      </c>
      <c r="D1401" t="s">
        <v>289</v>
      </c>
      <c r="E1401">
        <v>7.3786111111111108</v>
      </c>
      <c r="F1401">
        <v>15.485414941003731</v>
      </c>
      <c r="G1401">
        <v>27</v>
      </c>
      <c r="H1401" t="s">
        <v>58</v>
      </c>
      <c r="M1401">
        <v>38.34944099311857</v>
      </c>
      <c r="N1401">
        <v>-23.592218770896348</v>
      </c>
      <c r="O1401">
        <v>61.941659764014922</v>
      </c>
      <c r="P1401">
        <v>0.476487787974821</v>
      </c>
      <c r="R1401" t="str">
        <f t="shared" si="42"/>
        <v>yes</v>
      </c>
      <c r="S1401" t="str">
        <f t="shared" si="43"/>
        <v>no</v>
      </c>
    </row>
    <row r="1402" spans="1:19" x14ac:dyDescent="0.35">
      <c r="A1402" s="1">
        <v>1400</v>
      </c>
      <c r="B1402" t="s">
        <v>829</v>
      </c>
      <c r="C1402" t="s">
        <v>253</v>
      </c>
      <c r="D1402" t="s">
        <v>290</v>
      </c>
      <c r="E1402">
        <v>27.19964814814815</v>
      </c>
      <c r="F1402">
        <v>59.678368064864671</v>
      </c>
      <c r="G1402">
        <v>27</v>
      </c>
      <c r="H1402" t="s">
        <v>58</v>
      </c>
      <c r="M1402">
        <v>146.5563842778775</v>
      </c>
      <c r="N1402">
        <v>-92.157087981581185</v>
      </c>
      <c r="O1402">
        <v>238.71347225945871</v>
      </c>
      <c r="P1402">
        <v>0.45577064236382497</v>
      </c>
      <c r="R1402" t="str">
        <f t="shared" si="42"/>
        <v>yes</v>
      </c>
      <c r="S1402" t="str">
        <f t="shared" si="43"/>
        <v>no</v>
      </c>
    </row>
    <row r="1403" spans="1:19" x14ac:dyDescent="0.35">
      <c r="A1403" s="1">
        <v>1401</v>
      </c>
      <c r="B1403" t="s">
        <v>829</v>
      </c>
      <c r="C1403" t="s">
        <v>253</v>
      </c>
      <c r="D1403" t="s">
        <v>291</v>
      </c>
      <c r="E1403">
        <v>0</v>
      </c>
      <c r="F1403">
        <v>0</v>
      </c>
      <c r="G1403">
        <v>27</v>
      </c>
      <c r="H1403" t="s">
        <v>58</v>
      </c>
      <c r="M1403">
        <v>0</v>
      </c>
      <c r="N1403">
        <v>0</v>
      </c>
      <c r="O1403">
        <v>0</v>
      </c>
      <c r="R1403" t="str">
        <f t="shared" si="42"/>
        <v>yes</v>
      </c>
      <c r="S1403" t="str">
        <f t="shared" si="43"/>
        <v>no</v>
      </c>
    </row>
    <row r="1404" spans="1:19" x14ac:dyDescent="0.35">
      <c r="A1404" s="1">
        <v>1402</v>
      </c>
      <c r="B1404" t="s">
        <v>829</v>
      </c>
      <c r="C1404" t="s">
        <v>253</v>
      </c>
      <c r="D1404" t="s">
        <v>292</v>
      </c>
      <c r="E1404">
        <v>0</v>
      </c>
      <c r="F1404">
        <v>0</v>
      </c>
      <c r="G1404">
        <v>27</v>
      </c>
      <c r="H1404" t="s">
        <v>58</v>
      </c>
      <c r="M1404">
        <v>0</v>
      </c>
      <c r="N1404">
        <v>0</v>
      </c>
      <c r="O1404">
        <v>0</v>
      </c>
      <c r="R1404" t="str">
        <f t="shared" si="42"/>
        <v>yes</v>
      </c>
      <c r="S1404" t="str">
        <f t="shared" si="43"/>
        <v>no</v>
      </c>
    </row>
    <row r="1405" spans="1:19" x14ac:dyDescent="0.35">
      <c r="A1405" s="1">
        <v>1403</v>
      </c>
      <c r="B1405" t="s">
        <v>829</v>
      </c>
      <c r="C1405" t="s">
        <v>253</v>
      </c>
      <c r="D1405" t="s">
        <v>293</v>
      </c>
      <c r="E1405">
        <v>6.686481481481481</v>
      </c>
      <c r="F1405">
        <v>14.05511703080615</v>
      </c>
      <c r="G1405">
        <v>27</v>
      </c>
      <c r="H1405" t="s">
        <v>58</v>
      </c>
      <c r="M1405">
        <v>34.796715543093782</v>
      </c>
      <c r="N1405">
        <v>-21.42375258013082</v>
      </c>
      <c r="O1405">
        <v>56.220468123224599</v>
      </c>
      <c r="P1405">
        <v>0.47573289264158969</v>
      </c>
      <c r="R1405" t="str">
        <f t="shared" si="42"/>
        <v>yes</v>
      </c>
      <c r="S1405" t="str">
        <f t="shared" si="43"/>
        <v>no</v>
      </c>
    </row>
    <row r="1406" spans="1:19" x14ac:dyDescent="0.35">
      <c r="A1406" s="1">
        <v>1404</v>
      </c>
      <c r="B1406" t="s">
        <v>829</v>
      </c>
      <c r="C1406" t="s">
        <v>253</v>
      </c>
      <c r="D1406" t="s">
        <v>294</v>
      </c>
      <c r="E1406">
        <v>30.682081481481479</v>
      </c>
      <c r="F1406">
        <v>64.813691470078695</v>
      </c>
      <c r="G1406">
        <v>27</v>
      </c>
      <c r="H1406" t="s">
        <v>58</v>
      </c>
      <c r="M1406">
        <v>160.30946442163889</v>
      </c>
      <c r="N1406">
        <v>-98.945301458675914</v>
      </c>
      <c r="O1406">
        <v>259.25476588031478</v>
      </c>
      <c r="P1406">
        <v>0.47338889030330722</v>
      </c>
      <c r="R1406" t="str">
        <f t="shared" si="42"/>
        <v>yes</v>
      </c>
      <c r="S1406" t="str">
        <f t="shared" si="43"/>
        <v>no</v>
      </c>
    </row>
    <row r="1407" spans="1:19" x14ac:dyDescent="0.35">
      <c r="A1407" s="1">
        <v>1405</v>
      </c>
      <c r="B1407" t="s">
        <v>829</v>
      </c>
      <c r="C1407" t="s">
        <v>253</v>
      </c>
      <c r="D1407" t="s">
        <v>295</v>
      </c>
      <c r="E1407">
        <v>0</v>
      </c>
      <c r="F1407">
        <v>0</v>
      </c>
      <c r="G1407">
        <v>27</v>
      </c>
      <c r="H1407" t="s">
        <v>58</v>
      </c>
      <c r="M1407">
        <v>0</v>
      </c>
      <c r="N1407">
        <v>0</v>
      </c>
      <c r="O1407">
        <v>0</v>
      </c>
      <c r="R1407" t="str">
        <f t="shared" si="42"/>
        <v>yes</v>
      </c>
      <c r="S1407" t="str">
        <f t="shared" si="43"/>
        <v>no</v>
      </c>
    </row>
    <row r="1408" spans="1:19" x14ac:dyDescent="0.35">
      <c r="A1408" s="1">
        <v>1406</v>
      </c>
      <c r="B1408" t="s">
        <v>829</v>
      </c>
      <c r="C1408" t="s">
        <v>253</v>
      </c>
      <c r="D1408" t="s">
        <v>296</v>
      </c>
      <c r="E1408">
        <v>0</v>
      </c>
      <c r="F1408">
        <v>0</v>
      </c>
      <c r="G1408">
        <v>27</v>
      </c>
      <c r="H1408" t="s">
        <v>58</v>
      </c>
      <c r="M1408">
        <v>0</v>
      </c>
      <c r="N1408">
        <v>0</v>
      </c>
      <c r="O1408">
        <v>0</v>
      </c>
      <c r="R1408" t="str">
        <f t="shared" si="42"/>
        <v>yes</v>
      </c>
      <c r="S1408" t="str">
        <f t="shared" si="43"/>
        <v>no</v>
      </c>
    </row>
    <row r="1409" spans="1:19" x14ac:dyDescent="0.35">
      <c r="A1409" s="1">
        <v>1407</v>
      </c>
      <c r="B1409" t="s">
        <v>829</v>
      </c>
      <c r="C1409" t="s">
        <v>253</v>
      </c>
      <c r="D1409" t="s">
        <v>297</v>
      </c>
      <c r="E1409">
        <v>6.420274074074074</v>
      </c>
      <c r="F1409">
        <v>13.48091334804419</v>
      </c>
      <c r="G1409">
        <v>27</v>
      </c>
      <c r="H1409" t="s">
        <v>58</v>
      </c>
      <c r="M1409">
        <v>33.382100770162452</v>
      </c>
      <c r="N1409">
        <v>-20.541552622014311</v>
      </c>
      <c r="O1409">
        <v>53.92365339217676</v>
      </c>
      <c r="P1409">
        <v>0.47624919086105738</v>
      </c>
      <c r="R1409" t="str">
        <f t="shared" si="42"/>
        <v>yes</v>
      </c>
      <c r="S1409" t="str">
        <f t="shared" si="43"/>
        <v>no</v>
      </c>
    </row>
    <row r="1410" spans="1:19" x14ac:dyDescent="0.35">
      <c r="A1410" s="1">
        <v>1408</v>
      </c>
      <c r="B1410" t="s">
        <v>829</v>
      </c>
      <c r="C1410" t="s">
        <v>253</v>
      </c>
      <c r="D1410" t="s">
        <v>298</v>
      </c>
      <c r="E1410">
        <v>26.10714444444444</v>
      </c>
      <c r="F1410">
        <v>58.512931992207427</v>
      </c>
      <c r="G1410">
        <v>27</v>
      </c>
      <c r="H1410" t="s">
        <v>58</v>
      </c>
      <c r="M1410">
        <v>143.13300842885931</v>
      </c>
      <c r="N1410">
        <v>-90.918719539970411</v>
      </c>
      <c r="O1410">
        <v>234.05172796882971</v>
      </c>
      <c r="P1410">
        <v>0.44617734158187988</v>
      </c>
      <c r="R1410" t="str">
        <f t="shared" si="42"/>
        <v>yes</v>
      </c>
      <c r="S1410" t="str">
        <f t="shared" si="43"/>
        <v>no</v>
      </c>
    </row>
    <row r="1411" spans="1:19" x14ac:dyDescent="0.35">
      <c r="A1411" s="1">
        <v>1409</v>
      </c>
      <c r="B1411" t="s">
        <v>829</v>
      </c>
      <c r="C1411" t="s">
        <v>253</v>
      </c>
      <c r="D1411" t="s">
        <v>299</v>
      </c>
      <c r="E1411">
        <v>0</v>
      </c>
      <c r="F1411">
        <v>0</v>
      </c>
      <c r="G1411">
        <v>27</v>
      </c>
      <c r="H1411" t="s">
        <v>58</v>
      </c>
      <c r="M1411">
        <v>0</v>
      </c>
      <c r="N1411">
        <v>0</v>
      </c>
      <c r="O1411">
        <v>0</v>
      </c>
      <c r="R1411" t="str">
        <f t="shared" ref="R1411:R1474" si="44">IF(H1411="yes","yes","no")</f>
        <v>yes</v>
      </c>
      <c r="S1411" t="str">
        <f t="shared" ref="S1411:S1474" si="45">IF(I1411,"yes","no")</f>
        <v>no</v>
      </c>
    </row>
    <row r="1412" spans="1:19" x14ac:dyDescent="0.35">
      <c r="A1412" s="1">
        <v>1410</v>
      </c>
      <c r="B1412" t="s">
        <v>829</v>
      </c>
      <c r="C1412" t="s">
        <v>253</v>
      </c>
      <c r="D1412" t="s">
        <v>300</v>
      </c>
      <c r="E1412">
        <v>0</v>
      </c>
      <c r="F1412">
        <v>0</v>
      </c>
      <c r="G1412">
        <v>27</v>
      </c>
      <c r="H1412" t="s">
        <v>58</v>
      </c>
      <c r="M1412">
        <v>0</v>
      </c>
      <c r="N1412">
        <v>0</v>
      </c>
      <c r="O1412">
        <v>0</v>
      </c>
      <c r="R1412" t="str">
        <f t="shared" si="44"/>
        <v>yes</v>
      </c>
      <c r="S1412" t="str">
        <f t="shared" si="45"/>
        <v>no</v>
      </c>
    </row>
    <row r="1413" spans="1:19" x14ac:dyDescent="0.35">
      <c r="A1413" s="1">
        <v>1411</v>
      </c>
      <c r="B1413" t="s">
        <v>829</v>
      </c>
      <c r="C1413" t="s">
        <v>253</v>
      </c>
      <c r="D1413" t="s">
        <v>301</v>
      </c>
      <c r="E1413">
        <v>7.8045481481481476</v>
      </c>
      <c r="F1413">
        <v>16.431622008557959</v>
      </c>
      <c r="G1413">
        <v>27</v>
      </c>
      <c r="H1413" t="s">
        <v>58</v>
      </c>
      <c r="M1413">
        <v>40.667792165264068</v>
      </c>
      <c r="N1413">
        <v>-25.058695868967771</v>
      </c>
      <c r="O1413">
        <v>65.726488034231835</v>
      </c>
      <c r="P1413">
        <v>0.4749712562815383</v>
      </c>
      <c r="R1413" t="str">
        <f t="shared" si="44"/>
        <v>yes</v>
      </c>
      <c r="S1413" t="str">
        <f t="shared" si="45"/>
        <v>no</v>
      </c>
    </row>
    <row r="1414" spans="1:19" x14ac:dyDescent="0.35">
      <c r="A1414" s="1">
        <v>1412</v>
      </c>
      <c r="B1414" t="s">
        <v>829</v>
      </c>
      <c r="C1414" t="s">
        <v>253</v>
      </c>
      <c r="D1414" t="s">
        <v>302</v>
      </c>
      <c r="E1414">
        <v>0</v>
      </c>
      <c r="F1414">
        <v>0</v>
      </c>
      <c r="G1414">
        <v>27</v>
      </c>
      <c r="H1414" t="s">
        <v>58</v>
      </c>
      <c r="M1414">
        <v>0</v>
      </c>
      <c r="N1414">
        <v>0</v>
      </c>
      <c r="O1414">
        <v>0</v>
      </c>
      <c r="R1414" t="str">
        <f t="shared" si="44"/>
        <v>yes</v>
      </c>
      <c r="S1414" t="str">
        <f t="shared" si="45"/>
        <v>no</v>
      </c>
    </row>
    <row r="1415" spans="1:19" x14ac:dyDescent="0.35">
      <c r="A1415" s="1">
        <v>1413</v>
      </c>
      <c r="B1415" t="s">
        <v>829</v>
      </c>
      <c r="C1415" t="s">
        <v>253</v>
      </c>
      <c r="D1415" t="s">
        <v>303</v>
      </c>
      <c r="E1415">
        <v>2.9957555555555562</v>
      </c>
      <c r="F1415">
        <v>5.6045454517067581</v>
      </c>
      <c r="G1415">
        <v>27</v>
      </c>
      <c r="H1415" t="s">
        <v>58</v>
      </c>
      <c r="M1415">
        <v>14.204846458969071</v>
      </c>
      <c r="N1415">
        <v>-8.21333534785796</v>
      </c>
      <c r="O1415">
        <v>22.418181806827029</v>
      </c>
      <c r="P1415">
        <v>0.5345224838248489</v>
      </c>
      <c r="R1415" t="str">
        <f t="shared" si="44"/>
        <v>yes</v>
      </c>
      <c r="S1415" t="str">
        <f t="shared" si="45"/>
        <v>no</v>
      </c>
    </row>
    <row r="1416" spans="1:19" x14ac:dyDescent="0.35">
      <c r="A1416" s="1">
        <v>1414</v>
      </c>
      <c r="B1416" t="s">
        <v>829</v>
      </c>
      <c r="C1416" t="s">
        <v>253</v>
      </c>
      <c r="D1416" t="s">
        <v>304</v>
      </c>
      <c r="E1416">
        <v>0</v>
      </c>
      <c r="F1416">
        <v>0</v>
      </c>
      <c r="G1416">
        <v>27</v>
      </c>
      <c r="H1416" t="s">
        <v>58</v>
      </c>
      <c r="M1416">
        <v>0</v>
      </c>
      <c r="N1416">
        <v>0</v>
      </c>
      <c r="O1416">
        <v>0</v>
      </c>
      <c r="R1416" t="str">
        <f t="shared" si="44"/>
        <v>yes</v>
      </c>
      <c r="S1416" t="str">
        <f t="shared" si="45"/>
        <v>no</v>
      </c>
    </row>
    <row r="1417" spans="1:19" x14ac:dyDescent="0.35">
      <c r="A1417" s="1">
        <v>1415</v>
      </c>
      <c r="B1417" t="s">
        <v>829</v>
      </c>
      <c r="C1417" t="s">
        <v>253</v>
      </c>
      <c r="D1417" t="s">
        <v>305</v>
      </c>
      <c r="E1417">
        <v>9.6849037037037036</v>
      </c>
      <c r="F1417">
        <v>18.245077643014191</v>
      </c>
      <c r="G1417">
        <v>27</v>
      </c>
      <c r="H1417" t="s">
        <v>58</v>
      </c>
      <c r="M1417">
        <v>46.175058989732094</v>
      </c>
      <c r="N1417">
        <v>-26.805251582324679</v>
      </c>
      <c r="O1417">
        <v>72.980310572056766</v>
      </c>
      <c r="P1417">
        <v>0.53082282757025867</v>
      </c>
      <c r="R1417" t="str">
        <f t="shared" si="44"/>
        <v>yes</v>
      </c>
      <c r="S1417" t="str">
        <f t="shared" si="45"/>
        <v>no</v>
      </c>
    </row>
    <row r="1418" spans="1:19" x14ac:dyDescent="0.35">
      <c r="A1418" s="1">
        <v>1416</v>
      </c>
      <c r="B1418" t="s">
        <v>829</v>
      </c>
      <c r="C1418" t="s">
        <v>253</v>
      </c>
      <c r="D1418" t="s">
        <v>306</v>
      </c>
      <c r="E1418">
        <v>0</v>
      </c>
      <c r="F1418">
        <v>0</v>
      </c>
      <c r="G1418">
        <v>27</v>
      </c>
      <c r="H1418" t="s">
        <v>58</v>
      </c>
      <c r="M1418">
        <v>0</v>
      </c>
      <c r="N1418">
        <v>0</v>
      </c>
      <c r="O1418">
        <v>0</v>
      </c>
      <c r="R1418" t="str">
        <f t="shared" si="44"/>
        <v>yes</v>
      </c>
      <c r="S1418" t="str">
        <f t="shared" si="45"/>
        <v>no</v>
      </c>
    </row>
    <row r="1419" spans="1:19" x14ac:dyDescent="0.35">
      <c r="A1419" s="1">
        <v>1417</v>
      </c>
      <c r="B1419" t="s">
        <v>829</v>
      </c>
      <c r="C1419" t="s">
        <v>253</v>
      </c>
      <c r="D1419" t="s">
        <v>307</v>
      </c>
      <c r="E1419">
        <v>3.994340740740741</v>
      </c>
      <c r="F1419">
        <v>6.1556924987129253</v>
      </c>
      <c r="G1419">
        <v>27</v>
      </c>
      <c r="H1419" t="s">
        <v>58</v>
      </c>
      <c r="M1419">
        <v>16.30572573816659</v>
      </c>
      <c r="N1419">
        <v>-8.3170442566851097</v>
      </c>
      <c r="O1419">
        <v>24.622769994851701</v>
      </c>
      <c r="P1419">
        <v>0.64888568452305007</v>
      </c>
      <c r="R1419" t="str">
        <f t="shared" si="44"/>
        <v>yes</v>
      </c>
      <c r="S1419" t="str">
        <f t="shared" si="45"/>
        <v>no</v>
      </c>
    </row>
    <row r="1420" spans="1:19" x14ac:dyDescent="0.35">
      <c r="A1420" s="1">
        <v>1418</v>
      </c>
      <c r="B1420" t="s">
        <v>829</v>
      </c>
      <c r="C1420" t="s">
        <v>253</v>
      </c>
      <c r="D1420" t="s">
        <v>308</v>
      </c>
      <c r="E1420">
        <v>0</v>
      </c>
      <c r="F1420">
        <v>0</v>
      </c>
      <c r="G1420">
        <v>27</v>
      </c>
      <c r="H1420" t="s">
        <v>58</v>
      </c>
      <c r="M1420">
        <v>0</v>
      </c>
      <c r="N1420">
        <v>0</v>
      </c>
      <c r="O1420">
        <v>0</v>
      </c>
      <c r="R1420" t="str">
        <f t="shared" si="44"/>
        <v>yes</v>
      </c>
      <c r="S1420" t="str">
        <f t="shared" si="45"/>
        <v>no</v>
      </c>
    </row>
    <row r="1421" spans="1:19" x14ac:dyDescent="0.35">
      <c r="A1421" s="1">
        <v>1419</v>
      </c>
      <c r="B1421" t="s">
        <v>829</v>
      </c>
      <c r="C1421" t="s">
        <v>253</v>
      </c>
      <c r="D1421" t="s">
        <v>309</v>
      </c>
      <c r="E1421">
        <v>12.540518518518519</v>
      </c>
      <c r="F1421">
        <v>19.751001805910111</v>
      </c>
      <c r="G1421">
        <v>27</v>
      </c>
      <c r="H1421" t="s">
        <v>58</v>
      </c>
      <c r="M1421">
        <v>52.042522130338739</v>
      </c>
      <c r="N1421">
        <v>-26.9614850933017</v>
      </c>
      <c r="O1421">
        <v>79.004007223640443</v>
      </c>
      <c r="P1421">
        <v>0.6349307565131207</v>
      </c>
      <c r="R1421" t="str">
        <f t="shared" si="44"/>
        <v>yes</v>
      </c>
      <c r="S1421" t="str">
        <f t="shared" si="45"/>
        <v>no</v>
      </c>
    </row>
    <row r="1422" spans="1:19" x14ac:dyDescent="0.35">
      <c r="A1422" s="1">
        <v>1420</v>
      </c>
      <c r="B1422" t="s">
        <v>829</v>
      </c>
      <c r="C1422" t="s">
        <v>253</v>
      </c>
      <c r="D1422" t="s">
        <v>310</v>
      </c>
      <c r="E1422">
        <v>0</v>
      </c>
      <c r="F1422">
        <v>0</v>
      </c>
      <c r="G1422">
        <v>27</v>
      </c>
      <c r="H1422" t="s">
        <v>58</v>
      </c>
      <c r="M1422">
        <v>0</v>
      </c>
      <c r="N1422">
        <v>0</v>
      </c>
      <c r="O1422">
        <v>0</v>
      </c>
      <c r="R1422" t="str">
        <f t="shared" si="44"/>
        <v>yes</v>
      </c>
      <c r="S1422" t="str">
        <f t="shared" si="45"/>
        <v>no</v>
      </c>
    </row>
    <row r="1423" spans="1:19" x14ac:dyDescent="0.35">
      <c r="A1423" s="1">
        <v>1421</v>
      </c>
      <c r="B1423" t="s">
        <v>829</v>
      </c>
      <c r="C1423" t="s">
        <v>253</v>
      </c>
      <c r="D1423" t="s">
        <v>311</v>
      </c>
      <c r="E1423">
        <v>2.9957555555555562</v>
      </c>
      <c r="F1423">
        <v>5.6045454517067581</v>
      </c>
      <c r="G1423">
        <v>27</v>
      </c>
      <c r="H1423" t="s">
        <v>58</v>
      </c>
      <c r="M1423">
        <v>14.204846458969071</v>
      </c>
      <c r="N1423">
        <v>-8.21333534785796</v>
      </c>
      <c r="O1423">
        <v>22.418181806827029</v>
      </c>
      <c r="P1423">
        <v>0.5345224838248489</v>
      </c>
      <c r="R1423" t="str">
        <f t="shared" si="44"/>
        <v>yes</v>
      </c>
      <c r="S1423" t="str">
        <f t="shared" si="45"/>
        <v>no</v>
      </c>
    </row>
    <row r="1424" spans="1:19" x14ac:dyDescent="0.35">
      <c r="A1424" s="1">
        <v>1422</v>
      </c>
      <c r="B1424" t="s">
        <v>829</v>
      </c>
      <c r="C1424" t="s">
        <v>253</v>
      </c>
      <c r="D1424" t="s">
        <v>312</v>
      </c>
      <c r="E1424">
        <v>0</v>
      </c>
      <c r="F1424">
        <v>0</v>
      </c>
      <c r="G1424">
        <v>27</v>
      </c>
      <c r="H1424" t="s">
        <v>58</v>
      </c>
      <c r="M1424">
        <v>0</v>
      </c>
      <c r="N1424">
        <v>0</v>
      </c>
      <c r="O1424">
        <v>0</v>
      </c>
      <c r="R1424" t="str">
        <f t="shared" si="44"/>
        <v>yes</v>
      </c>
      <c r="S1424" t="str">
        <f t="shared" si="45"/>
        <v>no</v>
      </c>
    </row>
    <row r="1425" spans="1:19" x14ac:dyDescent="0.35">
      <c r="A1425" s="1">
        <v>1423</v>
      </c>
      <c r="B1425" t="s">
        <v>829</v>
      </c>
      <c r="C1425" t="s">
        <v>253</v>
      </c>
      <c r="D1425" t="s">
        <v>313</v>
      </c>
      <c r="E1425">
        <v>7.8746999999999998</v>
      </c>
      <c r="F1425">
        <v>14.76680814163481</v>
      </c>
      <c r="G1425">
        <v>27</v>
      </c>
      <c r="H1425" t="s">
        <v>58</v>
      </c>
      <c r="M1425">
        <v>37.40831628326962</v>
      </c>
      <c r="N1425">
        <v>-21.658916283269619</v>
      </c>
      <c r="O1425">
        <v>59.067232566539239</v>
      </c>
      <c r="P1425">
        <v>0.53327028593250247</v>
      </c>
      <c r="R1425" t="str">
        <f t="shared" si="44"/>
        <v>yes</v>
      </c>
      <c r="S1425" t="str">
        <f t="shared" si="45"/>
        <v>no</v>
      </c>
    </row>
    <row r="1426" spans="1:19" x14ac:dyDescent="0.35">
      <c r="A1426" s="1">
        <v>1424</v>
      </c>
      <c r="B1426" t="s">
        <v>829</v>
      </c>
      <c r="C1426" t="s">
        <v>253</v>
      </c>
      <c r="D1426" t="s">
        <v>314</v>
      </c>
      <c r="E1426">
        <v>0</v>
      </c>
      <c r="F1426">
        <v>0</v>
      </c>
      <c r="G1426">
        <v>27</v>
      </c>
      <c r="H1426" t="s">
        <v>58</v>
      </c>
      <c r="M1426">
        <v>0</v>
      </c>
      <c r="N1426">
        <v>0</v>
      </c>
      <c r="O1426">
        <v>0</v>
      </c>
      <c r="R1426" t="str">
        <f t="shared" si="44"/>
        <v>yes</v>
      </c>
      <c r="S1426" t="str">
        <f t="shared" si="45"/>
        <v>no</v>
      </c>
    </row>
    <row r="1427" spans="1:19" x14ac:dyDescent="0.35">
      <c r="A1427" s="1">
        <v>1425</v>
      </c>
      <c r="B1427" t="s">
        <v>829</v>
      </c>
      <c r="C1427" t="s">
        <v>253</v>
      </c>
      <c r="D1427" t="s">
        <v>315</v>
      </c>
      <c r="E1427">
        <v>3.994340740740741</v>
      </c>
      <c r="F1427">
        <v>6.1556924987129253</v>
      </c>
      <c r="G1427">
        <v>27</v>
      </c>
      <c r="H1427" t="s">
        <v>58</v>
      </c>
      <c r="M1427">
        <v>16.30572573816659</v>
      </c>
      <c r="N1427">
        <v>-8.3170442566851097</v>
      </c>
      <c r="O1427">
        <v>24.622769994851701</v>
      </c>
      <c r="P1427">
        <v>0.64888568452305007</v>
      </c>
      <c r="R1427" t="str">
        <f t="shared" si="44"/>
        <v>yes</v>
      </c>
      <c r="S1427" t="str">
        <f t="shared" si="45"/>
        <v>no</v>
      </c>
    </row>
    <row r="1428" spans="1:19" x14ac:dyDescent="0.35">
      <c r="A1428" s="1">
        <v>1426</v>
      </c>
      <c r="B1428" t="s">
        <v>829</v>
      </c>
      <c r="C1428" t="s">
        <v>253</v>
      </c>
      <c r="D1428" t="s">
        <v>316</v>
      </c>
      <c r="E1428">
        <v>0</v>
      </c>
      <c r="F1428">
        <v>0</v>
      </c>
      <c r="G1428">
        <v>27</v>
      </c>
      <c r="H1428" t="s">
        <v>58</v>
      </c>
      <c r="M1428">
        <v>0</v>
      </c>
      <c r="N1428">
        <v>0</v>
      </c>
      <c r="O1428">
        <v>0</v>
      </c>
      <c r="R1428" t="str">
        <f t="shared" si="44"/>
        <v>yes</v>
      </c>
      <c r="S1428" t="str">
        <f t="shared" si="45"/>
        <v>no</v>
      </c>
    </row>
    <row r="1429" spans="1:19" x14ac:dyDescent="0.35">
      <c r="A1429" s="1">
        <v>1427</v>
      </c>
      <c r="B1429" t="s">
        <v>829</v>
      </c>
      <c r="C1429" t="s">
        <v>253</v>
      </c>
      <c r="D1429" t="s">
        <v>317</v>
      </c>
      <c r="E1429">
        <v>10.836796296296299</v>
      </c>
      <c r="F1429">
        <v>16.780344863724991</v>
      </c>
      <c r="G1429">
        <v>27</v>
      </c>
      <c r="H1429" t="s">
        <v>58</v>
      </c>
      <c r="M1429">
        <v>44.397486023746282</v>
      </c>
      <c r="N1429">
        <v>-22.72389343115368</v>
      </c>
      <c r="O1429">
        <v>67.121379454899966</v>
      </c>
      <c r="P1429">
        <v>0.64580295484408112</v>
      </c>
      <c r="R1429" t="str">
        <f t="shared" si="44"/>
        <v>yes</v>
      </c>
      <c r="S1429" t="str">
        <f t="shared" si="45"/>
        <v>no</v>
      </c>
    </row>
    <row r="1430" spans="1:19" x14ac:dyDescent="0.35">
      <c r="A1430" s="1">
        <v>1428</v>
      </c>
      <c r="B1430" t="s">
        <v>829</v>
      </c>
      <c r="C1430" t="s">
        <v>253</v>
      </c>
      <c r="D1430" t="s">
        <v>318</v>
      </c>
      <c r="E1430">
        <v>0</v>
      </c>
      <c r="F1430">
        <v>0</v>
      </c>
      <c r="G1430">
        <v>27</v>
      </c>
      <c r="H1430" t="s">
        <v>58</v>
      </c>
      <c r="M1430">
        <v>0</v>
      </c>
      <c r="N1430">
        <v>0</v>
      </c>
      <c r="O1430">
        <v>0</v>
      </c>
      <c r="R1430" t="str">
        <f t="shared" si="44"/>
        <v>yes</v>
      </c>
      <c r="S1430" t="str">
        <f t="shared" si="45"/>
        <v>no</v>
      </c>
    </row>
    <row r="1431" spans="1:19" x14ac:dyDescent="0.35">
      <c r="A1431" s="1">
        <v>1429</v>
      </c>
      <c r="B1431" t="s">
        <v>829</v>
      </c>
      <c r="C1431" t="s">
        <v>253</v>
      </c>
      <c r="D1431" t="s">
        <v>319</v>
      </c>
      <c r="E1431">
        <v>2.9957555555555562</v>
      </c>
      <c r="F1431">
        <v>5.6045454517067581</v>
      </c>
      <c r="G1431">
        <v>27</v>
      </c>
      <c r="H1431" t="s">
        <v>58</v>
      </c>
      <c r="M1431">
        <v>14.204846458969071</v>
      </c>
      <c r="N1431">
        <v>-8.21333534785796</v>
      </c>
      <c r="O1431">
        <v>22.418181806827029</v>
      </c>
      <c r="P1431">
        <v>0.5345224838248489</v>
      </c>
      <c r="R1431" t="str">
        <f t="shared" si="44"/>
        <v>yes</v>
      </c>
      <c r="S1431" t="str">
        <f t="shared" si="45"/>
        <v>no</v>
      </c>
    </row>
    <row r="1432" spans="1:19" x14ac:dyDescent="0.35">
      <c r="A1432" s="1">
        <v>1430</v>
      </c>
      <c r="B1432" t="s">
        <v>829</v>
      </c>
      <c r="C1432" t="s">
        <v>253</v>
      </c>
      <c r="D1432" t="s">
        <v>320</v>
      </c>
      <c r="E1432">
        <v>0</v>
      </c>
      <c r="F1432">
        <v>0</v>
      </c>
      <c r="G1432">
        <v>27</v>
      </c>
      <c r="H1432" t="s">
        <v>58</v>
      </c>
      <c r="M1432">
        <v>0</v>
      </c>
      <c r="N1432">
        <v>0</v>
      </c>
      <c r="O1432">
        <v>0</v>
      </c>
      <c r="R1432" t="str">
        <f t="shared" si="44"/>
        <v>yes</v>
      </c>
      <c r="S1432" t="str">
        <f t="shared" si="45"/>
        <v>no</v>
      </c>
    </row>
    <row r="1433" spans="1:19" x14ac:dyDescent="0.35">
      <c r="A1433" s="1">
        <v>1431</v>
      </c>
      <c r="B1433" t="s">
        <v>829</v>
      </c>
      <c r="C1433" t="s">
        <v>253</v>
      </c>
      <c r="D1433" t="s">
        <v>321</v>
      </c>
      <c r="E1433">
        <v>9.3832037037037033</v>
      </c>
      <c r="F1433">
        <v>17.692091006110751</v>
      </c>
      <c r="G1433">
        <v>27</v>
      </c>
      <c r="H1433" t="s">
        <v>58</v>
      </c>
      <c r="M1433">
        <v>44.767385715925201</v>
      </c>
      <c r="N1433">
        <v>-26.000978308517801</v>
      </c>
      <c r="O1433">
        <v>70.768364024443002</v>
      </c>
      <c r="P1433">
        <v>0.53036148754055112</v>
      </c>
      <c r="R1433" t="str">
        <f t="shared" si="44"/>
        <v>yes</v>
      </c>
      <c r="S1433" t="str">
        <f t="shared" si="45"/>
        <v>no</v>
      </c>
    </row>
    <row r="1434" spans="1:19" x14ac:dyDescent="0.35">
      <c r="A1434" s="1">
        <v>1432</v>
      </c>
      <c r="B1434" t="s">
        <v>829</v>
      </c>
      <c r="C1434" t="s">
        <v>253</v>
      </c>
      <c r="D1434" t="s">
        <v>322</v>
      </c>
      <c r="E1434">
        <v>0</v>
      </c>
      <c r="F1434">
        <v>0</v>
      </c>
      <c r="G1434">
        <v>27</v>
      </c>
      <c r="H1434" t="s">
        <v>58</v>
      </c>
      <c r="M1434">
        <v>0</v>
      </c>
      <c r="N1434">
        <v>0</v>
      </c>
      <c r="O1434">
        <v>0</v>
      </c>
      <c r="R1434" t="str">
        <f t="shared" si="44"/>
        <v>yes</v>
      </c>
      <c r="S1434" t="str">
        <f t="shared" si="45"/>
        <v>no</v>
      </c>
    </row>
    <row r="1435" spans="1:19" x14ac:dyDescent="0.35">
      <c r="A1435" s="1">
        <v>1433</v>
      </c>
      <c r="B1435" t="s">
        <v>829</v>
      </c>
      <c r="C1435" t="s">
        <v>253</v>
      </c>
      <c r="D1435" t="s">
        <v>323</v>
      </c>
      <c r="E1435">
        <v>3.994340740740741</v>
      </c>
      <c r="F1435">
        <v>6.1556924987129253</v>
      </c>
      <c r="G1435">
        <v>27</v>
      </c>
      <c r="H1435" t="s">
        <v>58</v>
      </c>
      <c r="M1435">
        <v>16.30572573816659</v>
      </c>
      <c r="N1435">
        <v>-8.3170442566851097</v>
      </c>
      <c r="O1435">
        <v>24.622769994851701</v>
      </c>
      <c r="P1435">
        <v>0.64888568452305007</v>
      </c>
      <c r="R1435" t="str">
        <f t="shared" si="44"/>
        <v>yes</v>
      </c>
      <c r="S1435" t="str">
        <f t="shared" si="45"/>
        <v>no</v>
      </c>
    </row>
    <row r="1436" spans="1:19" x14ac:dyDescent="0.35">
      <c r="A1436" s="1">
        <v>1434</v>
      </c>
      <c r="B1436" t="s">
        <v>829</v>
      </c>
      <c r="C1436" t="s">
        <v>253</v>
      </c>
      <c r="D1436" t="s">
        <v>324</v>
      </c>
      <c r="E1436">
        <v>0</v>
      </c>
      <c r="F1436">
        <v>0</v>
      </c>
      <c r="G1436">
        <v>27</v>
      </c>
      <c r="H1436" t="s">
        <v>58</v>
      </c>
      <c r="M1436">
        <v>0</v>
      </c>
      <c r="N1436">
        <v>0</v>
      </c>
      <c r="O1436">
        <v>0</v>
      </c>
      <c r="R1436" t="str">
        <f t="shared" si="44"/>
        <v>yes</v>
      </c>
      <c r="S1436" t="str">
        <f t="shared" si="45"/>
        <v>no</v>
      </c>
    </row>
    <row r="1437" spans="1:19" x14ac:dyDescent="0.35">
      <c r="A1437" s="1">
        <v>1435</v>
      </c>
      <c r="B1437" t="s">
        <v>829</v>
      </c>
      <c r="C1437" t="s">
        <v>253</v>
      </c>
      <c r="D1437" t="s">
        <v>325</v>
      </c>
      <c r="E1437">
        <v>10.67706666666667</v>
      </c>
      <c r="F1437">
        <v>16.53681990443906</v>
      </c>
      <c r="G1437">
        <v>27</v>
      </c>
      <c r="H1437" t="s">
        <v>58</v>
      </c>
      <c r="M1437">
        <v>43.750706475544789</v>
      </c>
      <c r="N1437">
        <v>-22.396573142211452</v>
      </c>
      <c r="O1437">
        <v>66.14727961775624</v>
      </c>
      <c r="P1437">
        <v>0.64565416617983318</v>
      </c>
      <c r="R1437" t="str">
        <f t="shared" si="44"/>
        <v>yes</v>
      </c>
      <c r="S1437" t="str">
        <f t="shared" si="45"/>
        <v>no</v>
      </c>
    </row>
    <row r="1438" spans="1:19" x14ac:dyDescent="0.35">
      <c r="A1438" s="1">
        <v>1436</v>
      </c>
      <c r="B1438" t="s">
        <v>829</v>
      </c>
      <c r="C1438" t="s">
        <v>253</v>
      </c>
      <c r="D1438" t="s">
        <v>326</v>
      </c>
      <c r="E1438">
        <v>32.398551851851849</v>
      </c>
      <c r="F1438">
        <v>67.997800796868717</v>
      </c>
      <c r="G1438">
        <v>27</v>
      </c>
      <c r="H1438" t="s">
        <v>58</v>
      </c>
      <c r="M1438">
        <v>168.3941534455893</v>
      </c>
      <c r="N1438">
        <v>-103.5970497418856</v>
      </c>
      <c r="O1438">
        <v>271.99120318747492</v>
      </c>
      <c r="P1438">
        <v>0.4764647013899278</v>
      </c>
      <c r="R1438" t="str">
        <f t="shared" si="44"/>
        <v>yes</v>
      </c>
      <c r="S1438" t="str">
        <f t="shared" si="45"/>
        <v>no</v>
      </c>
    </row>
    <row r="1439" spans="1:19" x14ac:dyDescent="0.35">
      <c r="A1439" s="1">
        <v>1437</v>
      </c>
      <c r="B1439" t="s">
        <v>829</v>
      </c>
      <c r="C1439" t="s">
        <v>253</v>
      </c>
      <c r="D1439" t="s">
        <v>327</v>
      </c>
      <c r="E1439">
        <v>0</v>
      </c>
      <c r="F1439">
        <v>0</v>
      </c>
      <c r="G1439">
        <v>27</v>
      </c>
      <c r="H1439" t="s">
        <v>58</v>
      </c>
      <c r="M1439">
        <v>0</v>
      </c>
      <c r="N1439">
        <v>0</v>
      </c>
      <c r="O1439">
        <v>0</v>
      </c>
      <c r="R1439" t="str">
        <f t="shared" si="44"/>
        <v>yes</v>
      </c>
      <c r="S1439" t="str">
        <f t="shared" si="45"/>
        <v>no</v>
      </c>
    </row>
    <row r="1440" spans="1:19" x14ac:dyDescent="0.35">
      <c r="A1440" s="1">
        <v>1438</v>
      </c>
      <c r="B1440" t="s">
        <v>829</v>
      </c>
      <c r="C1440" t="s">
        <v>253</v>
      </c>
      <c r="D1440" t="s">
        <v>328</v>
      </c>
      <c r="E1440">
        <v>0</v>
      </c>
      <c r="F1440">
        <v>0</v>
      </c>
      <c r="G1440">
        <v>27</v>
      </c>
      <c r="H1440" t="s">
        <v>58</v>
      </c>
      <c r="M1440">
        <v>0</v>
      </c>
      <c r="N1440">
        <v>0</v>
      </c>
      <c r="O1440">
        <v>0</v>
      </c>
      <c r="R1440" t="str">
        <f t="shared" si="44"/>
        <v>yes</v>
      </c>
      <c r="S1440" t="str">
        <f t="shared" si="45"/>
        <v>no</v>
      </c>
    </row>
    <row r="1441" spans="1:19" x14ac:dyDescent="0.35">
      <c r="A1441" s="1">
        <v>1439</v>
      </c>
      <c r="B1441" t="s">
        <v>829</v>
      </c>
      <c r="C1441" t="s">
        <v>253</v>
      </c>
      <c r="D1441" t="s">
        <v>329</v>
      </c>
      <c r="E1441">
        <v>6.9704296296296304</v>
      </c>
      <c r="F1441">
        <v>14.693586156168671</v>
      </c>
      <c r="G1441">
        <v>27</v>
      </c>
      <c r="H1441" t="s">
        <v>58</v>
      </c>
      <c r="M1441">
        <v>36.357601941966969</v>
      </c>
      <c r="N1441">
        <v>-22.41674268270771</v>
      </c>
      <c r="O1441">
        <v>58.774344624674683</v>
      </c>
      <c r="P1441">
        <v>0.47438586846978131</v>
      </c>
      <c r="R1441" t="str">
        <f t="shared" si="44"/>
        <v>yes</v>
      </c>
      <c r="S1441" t="str">
        <f t="shared" si="45"/>
        <v>no</v>
      </c>
    </row>
    <row r="1442" spans="1:19" x14ac:dyDescent="0.35">
      <c r="A1442" s="1">
        <v>1440</v>
      </c>
      <c r="B1442" t="s">
        <v>829</v>
      </c>
      <c r="C1442" t="s">
        <v>253</v>
      </c>
      <c r="D1442" t="s">
        <v>330</v>
      </c>
      <c r="E1442">
        <v>27.735825925925919</v>
      </c>
      <c r="F1442">
        <v>60.238440876124628</v>
      </c>
      <c r="G1442">
        <v>27</v>
      </c>
      <c r="H1442" t="s">
        <v>58</v>
      </c>
      <c r="M1442">
        <v>148.21270767817521</v>
      </c>
      <c r="N1442">
        <v>-92.741055826323333</v>
      </c>
      <c r="O1442">
        <v>240.95376350449851</v>
      </c>
      <c r="P1442">
        <v>0.46043399401658408</v>
      </c>
      <c r="R1442" t="str">
        <f t="shared" si="44"/>
        <v>yes</v>
      </c>
      <c r="S1442" t="str">
        <f t="shared" si="45"/>
        <v>no</v>
      </c>
    </row>
    <row r="1443" spans="1:19" x14ac:dyDescent="0.35">
      <c r="A1443" s="1">
        <v>1441</v>
      </c>
      <c r="B1443" t="s">
        <v>829</v>
      </c>
      <c r="C1443" t="s">
        <v>253</v>
      </c>
      <c r="D1443" t="s">
        <v>331</v>
      </c>
      <c r="E1443">
        <v>0</v>
      </c>
      <c r="F1443">
        <v>0</v>
      </c>
      <c r="G1443">
        <v>27</v>
      </c>
      <c r="H1443" t="s">
        <v>58</v>
      </c>
      <c r="M1443">
        <v>0</v>
      </c>
      <c r="N1443">
        <v>0</v>
      </c>
      <c r="O1443">
        <v>0</v>
      </c>
      <c r="R1443" t="str">
        <f t="shared" si="44"/>
        <v>yes</v>
      </c>
      <c r="S1443" t="str">
        <f t="shared" si="45"/>
        <v>no</v>
      </c>
    </row>
    <row r="1444" spans="1:19" x14ac:dyDescent="0.35">
      <c r="A1444" s="1">
        <v>1442</v>
      </c>
      <c r="B1444" t="s">
        <v>829</v>
      </c>
      <c r="C1444" t="s">
        <v>253</v>
      </c>
      <c r="D1444" t="s">
        <v>332</v>
      </c>
      <c r="E1444">
        <v>0</v>
      </c>
      <c r="F1444">
        <v>0</v>
      </c>
      <c r="G1444">
        <v>27</v>
      </c>
      <c r="H1444" t="s">
        <v>58</v>
      </c>
      <c r="M1444">
        <v>0</v>
      </c>
      <c r="N1444">
        <v>0</v>
      </c>
      <c r="O1444">
        <v>0</v>
      </c>
      <c r="R1444" t="str">
        <f t="shared" si="44"/>
        <v>yes</v>
      </c>
      <c r="S1444" t="str">
        <f t="shared" si="45"/>
        <v>no</v>
      </c>
    </row>
    <row r="1445" spans="1:19" x14ac:dyDescent="0.35">
      <c r="A1445" s="1">
        <v>1443</v>
      </c>
      <c r="B1445" t="s">
        <v>829</v>
      </c>
      <c r="C1445" t="s">
        <v>253</v>
      </c>
      <c r="D1445" t="s">
        <v>333</v>
      </c>
      <c r="E1445">
        <v>6.1185740740740746</v>
      </c>
      <c r="F1445">
        <v>12.84899834570175</v>
      </c>
      <c r="G1445">
        <v>27</v>
      </c>
      <c r="H1445" t="s">
        <v>58</v>
      </c>
      <c r="M1445">
        <v>31.816570765477579</v>
      </c>
      <c r="N1445">
        <v>-19.579422617329421</v>
      </c>
      <c r="O1445">
        <v>51.395993382806999</v>
      </c>
      <c r="P1445">
        <v>0.47619074339136019</v>
      </c>
      <c r="R1445" t="str">
        <f t="shared" si="44"/>
        <v>yes</v>
      </c>
      <c r="S1445" t="str">
        <f t="shared" si="45"/>
        <v>no</v>
      </c>
    </row>
    <row r="1446" spans="1:19" x14ac:dyDescent="0.35">
      <c r="A1446" s="1">
        <v>1444</v>
      </c>
      <c r="B1446" t="s">
        <v>829</v>
      </c>
      <c r="C1446" t="s">
        <v>253</v>
      </c>
      <c r="D1446" t="s">
        <v>334</v>
      </c>
      <c r="E1446">
        <v>33.198244444444441</v>
      </c>
      <c r="F1446">
        <v>69.640748834164668</v>
      </c>
      <c r="G1446">
        <v>27</v>
      </c>
      <c r="H1446" t="s">
        <v>58</v>
      </c>
      <c r="M1446">
        <v>172.47974211277381</v>
      </c>
      <c r="N1446">
        <v>-106.0832532238849</v>
      </c>
      <c r="O1446">
        <v>278.56299533665867</v>
      </c>
      <c r="P1446">
        <v>0.47670717216868719</v>
      </c>
      <c r="R1446" t="str">
        <f t="shared" si="44"/>
        <v>yes</v>
      </c>
      <c r="S1446" t="str">
        <f t="shared" si="45"/>
        <v>no</v>
      </c>
    </row>
    <row r="1447" spans="1:19" x14ac:dyDescent="0.35">
      <c r="A1447" s="1">
        <v>1445</v>
      </c>
      <c r="B1447" t="s">
        <v>829</v>
      </c>
      <c r="C1447" t="s">
        <v>253</v>
      </c>
      <c r="D1447" t="s">
        <v>335</v>
      </c>
      <c r="E1447">
        <v>0</v>
      </c>
      <c r="F1447">
        <v>0</v>
      </c>
      <c r="G1447">
        <v>27</v>
      </c>
      <c r="H1447" t="s">
        <v>58</v>
      </c>
      <c r="M1447">
        <v>0</v>
      </c>
      <c r="N1447">
        <v>0</v>
      </c>
      <c r="O1447">
        <v>0</v>
      </c>
      <c r="R1447" t="str">
        <f t="shared" si="44"/>
        <v>yes</v>
      </c>
      <c r="S1447" t="str">
        <f t="shared" si="45"/>
        <v>no</v>
      </c>
    </row>
    <row r="1448" spans="1:19" x14ac:dyDescent="0.35">
      <c r="A1448" s="1">
        <v>1446</v>
      </c>
      <c r="B1448" t="s">
        <v>829</v>
      </c>
      <c r="C1448" t="s">
        <v>253</v>
      </c>
      <c r="D1448" t="s">
        <v>336</v>
      </c>
      <c r="E1448">
        <v>0</v>
      </c>
      <c r="F1448">
        <v>0</v>
      </c>
      <c r="G1448">
        <v>27</v>
      </c>
      <c r="H1448" t="s">
        <v>58</v>
      </c>
      <c r="M1448">
        <v>0</v>
      </c>
      <c r="N1448">
        <v>0</v>
      </c>
      <c r="O1448">
        <v>0</v>
      </c>
      <c r="R1448" t="str">
        <f t="shared" si="44"/>
        <v>yes</v>
      </c>
      <c r="S1448" t="str">
        <f t="shared" si="45"/>
        <v>no</v>
      </c>
    </row>
    <row r="1449" spans="1:19" x14ac:dyDescent="0.35">
      <c r="A1449" s="1">
        <v>1447</v>
      </c>
      <c r="B1449" t="s">
        <v>829</v>
      </c>
      <c r="C1449" t="s">
        <v>253</v>
      </c>
      <c r="D1449" t="s">
        <v>337</v>
      </c>
      <c r="E1449">
        <v>6.1008296296296303</v>
      </c>
      <c r="F1449">
        <v>12.819383859083461</v>
      </c>
      <c r="G1449">
        <v>27</v>
      </c>
      <c r="H1449" t="s">
        <v>58</v>
      </c>
      <c r="M1449">
        <v>31.739597347796551</v>
      </c>
      <c r="N1449">
        <v>-19.537938088537292</v>
      </c>
      <c r="O1449">
        <v>51.277535436333842</v>
      </c>
      <c r="P1449">
        <v>0.47590661896802089</v>
      </c>
      <c r="R1449" t="str">
        <f t="shared" si="44"/>
        <v>yes</v>
      </c>
      <c r="S1449" t="str">
        <f t="shared" si="45"/>
        <v>no</v>
      </c>
    </row>
    <row r="1450" spans="1:19" x14ac:dyDescent="0.35">
      <c r="A1450" s="1">
        <v>1448</v>
      </c>
      <c r="B1450" t="s">
        <v>829</v>
      </c>
      <c r="C1450" t="s">
        <v>253</v>
      </c>
      <c r="D1450" t="s">
        <v>338</v>
      </c>
      <c r="E1450">
        <v>26.99681851851852</v>
      </c>
      <c r="F1450">
        <v>59.444755163354287</v>
      </c>
      <c r="G1450">
        <v>27</v>
      </c>
      <c r="H1450" t="s">
        <v>58</v>
      </c>
      <c r="M1450">
        <v>145.8863288452271</v>
      </c>
      <c r="N1450">
        <v>-91.892691808190051</v>
      </c>
      <c r="O1450">
        <v>237.77902065341709</v>
      </c>
      <c r="P1450">
        <v>0.45414971336548049</v>
      </c>
      <c r="R1450" t="str">
        <f t="shared" si="44"/>
        <v>yes</v>
      </c>
      <c r="S1450" t="str">
        <f t="shared" si="45"/>
        <v>no</v>
      </c>
    </row>
    <row r="1451" spans="1:19" x14ac:dyDescent="0.35">
      <c r="A1451" s="1">
        <v>1449</v>
      </c>
      <c r="B1451" t="s">
        <v>829</v>
      </c>
      <c r="C1451" t="s">
        <v>253</v>
      </c>
      <c r="D1451" t="s">
        <v>339</v>
      </c>
      <c r="E1451">
        <v>0</v>
      </c>
      <c r="F1451">
        <v>0</v>
      </c>
      <c r="G1451">
        <v>27</v>
      </c>
      <c r="H1451" t="s">
        <v>58</v>
      </c>
      <c r="M1451">
        <v>0</v>
      </c>
      <c r="N1451">
        <v>0</v>
      </c>
      <c r="O1451">
        <v>0</v>
      </c>
      <c r="R1451" t="str">
        <f t="shared" si="44"/>
        <v>yes</v>
      </c>
      <c r="S1451" t="str">
        <f t="shared" si="45"/>
        <v>no</v>
      </c>
    </row>
    <row r="1452" spans="1:19" x14ac:dyDescent="0.35">
      <c r="A1452" s="1">
        <v>1450</v>
      </c>
      <c r="B1452" t="s">
        <v>829</v>
      </c>
      <c r="C1452" t="s">
        <v>253</v>
      </c>
      <c r="D1452" t="s">
        <v>340</v>
      </c>
      <c r="E1452">
        <v>0</v>
      </c>
      <c r="F1452">
        <v>0</v>
      </c>
      <c r="G1452">
        <v>27</v>
      </c>
      <c r="H1452" t="s">
        <v>58</v>
      </c>
      <c r="M1452">
        <v>0</v>
      </c>
      <c r="N1452">
        <v>0</v>
      </c>
      <c r="O1452">
        <v>0</v>
      </c>
      <c r="R1452" t="str">
        <f t="shared" si="44"/>
        <v>yes</v>
      </c>
      <c r="S1452" t="str">
        <f t="shared" si="45"/>
        <v>no</v>
      </c>
    </row>
    <row r="1453" spans="1:19" x14ac:dyDescent="0.35">
      <c r="A1453" s="1">
        <v>1451</v>
      </c>
      <c r="B1453" t="s">
        <v>829</v>
      </c>
      <c r="C1453" t="s">
        <v>253</v>
      </c>
      <c r="D1453" t="s">
        <v>341</v>
      </c>
      <c r="E1453">
        <v>6.9704333333333333</v>
      </c>
      <c r="F1453">
        <v>14.6825949390073</v>
      </c>
      <c r="G1453">
        <v>27</v>
      </c>
      <c r="H1453" t="s">
        <v>58</v>
      </c>
      <c r="M1453">
        <v>36.335623211347936</v>
      </c>
      <c r="N1453">
        <v>-22.394756544681272</v>
      </c>
      <c r="O1453">
        <v>58.730379756029208</v>
      </c>
      <c r="P1453">
        <v>0.47474124037944809</v>
      </c>
      <c r="R1453" t="str">
        <f t="shared" si="44"/>
        <v>yes</v>
      </c>
      <c r="S1453" t="str">
        <f t="shared" si="45"/>
        <v>no</v>
      </c>
    </row>
    <row r="1454" spans="1:19" x14ac:dyDescent="0.35">
      <c r="A1454" s="1">
        <v>1452</v>
      </c>
      <c r="B1454" t="s">
        <v>829</v>
      </c>
      <c r="C1454" t="s">
        <v>253</v>
      </c>
      <c r="D1454" t="s">
        <v>342</v>
      </c>
      <c r="E1454">
        <v>31.557803703703701</v>
      </c>
      <c r="F1454">
        <v>66.394303018777507</v>
      </c>
      <c r="G1454">
        <v>27</v>
      </c>
      <c r="H1454" t="s">
        <v>58</v>
      </c>
      <c r="M1454">
        <v>164.3464097412587</v>
      </c>
      <c r="N1454">
        <v>-101.2308023338513</v>
      </c>
      <c r="O1454">
        <v>265.57721207511003</v>
      </c>
      <c r="P1454">
        <v>0.4753089085787765</v>
      </c>
      <c r="R1454" t="str">
        <f t="shared" si="44"/>
        <v>yes</v>
      </c>
      <c r="S1454" t="str">
        <f t="shared" si="45"/>
        <v>no</v>
      </c>
    </row>
    <row r="1455" spans="1:19" x14ac:dyDescent="0.35">
      <c r="A1455" s="1">
        <v>1453</v>
      </c>
      <c r="B1455" t="s">
        <v>829</v>
      </c>
      <c r="C1455" t="s">
        <v>253</v>
      </c>
      <c r="D1455" t="s">
        <v>343</v>
      </c>
      <c r="E1455">
        <v>0</v>
      </c>
      <c r="F1455">
        <v>0</v>
      </c>
      <c r="G1455">
        <v>27</v>
      </c>
      <c r="H1455" t="s">
        <v>58</v>
      </c>
      <c r="M1455">
        <v>0</v>
      </c>
      <c r="N1455">
        <v>0</v>
      </c>
      <c r="O1455">
        <v>0</v>
      </c>
      <c r="R1455" t="str">
        <f t="shared" si="44"/>
        <v>yes</v>
      </c>
      <c r="S1455" t="str">
        <f t="shared" si="45"/>
        <v>no</v>
      </c>
    </row>
    <row r="1456" spans="1:19" x14ac:dyDescent="0.35">
      <c r="A1456" s="1">
        <v>1454</v>
      </c>
      <c r="B1456" t="s">
        <v>829</v>
      </c>
      <c r="C1456" t="s">
        <v>253</v>
      </c>
      <c r="D1456" t="s">
        <v>344</v>
      </c>
      <c r="E1456">
        <v>0</v>
      </c>
      <c r="F1456">
        <v>0</v>
      </c>
      <c r="G1456">
        <v>27</v>
      </c>
      <c r="H1456" t="s">
        <v>58</v>
      </c>
      <c r="M1456">
        <v>0</v>
      </c>
      <c r="N1456">
        <v>0</v>
      </c>
      <c r="O1456">
        <v>0</v>
      </c>
      <c r="R1456" t="str">
        <f t="shared" si="44"/>
        <v>yes</v>
      </c>
      <c r="S1456" t="str">
        <f t="shared" si="45"/>
        <v>no</v>
      </c>
    </row>
    <row r="1457" spans="1:19" x14ac:dyDescent="0.35">
      <c r="A1457" s="1">
        <v>1455</v>
      </c>
      <c r="B1457" t="s">
        <v>829</v>
      </c>
      <c r="C1457" t="s">
        <v>253</v>
      </c>
      <c r="D1457" t="s">
        <v>345</v>
      </c>
      <c r="E1457">
        <v>7.4496074074074068</v>
      </c>
      <c r="F1457">
        <v>15.68563510594908</v>
      </c>
      <c r="G1457">
        <v>27</v>
      </c>
      <c r="H1457" t="s">
        <v>58</v>
      </c>
      <c r="M1457">
        <v>38.82087761930557</v>
      </c>
      <c r="N1457">
        <v>-23.921662804490751</v>
      </c>
      <c r="O1457">
        <v>62.742540423796328</v>
      </c>
      <c r="P1457">
        <v>0.47493183139151313</v>
      </c>
      <c r="R1457" t="str">
        <f t="shared" si="44"/>
        <v>yes</v>
      </c>
      <c r="S1457" t="str">
        <f t="shared" si="45"/>
        <v>no</v>
      </c>
    </row>
    <row r="1458" spans="1:19" x14ac:dyDescent="0.35">
      <c r="A1458" s="1">
        <v>1456</v>
      </c>
      <c r="B1458" t="s">
        <v>829</v>
      </c>
      <c r="C1458" t="s">
        <v>253</v>
      </c>
      <c r="D1458" t="s">
        <v>346</v>
      </c>
      <c r="E1458">
        <v>26.309255555555559</v>
      </c>
      <c r="F1458">
        <v>58.711124888845212</v>
      </c>
      <c r="G1458">
        <v>27</v>
      </c>
      <c r="H1458" t="s">
        <v>58</v>
      </c>
      <c r="M1458">
        <v>143.73150533324599</v>
      </c>
      <c r="N1458">
        <v>-91.112994222134859</v>
      </c>
      <c r="O1458">
        <v>234.84449955538079</v>
      </c>
      <c r="P1458">
        <v>0.44811363443241009</v>
      </c>
      <c r="R1458" t="str">
        <f t="shared" si="44"/>
        <v>yes</v>
      </c>
      <c r="S1458" t="str">
        <f t="shared" si="45"/>
        <v>no</v>
      </c>
    </row>
    <row r="1459" spans="1:19" x14ac:dyDescent="0.35">
      <c r="A1459" s="1">
        <v>1457</v>
      </c>
      <c r="B1459" t="s">
        <v>829</v>
      </c>
      <c r="C1459" t="s">
        <v>253</v>
      </c>
      <c r="D1459" t="s">
        <v>347</v>
      </c>
      <c r="E1459">
        <v>0</v>
      </c>
      <c r="F1459">
        <v>0</v>
      </c>
      <c r="G1459">
        <v>27</v>
      </c>
      <c r="H1459" t="s">
        <v>58</v>
      </c>
      <c r="M1459">
        <v>0</v>
      </c>
      <c r="N1459">
        <v>0</v>
      </c>
      <c r="O1459">
        <v>0</v>
      </c>
      <c r="R1459" t="str">
        <f t="shared" si="44"/>
        <v>yes</v>
      </c>
      <c r="S1459" t="str">
        <f t="shared" si="45"/>
        <v>no</v>
      </c>
    </row>
    <row r="1460" spans="1:19" x14ac:dyDescent="0.35">
      <c r="A1460" s="1">
        <v>1458</v>
      </c>
      <c r="B1460" t="s">
        <v>829</v>
      </c>
      <c r="C1460" t="s">
        <v>253</v>
      </c>
      <c r="D1460" t="s">
        <v>348</v>
      </c>
      <c r="E1460">
        <v>0</v>
      </c>
      <c r="F1460">
        <v>0</v>
      </c>
      <c r="G1460">
        <v>27</v>
      </c>
      <c r="H1460" t="s">
        <v>58</v>
      </c>
      <c r="M1460">
        <v>0</v>
      </c>
      <c r="N1460">
        <v>0</v>
      </c>
      <c r="O1460">
        <v>0</v>
      </c>
      <c r="R1460" t="str">
        <f t="shared" si="44"/>
        <v>yes</v>
      </c>
      <c r="S1460" t="str">
        <f t="shared" si="45"/>
        <v>no</v>
      </c>
    </row>
    <row r="1461" spans="1:19" x14ac:dyDescent="0.35">
      <c r="A1461" s="1">
        <v>1459</v>
      </c>
      <c r="B1461" t="s">
        <v>829</v>
      </c>
      <c r="C1461" t="s">
        <v>253</v>
      </c>
      <c r="D1461" t="s">
        <v>349</v>
      </c>
      <c r="E1461">
        <v>5.8346111111111103</v>
      </c>
      <c r="F1461">
        <v>12.248784813448751</v>
      </c>
      <c r="G1461">
        <v>27</v>
      </c>
      <c r="H1461" t="s">
        <v>58</v>
      </c>
      <c r="M1461">
        <v>30.33218073800861</v>
      </c>
      <c r="N1461">
        <v>-18.662958515786389</v>
      </c>
      <c r="O1461">
        <v>48.995139253795003</v>
      </c>
      <c r="P1461">
        <v>0.47634203718763229</v>
      </c>
      <c r="R1461" t="str">
        <f t="shared" si="44"/>
        <v>yes</v>
      </c>
      <c r="S1461" t="str">
        <f t="shared" si="45"/>
        <v>no</v>
      </c>
    </row>
    <row r="1462" spans="1:19" x14ac:dyDescent="0.35">
      <c r="A1462" s="1">
        <v>1460</v>
      </c>
      <c r="B1462" t="s">
        <v>829</v>
      </c>
      <c r="C1462" t="s">
        <v>253</v>
      </c>
      <c r="D1462" t="s">
        <v>350</v>
      </c>
      <c r="E1462">
        <v>0</v>
      </c>
      <c r="F1462">
        <v>0</v>
      </c>
      <c r="G1462">
        <v>27</v>
      </c>
      <c r="H1462" t="s">
        <v>58</v>
      </c>
      <c r="M1462">
        <v>0</v>
      </c>
      <c r="N1462">
        <v>0</v>
      </c>
      <c r="O1462">
        <v>0</v>
      </c>
      <c r="R1462" t="str">
        <f t="shared" si="44"/>
        <v>yes</v>
      </c>
      <c r="S1462" t="str">
        <f t="shared" si="45"/>
        <v>no</v>
      </c>
    </row>
    <row r="1463" spans="1:19" x14ac:dyDescent="0.35">
      <c r="A1463" s="1">
        <v>1461</v>
      </c>
      <c r="B1463" t="s">
        <v>829</v>
      </c>
      <c r="C1463" t="s">
        <v>253</v>
      </c>
      <c r="D1463" t="s">
        <v>351</v>
      </c>
      <c r="E1463">
        <v>2.9957555555555562</v>
      </c>
      <c r="F1463">
        <v>5.6045454517067581</v>
      </c>
      <c r="G1463">
        <v>27</v>
      </c>
      <c r="H1463" t="s">
        <v>58</v>
      </c>
      <c r="M1463">
        <v>14.204846458969071</v>
      </c>
      <c r="N1463">
        <v>-8.21333534785796</v>
      </c>
      <c r="O1463">
        <v>22.418181806827029</v>
      </c>
      <c r="P1463">
        <v>0.5345224838248489</v>
      </c>
      <c r="R1463" t="str">
        <f t="shared" si="44"/>
        <v>yes</v>
      </c>
      <c r="S1463" t="str">
        <f t="shared" si="45"/>
        <v>no</v>
      </c>
    </row>
    <row r="1464" spans="1:19" x14ac:dyDescent="0.35">
      <c r="A1464" s="1">
        <v>1462</v>
      </c>
      <c r="B1464" t="s">
        <v>829</v>
      </c>
      <c r="C1464" t="s">
        <v>253</v>
      </c>
      <c r="D1464" t="s">
        <v>352</v>
      </c>
      <c r="E1464">
        <v>0</v>
      </c>
      <c r="F1464">
        <v>0</v>
      </c>
      <c r="G1464">
        <v>27</v>
      </c>
      <c r="H1464" t="s">
        <v>58</v>
      </c>
      <c r="M1464">
        <v>0</v>
      </c>
      <c r="N1464">
        <v>0</v>
      </c>
      <c r="O1464">
        <v>0</v>
      </c>
      <c r="R1464" t="str">
        <f t="shared" si="44"/>
        <v>yes</v>
      </c>
      <c r="S1464" t="str">
        <f t="shared" si="45"/>
        <v>no</v>
      </c>
    </row>
    <row r="1465" spans="1:19" x14ac:dyDescent="0.35">
      <c r="A1465" s="1">
        <v>1463</v>
      </c>
      <c r="B1465" t="s">
        <v>829</v>
      </c>
      <c r="C1465" t="s">
        <v>253</v>
      </c>
      <c r="D1465" t="s">
        <v>353</v>
      </c>
      <c r="E1465">
        <v>9.1524925925925924</v>
      </c>
      <c r="F1465">
        <v>17.219319130384321</v>
      </c>
      <c r="G1465">
        <v>27</v>
      </c>
      <c r="H1465" t="s">
        <v>58</v>
      </c>
      <c r="M1465">
        <v>43.591130853361243</v>
      </c>
      <c r="N1465">
        <v>-25.286145668176051</v>
      </c>
      <c r="O1465">
        <v>68.877276521537283</v>
      </c>
      <c r="P1465">
        <v>0.53152465107883251</v>
      </c>
      <c r="R1465" t="str">
        <f t="shared" si="44"/>
        <v>yes</v>
      </c>
      <c r="S1465" t="str">
        <f t="shared" si="45"/>
        <v>no</v>
      </c>
    </row>
    <row r="1466" spans="1:19" x14ac:dyDescent="0.35">
      <c r="A1466" s="1">
        <v>1464</v>
      </c>
      <c r="B1466" t="s">
        <v>829</v>
      </c>
      <c r="C1466" t="s">
        <v>253</v>
      </c>
      <c r="D1466" t="s">
        <v>354</v>
      </c>
      <c r="E1466">
        <v>0</v>
      </c>
      <c r="F1466">
        <v>0</v>
      </c>
      <c r="G1466">
        <v>27</v>
      </c>
      <c r="H1466" t="s">
        <v>58</v>
      </c>
      <c r="M1466">
        <v>0</v>
      </c>
      <c r="N1466">
        <v>0</v>
      </c>
      <c r="O1466">
        <v>0</v>
      </c>
      <c r="R1466" t="str">
        <f t="shared" si="44"/>
        <v>yes</v>
      </c>
      <c r="S1466" t="str">
        <f t="shared" si="45"/>
        <v>no</v>
      </c>
    </row>
    <row r="1467" spans="1:19" x14ac:dyDescent="0.35">
      <c r="A1467" s="1">
        <v>1465</v>
      </c>
      <c r="B1467" t="s">
        <v>829</v>
      </c>
      <c r="C1467" t="s">
        <v>253</v>
      </c>
      <c r="D1467" t="s">
        <v>355</v>
      </c>
      <c r="E1467">
        <v>3.994340740740741</v>
      </c>
      <c r="F1467">
        <v>6.1556924987129253</v>
      </c>
      <c r="G1467">
        <v>27</v>
      </c>
      <c r="H1467" t="s">
        <v>58</v>
      </c>
      <c r="M1467">
        <v>16.30572573816659</v>
      </c>
      <c r="N1467">
        <v>-8.3170442566851097</v>
      </c>
      <c r="O1467">
        <v>24.622769994851701</v>
      </c>
      <c r="P1467">
        <v>0.64888568452305007</v>
      </c>
      <c r="R1467" t="str">
        <f t="shared" si="44"/>
        <v>yes</v>
      </c>
      <c r="S1467" t="str">
        <f t="shared" si="45"/>
        <v>no</v>
      </c>
    </row>
    <row r="1468" spans="1:19" x14ac:dyDescent="0.35">
      <c r="A1468" s="1">
        <v>1466</v>
      </c>
      <c r="B1468" t="s">
        <v>829</v>
      </c>
      <c r="C1468" t="s">
        <v>253</v>
      </c>
      <c r="D1468" t="s">
        <v>356</v>
      </c>
      <c r="E1468">
        <v>0</v>
      </c>
      <c r="F1468">
        <v>0</v>
      </c>
      <c r="G1468">
        <v>27</v>
      </c>
      <c r="H1468" t="s">
        <v>58</v>
      </c>
      <c r="M1468">
        <v>0</v>
      </c>
      <c r="N1468">
        <v>0</v>
      </c>
      <c r="O1468">
        <v>0</v>
      </c>
      <c r="R1468" t="str">
        <f t="shared" si="44"/>
        <v>yes</v>
      </c>
      <c r="S1468" t="str">
        <f t="shared" si="45"/>
        <v>no</v>
      </c>
    </row>
    <row r="1469" spans="1:19" x14ac:dyDescent="0.35">
      <c r="A1469" s="1">
        <v>1467</v>
      </c>
      <c r="B1469" t="s">
        <v>829</v>
      </c>
      <c r="C1469" t="s">
        <v>253</v>
      </c>
      <c r="D1469" t="s">
        <v>357</v>
      </c>
      <c r="E1469">
        <v>11.56442592592593</v>
      </c>
      <c r="F1469">
        <v>17.994353387219629</v>
      </c>
      <c r="G1469">
        <v>27</v>
      </c>
      <c r="H1469" t="s">
        <v>58</v>
      </c>
      <c r="M1469">
        <v>47.55313270036519</v>
      </c>
      <c r="N1469">
        <v>-24.42428084851333</v>
      </c>
      <c r="O1469">
        <v>71.977413548878516</v>
      </c>
      <c r="P1469">
        <v>0.64266971294114339</v>
      </c>
      <c r="R1469" t="str">
        <f t="shared" si="44"/>
        <v>yes</v>
      </c>
      <c r="S1469" t="str">
        <f t="shared" si="45"/>
        <v>no</v>
      </c>
    </row>
    <row r="1470" spans="1:19" x14ac:dyDescent="0.35">
      <c r="A1470" s="1">
        <v>1468</v>
      </c>
      <c r="B1470" t="s">
        <v>829</v>
      </c>
      <c r="C1470" t="s">
        <v>253</v>
      </c>
      <c r="D1470" t="s">
        <v>358</v>
      </c>
      <c r="E1470">
        <v>0</v>
      </c>
      <c r="F1470">
        <v>0</v>
      </c>
      <c r="G1470">
        <v>27</v>
      </c>
      <c r="H1470" t="s">
        <v>58</v>
      </c>
      <c r="M1470">
        <v>0</v>
      </c>
      <c r="N1470">
        <v>0</v>
      </c>
      <c r="O1470">
        <v>0</v>
      </c>
      <c r="R1470" t="str">
        <f t="shared" si="44"/>
        <v>yes</v>
      </c>
      <c r="S1470" t="str">
        <f t="shared" si="45"/>
        <v>no</v>
      </c>
    </row>
    <row r="1471" spans="1:19" x14ac:dyDescent="0.35">
      <c r="A1471" s="1">
        <v>1469</v>
      </c>
      <c r="B1471" t="s">
        <v>829</v>
      </c>
      <c r="C1471" t="s">
        <v>253</v>
      </c>
      <c r="D1471" t="s">
        <v>359</v>
      </c>
      <c r="E1471">
        <v>2.9957555555555562</v>
      </c>
      <c r="F1471">
        <v>5.6045454517067581</v>
      </c>
      <c r="G1471">
        <v>27</v>
      </c>
      <c r="H1471" t="s">
        <v>58</v>
      </c>
      <c r="M1471">
        <v>14.204846458969071</v>
      </c>
      <c r="N1471">
        <v>-8.21333534785796</v>
      </c>
      <c r="O1471">
        <v>22.418181806827029</v>
      </c>
      <c r="P1471">
        <v>0.5345224838248489</v>
      </c>
      <c r="R1471" t="str">
        <f t="shared" si="44"/>
        <v>yes</v>
      </c>
      <c r="S1471" t="str">
        <f t="shared" si="45"/>
        <v>no</v>
      </c>
    </row>
    <row r="1472" spans="1:19" x14ac:dyDescent="0.35">
      <c r="A1472" s="1">
        <v>1470</v>
      </c>
      <c r="B1472" t="s">
        <v>829</v>
      </c>
      <c r="C1472" t="s">
        <v>253</v>
      </c>
      <c r="D1472" t="s">
        <v>360</v>
      </c>
      <c r="E1472">
        <v>0</v>
      </c>
      <c r="F1472">
        <v>0</v>
      </c>
      <c r="G1472">
        <v>27</v>
      </c>
      <c r="H1472" t="s">
        <v>58</v>
      </c>
      <c r="M1472">
        <v>0</v>
      </c>
      <c r="N1472">
        <v>0</v>
      </c>
      <c r="O1472">
        <v>0</v>
      </c>
      <c r="R1472" t="str">
        <f t="shared" si="44"/>
        <v>yes</v>
      </c>
      <c r="S1472" t="str">
        <f t="shared" si="45"/>
        <v>no</v>
      </c>
    </row>
    <row r="1473" spans="1:19" x14ac:dyDescent="0.35">
      <c r="A1473" s="1">
        <v>1471</v>
      </c>
      <c r="B1473" t="s">
        <v>829</v>
      </c>
      <c r="C1473" t="s">
        <v>253</v>
      </c>
      <c r="D1473" t="s">
        <v>361</v>
      </c>
      <c r="E1473">
        <v>8.9927703703703692</v>
      </c>
      <c r="F1473">
        <v>17.015801167755921</v>
      </c>
      <c r="G1473">
        <v>27</v>
      </c>
      <c r="H1473" t="s">
        <v>58</v>
      </c>
      <c r="M1473">
        <v>43.024372705882207</v>
      </c>
      <c r="N1473">
        <v>-25.038831965141469</v>
      </c>
      <c r="O1473">
        <v>68.063204671023684</v>
      </c>
      <c r="P1473">
        <v>0.52849526635344168</v>
      </c>
      <c r="R1473" t="str">
        <f t="shared" si="44"/>
        <v>yes</v>
      </c>
      <c r="S1473" t="str">
        <f t="shared" si="45"/>
        <v>no</v>
      </c>
    </row>
    <row r="1474" spans="1:19" x14ac:dyDescent="0.35">
      <c r="A1474" s="1">
        <v>1472</v>
      </c>
      <c r="B1474" t="s">
        <v>829</v>
      </c>
      <c r="C1474" t="s">
        <v>253</v>
      </c>
      <c r="D1474" t="s">
        <v>362</v>
      </c>
      <c r="E1474">
        <v>0</v>
      </c>
      <c r="F1474">
        <v>0</v>
      </c>
      <c r="G1474">
        <v>27</v>
      </c>
      <c r="H1474" t="s">
        <v>58</v>
      </c>
      <c r="M1474">
        <v>0</v>
      </c>
      <c r="N1474">
        <v>0</v>
      </c>
      <c r="O1474">
        <v>0</v>
      </c>
      <c r="R1474" t="str">
        <f t="shared" si="44"/>
        <v>yes</v>
      </c>
      <c r="S1474" t="str">
        <f t="shared" si="45"/>
        <v>no</v>
      </c>
    </row>
    <row r="1475" spans="1:19" x14ac:dyDescent="0.35">
      <c r="A1475" s="1">
        <v>1473</v>
      </c>
      <c r="B1475" t="s">
        <v>829</v>
      </c>
      <c r="C1475" t="s">
        <v>253</v>
      </c>
      <c r="D1475" t="s">
        <v>363</v>
      </c>
      <c r="E1475">
        <v>3.994340740740741</v>
      </c>
      <c r="F1475">
        <v>6.1556924987129253</v>
      </c>
      <c r="G1475">
        <v>27</v>
      </c>
      <c r="H1475" t="s">
        <v>58</v>
      </c>
      <c r="M1475">
        <v>16.30572573816659</v>
      </c>
      <c r="N1475">
        <v>-8.3170442566851097</v>
      </c>
      <c r="O1475">
        <v>24.622769994851701</v>
      </c>
      <c r="P1475">
        <v>0.64888568452305007</v>
      </c>
      <c r="R1475" t="str">
        <f t="shared" ref="R1475:R1538" si="46">IF(H1475="yes","yes","no")</f>
        <v>yes</v>
      </c>
      <c r="S1475" t="str">
        <f t="shared" ref="S1475:S1538" si="47">IF(I1475,"yes","no")</f>
        <v>no</v>
      </c>
    </row>
    <row r="1476" spans="1:19" x14ac:dyDescent="0.35">
      <c r="A1476" s="1">
        <v>1474</v>
      </c>
      <c r="B1476" t="s">
        <v>829</v>
      </c>
      <c r="C1476" t="s">
        <v>253</v>
      </c>
      <c r="D1476" t="s">
        <v>364</v>
      </c>
      <c r="E1476">
        <v>0</v>
      </c>
      <c r="F1476">
        <v>0</v>
      </c>
      <c r="G1476">
        <v>27</v>
      </c>
      <c r="H1476" t="s">
        <v>58</v>
      </c>
      <c r="M1476">
        <v>0</v>
      </c>
      <c r="N1476">
        <v>0</v>
      </c>
      <c r="O1476">
        <v>0</v>
      </c>
      <c r="R1476" t="str">
        <f t="shared" si="46"/>
        <v>yes</v>
      </c>
      <c r="S1476" t="str">
        <f t="shared" si="47"/>
        <v>no</v>
      </c>
    </row>
    <row r="1477" spans="1:19" x14ac:dyDescent="0.35">
      <c r="A1477" s="1">
        <v>1475</v>
      </c>
      <c r="B1477" t="s">
        <v>829</v>
      </c>
      <c r="C1477" t="s">
        <v>253</v>
      </c>
      <c r="D1477" t="s">
        <v>365</v>
      </c>
      <c r="E1477">
        <v>11.475688888888889</v>
      </c>
      <c r="F1477">
        <v>17.77990914588155</v>
      </c>
      <c r="G1477">
        <v>27</v>
      </c>
      <c r="H1477" t="s">
        <v>58</v>
      </c>
      <c r="M1477">
        <v>47.03550718065199</v>
      </c>
      <c r="N1477">
        <v>-24.084129402874211</v>
      </c>
      <c r="O1477">
        <v>71.119636583526201</v>
      </c>
      <c r="P1477">
        <v>0.6454301197341642</v>
      </c>
      <c r="R1477" t="str">
        <f t="shared" si="46"/>
        <v>yes</v>
      </c>
      <c r="S1477" t="str">
        <f t="shared" si="47"/>
        <v>no</v>
      </c>
    </row>
    <row r="1478" spans="1:19" x14ac:dyDescent="0.35">
      <c r="A1478" s="1">
        <v>1476</v>
      </c>
      <c r="B1478" t="s">
        <v>829</v>
      </c>
      <c r="C1478" t="s">
        <v>253</v>
      </c>
      <c r="D1478" t="s">
        <v>366</v>
      </c>
      <c r="E1478">
        <v>0</v>
      </c>
      <c r="F1478">
        <v>0</v>
      </c>
      <c r="G1478">
        <v>27</v>
      </c>
      <c r="H1478" t="s">
        <v>58</v>
      </c>
      <c r="M1478">
        <v>0</v>
      </c>
      <c r="N1478">
        <v>0</v>
      </c>
      <c r="O1478">
        <v>0</v>
      </c>
      <c r="R1478" t="str">
        <f t="shared" si="46"/>
        <v>yes</v>
      </c>
      <c r="S1478" t="str">
        <f t="shared" si="47"/>
        <v>no</v>
      </c>
    </row>
    <row r="1479" spans="1:19" x14ac:dyDescent="0.35">
      <c r="A1479" s="1">
        <v>1477</v>
      </c>
      <c r="B1479" t="s">
        <v>829</v>
      </c>
      <c r="C1479" t="s">
        <v>253</v>
      </c>
      <c r="D1479" t="s">
        <v>367</v>
      </c>
      <c r="E1479">
        <v>2.9957555555555562</v>
      </c>
      <c r="F1479">
        <v>5.6045454517067581</v>
      </c>
      <c r="G1479">
        <v>27</v>
      </c>
      <c r="H1479" t="s">
        <v>58</v>
      </c>
      <c r="M1479">
        <v>14.204846458969071</v>
      </c>
      <c r="N1479">
        <v>-8.21333534785796</v>
      </c>
      <c r="O1479">
        <v>22.418181806827029</v>
      </c>
      <c r="P1479">
        <v>0.5345224838248489</v>
      </c>
      <c r="R1479" t="str">
        <f t="shared" si="46"/>
        <v>yes</v>
      </c>
      <c r="S1479" t="str">
        <f t="shared" si="47"/>
        <v>no</v>
      </c>
    </row>
    <row r="1480" spans="1:19" x14ac:dyDescent="0.35">
      <c r="A1480" s="1">
        <v>1478</v>
      </c>
      <c r="B1480" t="s">
        <v>829</v>
      </c>
      <c r="C1480" t="s">
        <v>253</v>
      </c>
      <c r="D1480" t="s">
        <v>368</v>
      </c>
      <c r="E1480">
        <v>0</v>
      </c>
      <c r="F1480">
        <v>0</v>
      </c>
      <c r="G1480">
        <v>27</v>
      </c>
      <c r="H1480" t="s">
        <v>58</v>
      </c>
      <c r="M1480">
        <v>0</v>
      </c>
      <c r="N1480">
        <v>0</v>
      </c>
      <c r="O1480">
        <v>0</v>
      </c>
      <c r="R1480" t="str">
        <f t="shared" si="46"/>
        <v>yes</v>
      </c>
      <c r="S1480" t="str">
        <f t="shared" si="47"/>
        <v>no</v>
      </c>
    </row>
    <row r="1481" spans="1:19" x14ac:dyDescent="0.35">
      <c r="A1481" s="1">
        <v>1479</v>
      </c>
      <c r="B1481" t="s">
        <v>829</v>
      </c>
      <c r="C1481" t="s">
        <v>253</v>
      </c>
      <c r="D1481" t="s">
        <v>369</v>
      </c>
      <c r="E1481">
        <v>8.9927666666666664</v>
      </c>
      <c r="F1481">
        <v>16.957221170650879</v>
      </c>
      <c r="G1481">
        <v>27</v>
      </c>
      <c r="H1481" t="s">
        <v>58</v>
      </c>
      <c r="M1481">
        <v>42.907209007968433</v>
      </c>
      <c r="N1481">
        <v>-24.92167567463509</v>
      </c>
      <c r="O1481">
        <v>67.828884682603515</v>
      </c>
      <c r="P1481">
        <v>0.53032077462262006</v>
      </c>
      <c r="R1481" t="str">
        <f t="shared" si="46"/>
        <v>yes</v>
      </c>
      <c r="S1481" t="str">
        <f t="shared" si="47"/>
        <v>no</v>
      </c>
    </row>
    <row r="1482" spans="1:19" x14ac:dyDescent="0.35">
      <c r="A1482" s="1">
        <v>1480</v>
      </c>
      <c r="B1482" t="s">
        <v>829</v>
      </c>
      <c r="C1482" t="s">
        <v>253</v>
      </c>
      <c r="D1482" t="s">
        <v>370</v>
      </c>
      <c r="E1482">
        <v>0</v>
      </c>
      <c r="F1482">
        <v>0</v>
      </c>
      <c r="G1482">
        <v>27</v>
      </c>
      <c r="H1482" t="s">
        <v>58</v>
      </c>
      <c r="M1482">
        <v>0</v>
      </c>
      <c r="N1482">
        <v>0</v>
      </c>
      <c r="O1482">
        <v>0</v>
      </c>
      <c r="R1482" t="str">
        <f t="shared" si="46"/>
        <v>yes</v>
      </c>
      <c r="S1482" t="str">
        <f t="shared" si="47"/>
        <v>no</v>
      </c>
    </row>
    <row r="1483" spans="1:19" x14ac:dyDescent="0.35">
      <c r="A1483" s="1">
        <v>1481</v>
      </c>
      <c r="B1483" t="s">
        <v>829</v>
      </c>
      <c r="C1483" t="s">
        <v>253</v>
      </c>
      <c r="D1483" t="s">
        <v>371</v>
      </c>
      <c r="E1483">
        <v>3.994340740740741</v>
      </c>
      <c r="F1483">
        <v>6.1556924987129253</v>
      </c>
      <c r="G1483">
        <v>27</v>
      </c>
      <c r="H1483" t="s">
        <v>58</v>
      </c>
      <c r="M1483">
        <v>16.30572573816659</v>
      </c>
      <c r="N1483">
        <v>-8.3170442566851097</v>
      </c>
      <c r="O1483">
        <v>24.622769994851701</v>
      </c>
      <c r="P1483">
        <v>0.64888568452305007</v>
      </c>
      <c r="R1483" t="str">
        <f t="shared" si="46"/>
        <v>yes</v>
      </c>
      <c r="S1483" t="str">
        <f t="shared" si="47"/>
        <v>no</v>
      </c>
    </row>
    <row r="1484" spans="1:19" x14ac:dyDescent="0.35">
      <c r="A1484" s="1">
        <v>1482</v>
      </c>
      <c r="B1484" t="s">
        <v>829</v>
      </c>
      <c r="C1484" t="s">
        <v>253</v>
      </c>
      <c r="D1484" t="s">
        <v>372</v>
      </c>
      <c r="E1484">
        <v>0</v>
      </c>
      <c r="F1484">
        <v>0</v>
      </c>
      <c r="G1484">
        <v>27</v>
      </c>
      <c r="H1484" t="s">
        <v>58</v>
      </c>
      <c r="M1484">
        <v>0</v>
      </c>
      <c r="N1484">
        <v>0</v>
      </c>
      <c r="O1484">
        <v>0</v>
      </c>
      <c r="R1484" t="str">
        <f t="shared" si="46"/>
        <v>yes</v>
      </c>
      <c r="S1484" t="str">
        <f t="shared" si="47"/>
        <v>no</v>
      </c>
    </row>
    <row r="1485" spans="1:19" x14ac:dyDescent="0.35">
      <c r="A1485" s="1">
        <v>1483</v>
      </c>
      <c r="B1485" t="s">
        <v>829</v>
      </c>
      <c r="C1485" t="s">
        <v>253</v>
      </c>
      <c r="D1485" t="s">
        <v>373</v>
      </c>
      <c r="E1485">
        <v>11.42245185185185</v>
      </c>
      <c r="F1485">
        <v>17.67693893394296</v>
      </c>
      <c r="G1485">
        <v>27</v>
      </c>
      <c r="H1485" t="s">
        <v>58</v>
      </c>
      <c r="M1485">
        <v>46.776329719737767</v>
      </c>
      <c r="N1485">
        <v>-23.93142601603407</v>
      </c>
      <c r="O1485">
        <v>70.70775573577184</v>
      </c>
      <c r="P1485">
        <v>0.64617815870363449</v>
      </c>
      <c r="R1485" t="str">
        <f t="shared" si="46"/>
        <v>yes</v>
      </c>
      <c r="S1485" t="str">
        <f t="shared" si="47"/>
        <v>no</v>
      </c>
    </row>
    <row r="1486" spans="1:19" x14ac:dyDescent="0.35">
      <c r="A1486" s="1">
        <v>1484</v>
      </c>
      <c r="B1486" t="s">
        <v>829</v>
      </c>
      <c r="C1486" t="s">
        <v>253</v>
      </c>
      <c r="D1486" t="s">
        <v>374</v>
      </c>
      <c r="E1486">
        <v>33.198244444444441</v>
      </c>
      <c r="F1486">
        <v>69.640748834164668</v>
      </c>
      <c r="G1486">
        <v>27</v>
      </c>
      <c r="H1486" t="s">
        <v>58</v>
      </c>
      <c r="M1486">
        <v>172.47974211277381</v>
      </c>
      <c r="N1486">
        <v>-106.0832532238849</v>
      </c>
      <c r="O1486">
        <v>278.56299533665867</v>
      </c>
      <c r="P1486">
        <v>0.47670717216868719</v>
      </c>
      <c r="R1486" t="str">
        <f t="shared" si="46"/>
        <v>yes</v>
      </c>
      <c r="S1486" t="str">
        <f t="shared" si="47"/>
        <v>no</v>
      </c>
    </row>
    <row r="1487" spans="1:19" x14ac:dyDescent="0.35">
      <c r="A1487" s="1">
        <v>1485</v>
      </c>
      <c r="B1487" t="s">
        <v>829</v>
      </c>
      <c r="C1487" t="s">
        <v>253</v>
      </c>
      <c r="D1487" t="s">
        <v>375</v>
      </c>
      <c r="E1487">
        <v>0</v>
      </c>
      <c r="F1487">
        <v>0</v>
      </c>
      <c r="G1487">
        <v>27</v>
      </c>
      <c r="H1487" t="s">
        <v>58</v>
      </c>
      <c r="M1487">
        <v>0</v>
      </c>
      <c r="N1487">
        <v>0</v>
      </c>
      <c r="O1487">
        <v>0</v>
      </c>
      <c r="R1487" t="str">
        <f t="shared" si="46"/>
        <v>yes</v>
      </c>
      <c r="S1487" t="str">
        <f t="shared" si="47"/>
        <v>no</v>
      </c>
    </row>
    <row r="1488" spans="1:19" x14ac:dyDescent="0.35">
      <c r="A1488" s="1">
        <v>1486</v>
      </c>
      <c r="B1488" t="s">
        <v>829</v>
      </c>
      <c r="C1488" t="s">
        <v>253</v>
      </c>
      <c r="D1488" t="s">
        <v>376</v>
      </c>
      <c r="E1488">
        <v>0</v>
      </c>
      <c r="F1488">
        <v>0</v>
      </c>
      <c r="G1488">
        <v>27</v>
      </c>
      <c r="H1488" t="s">
        <v>58</v>
      </c>
      <c r="M1488">
        <v>0</v>
      </c>
      <c r="N1488">
        <v>0</v>
      </c>
      <c r="O1488">
        <v>0</v>
      </c>
      <c r="R1488" t="str">
        <f t="shared" si="46"/>
        <v>yes</v>
      </c>
      <c r="S1488" t="str">
        <f t="shared" si="47"/>
        <v>no</v>
      </c>
    </row>
    <row r="1489" spans="1:19" x14ac:dyDescent="0.35">
      <c r="A1489" s="1">
        <v>1487</v>
      </c>
      <c r="B1489" t="s">
        <v>829</v>
      </c>
      <c r="C1489" t="s">
        <v>253</v>
      </c>
      <c r="D1489" t="s">
        <v>377</v>
      </c>
      <c r="E1489">
        <v>6.8462037037037033</v>
      </c>
      <c r="F1489">
        <v>14.374567722491861</v>
      </c>
      <c r="G1489">
        <v>27</v>
      </c>
      <c r="H1489" t="s">
        <v>58</v>
      </c>
      <c r="M1489">
        <v>35.595339148687422</v>
      </c>
      <c r="N1489">
        <v>-21.902931741280021</v>
      </c>
      <c r="O1489">
        <v>57.498270889967444</v>
      </c>
      <c r="P1489">
        <v>0.47627197115579761</v>
      </c>
      <c r="R1489" t="str">
        <f t="shared" si="46"/>
        <v>yes</v>
      </c>
      <c r="S1489" t="str">
        <f t="shared" si="47"/>
        <v>no</v>
      </c>
    </row>
    <row r="1490" spans="1:19" x14ac:dyDescent="0.35">
      <c r="A1490" s="1">
        <v>1488</v>
      </c>
      <c r="B1490" t="s">
        <v>829</v>
      </c>
      <c r="C1490" t="s">
        <v>253</v>
      </c>
      <c r="D1490" t="s">
        <v>378</v>
      </c>
      <c r="E1490">
        <v>27.173366666666659</v>
      </c>
      <c r="F1490">
        <v>59.647663281696659</v>
      </c>
      <c r="G1490">
        <v>27</v>
      </c>
      <c r="H1490" t="s">
        <v>58</v>
      </c>
      <c r="M1490">
        <v>146.46869323006001</v>
      </c>
      <c r="N1490">
        <v>-92.121959896726651</v>
      </c>
      <c r="O1490">
        <v>238.59065312678661</v>
      </c>
      <c r="P1490">
        <v>0.45556464698936522</v>
      </c>
      <c r="R1490" t="str">
        <f t="shared" si="46"/>
        <v>yes</v>
      </c>
      <c r="S1490" t="str">
        <f t="shared" si="47"/>
        <v>no</v>
      </c>
    </row>
    <row r="1491" spans="1:19" x14ac:dyDescent="0.35">
      <c r="A1491" s="1">
        <v>1489</v>
      </c>
      <c r="B1491" t="s">
        <v>829</v>
      </c>
      <c r="C1491" t="s">
        <v>253</v>
      </c>
      <c r="D1491" t="s">
        <v>379</v>
      </c>
      <c r="E1491">
        <v>0</v>
      </c>
      <c r="F1491">
        <v>0</v>
      </c>
      <c r="G1491">
        <v>27</v>
      </c>
      <c r="H1491" t="s">
        <v>58</v>
      </c>
      <c r="M1491">
        <v>0</v>
      </c>
      <c r="N1491">
        <v>0</v>
      </c>
      <c r="O1491">
        <v>0</v>
      </c>
      <c r="R1491" t="str">
        <f t="shared" si="46"/>
        <v>yes</v>
      </c>
      <c r="S1491" t="str">
        <f t="shared" si="47"/>
        <v>no</v>
      </c>
    </row>
    <row r="1492" spans="1:19" x14ac:dyDescent="0.35">
      <c r="A1492" s="1">
        <v>1490</v>
      </c>
      <c r="B1492" t="s">
        <v>829</v>
      </c>
      <c r="C1492" t="s">
        <v>253</v>
      </c>
      <c r="D1492" t="s">
        <v>380</v>
      </c>
      <c r="E1492">
        <v>0</v>
      </c>
      <c r="F1492">
        <v>0</v>
      </c>
      <c r="G1492">
        <v>27</v>
      </c>
      <c r="H1492" t="s">
        <v>58</v>
      </c>
      <c r="M1492">
        <v>0</v>
      </c>
      <c r="N1492">
        <v>0</v>
      </c>
      <c r="O1492">
        <v>0</v>
      </c>
      <c r="R1492" t="str">
        <f t="shared" si="46"/>
        <v>yes</v>
      </c>
      <c r="S1492" t="str">
        <f t="shared" si="47"/>
        <v>no</v>
      </c>
    </row>
    <row r="1493" spans="1:19" x14ac:dyDescent="0.35">
      <c r="A1493" s="1">
        <v>1491</v>
      </c>
      <c r="B1493" t="s">
        <v>829</v>
      </c>
      <c r="C1493" t="s">
        <v>253</v>
      </c>
      <c r="D1493" t="s">
        <v>381</v>
      </c>
      <c r="E1493">
        <v>5.9943444444444447</v>
      </c>
      <c r="F1493">
        <v>12.58844367144469</v>
      </c>
      <c r="G1493">
        <v>27</v>
      </c>
      <c r="H1493" t="s">
        <v>58</v>
      </c>
      <c r="M1493">
        <v>31.17123178733382</v>
      </c>
      <c r="N1493">
        <v>-19.18254289844494</v>
      </c>
      <c r="O1493">
        <v>50.35377468577876</v>
      </c>
      <c r="P1493">
        <v>0.47617835857198659</v>
      </c>
      <c r="R1493" t="str">
        <f t="shared" si="46"/>
        <v>yes</v>
      </c>
      <c r="S1493" t="str">
        <f t="shared" si="47"/>
        <v>no</v>
      </c>
    </row>
    <row r="1494" spans="1:19" x14ac:dyDescent="0.35">
      <c r="A1494" s="1">
        <v>1492</v>
      </c>
      <c r="B1494" t="s">
        <v>829</v>
      </c>
      <c r="C1494" t="s">
        <v>253</v>
      </c>
      <c r="D1494" t="s">
        <v>382</v>
      </c>
      <c r="E1494">
        <v>33.273222222222223</v>
      </c>
      <c r="F1494">
        <v>69.795387866743255</v>
      </c>
      <c r="G1494">
        <v>27</v>
      </c>
      <c r="H1494" t="s">
        <v>58</v>
      </c>
      <c r="M1494">
        <v>172.8639979557087</v>
      </c>
      <c r="N1494">
        <v>-106.31755351126429</v>
      </c>
      <c r="O1494">
        <v>279.18155146697302</v>
      </c>
      <c r="P1494">
        <v>0.47672522840261422</v>
      </c>
      <c r="R1494" t="str">
        <f t="shared" si="46"/>
        <v>yes</v>
      </c>
      <c r="S1494" t="str">
        <f t="shared" si="47"/>
        <v>no</v>
      </c>
    </row>
    <row r="1495" spans="1:19" x14ac:dyDescent="0.35">
      <c r="A1495" s="1">
        <v>1493</v>
      </c>
      <c r="B1495" t="s">
        <v>829</v>
      </c>
      <c r="C1495" t="s">
        <v>253</v>
      </c>
      <c r="D1495" t="s">
        <v>383</v>
      </c>
      <c r="E1495">
        <v>0</v>
      </c>
      <c r="F1495">
        <v>0</v>
      </c>
      <c r="G1495">
        <v>27</v>
      </c>
      <c r="H1495" t="s">
        <v>58</v>
      </c>
      <c r="M1495">
        <v>0</v>
      </c>
      <c r="N1495">
        <v>0</v>
      </c>
      <c r="O1495">
        <v>0</v>
      </c>
      <c r="R1495" t="str">
        <f t="shared" si="46"/>
        <v>yes</v>
      </c>
      <c r="S1495" t="str">
        <f t="shared" si="47"/>
        <v>no</v>
      </c>
    </row>
    <row r="1496" spans="1:19" x14ac:dyDescent="0.35">
      <c r="A1496" s="1">
        <v>1494</v>
      </c>
      <c r="B1496" t="s">
        <v>829</v>
      </c>
      <c r="C1496" t="s">
        <v>253</v>
      </c>
      <c r="D1496" t="s">
        <v>384</v>
      </c>
      <c r="E1496">
        <v>0</v>
      </c>
      <c r="F1496">
        <v>0</v>
      </c>
      <c r="G1496">
        <v>27</v>
      </c>
      <c r="H1496" t="s">
        <v>58</v>
      </c>
      <c r="M1496">
        <v>0</v>
      </c>
      <c r="N1496">
        <v>0</v>
      </c>
      <c r="O1496">
        <v>0</v>
      </c>
      <c r="R1496" t="str">
        <f t="shared" si="46"/>
        <v>yes</v>
      </c>
      <c r="S1496" t="str">
        <f t="shared" si="47"/>
        <v>no</v>
      </c>
    </row>
    <row r="1497" spans="1:19" x14ac:dyDescent="0.35">
      <c r="A1497" s="1">
        <v>1495</v>
      </c>
      <c r="B1497" t="s">
        <v>829</v>
      </c>
      <c r="C1497" t="s">
        <v>253</v>
      </c>
      <c r="D1497" t="s">
        <v>385</v>
      </c>
      <c r="E1497">
        <v>6.4735148148148136</v>
      </c>
      <c r="F1497">
        <v>13.60148608309656</v>
      </c>
      <c r="G1497">
        <v>27</v>
      </c>
      <c r="H1497" t="s">
        <v>58</v>
      </c>
      <c r="M1497">
        <v>33.676486981007933</v>
      </c>
      <c r="N1497">
        <v>-20.729457351378311</v>
      </c>
      <c r="O1497">
        <v>54.405944332386241</v>
      </c>
      <c r="P1497">
        <v>0.47594172984229022</v>
      </c>
      <c r="R1497" t="str">
        <f t="shared" si="46"/>
        <v>yes</v>
      </c>
      <c r="S1497" t="str">
        <f t="shared" si="47"/>
        <v>no</v>
      </c>
    </row>
    <row r="1498" spans="1:19" x14ac:dyDescent="0.35">
      <c r="A1498" s="1">
        <v>1496</v>
      </c>
      <c r="B1498" t="s">
        <v>829</v>
      </c>
      <c r="C1498" t="s">
        <v>253</v>
      </c>
      <c r="D1498" t="s">
        <v>386</v>
      </c>
      <c r="E1498">
        <v>25.816181481481479</v>
      </c>
      <c r="F1498">
        <v>58.241822687456008</v>
      </c>
      <c r="G1498">
        <v>27</v>
      </c>
      <c r="H1498" t="s">
        <v>58</v>
      </c>
      <c r="M1498">
        <v>142.29982685639351</v>
      </c>
      <c r="N1498">
        <v>-90.667463893430536</v>
      </c>
      <c r="O1498">
        <v>232.967290749824</v>
      </c>
      <c r="P1498">
        <v>0.44325847458482293</v>
      </c>
      <c r="R1498" t="str">
        <f t="shared" si="46"/>
        <v>yes</v>
      </c>
      <c r="S1498" t="str">
        <f t="shared" si="47"/>
        <v>no</v>
      </c>
    </row>
    <row r="1499" spans="1:19" x14ac:dyDescent="0.35">
      <c r="A1499" s="1">
        <v>1497</v>
      </c>
      <c r="B1499" t="s">
        <v>829</v>
      </c>
      <c r="C1499" t="s">
        <v>253</v>
      </c>
      <c r="D1499" t="s">
        <v>387</v>
      </c>
      <c r="E1499">
        <v>0</v>
      </c>
      <c r="F1499">
        <v>0</v>
      </c>
      <c r="G1499">
        <v>27</v>
      </c>
      <c r="H1499" t="s">
        <v>58</v>
      </c>
      <c r="M1499">
        <v>0</v>
      </c>
      <c r="N1499">
        <v>0</v>
      </c>
      <c r="O1499">
        <v>0</v>
      </c>
      <c r="R1499" t="str">
        <f t="shared" si="46"/>
        <v>yes</v>
      </c>
      <c r="S1499" t="str">
        <f t="shared" si="47"/>
        <v>no</v>
      </c>
    </row>
    <row r="1500" spans="1:19" x14ac:dyDescent="0.35">
      <c r="A1500" s="1">
        <v>1498</v>
      </c>
      <c r="B1500" t="s">
        <v>829</v>
      </c>
      <c r="C1500" t="s">
        <v>253</v>
      </c>
      <c r="D1500" t="s">
        <v>388</v>
      </c>
      <c r="E1500">
        <v>0</v>
      </c>
      <c r="F1500">
        <v>0</v>
      </c>
      <c r="G1500">
        <v>27</v>
      </c>
      <c r="H1500" t="s">
        <v>58</v>
      </c>
      <c r="M1500">
        <v>0</v>
      </c>
      <c r="N1500">
        <v>0</v>
      </c>
      <c r="O1500">
        <v>0</v>
      </c>
      <c r="R1500" t="str">
        <f t="shared" si="46"/>
        <v>yes</v>
      </c>
      <c r="S1500" t="str">
        <f t="shared" si="47"/>
        <v>no</v>
      </c>
    </row>
    <row r="1501" spans="1:19" x14ac:dyDescent="0.35">
      <c r="A1501" s="1">
        <v>1499</v>
      </c>
      <c r="B1501" t="s">
        <v>829</v>
      </c>
      <c r="C1501" t="s">
        <v>253</v>
      </c>
      <c r="D1501" t="s">
        <v>389</v>
      </c>
      <c r="E1501">
        <v>7.7690518518518514</v>
      </c>
      <c r="F1501">
        <v>16.380091022547489</v>
      </c>
      <c r="G1501">
        <v>27</v>
      </c>
      <c r="H1501" t="s">
        <v>58</v>
      </c>
      <c r="M1501">
        <v>40.529233896946828</v>
      </c>
      <c r="N1501">
        <v>-24.99113019324313</v>
      </c>
      <c r="O1501">
        <v>65.520364090189958</v>
      </c>
      <c r="P1501">
        <v>0.47429845421234912</v>
      </c>
      <c r="R1501" t="str">
        <f t="shared" si="46"/>
        <v>yes</v>
      </c>
      <c r="S1501" t="str">
        <f t="shared" si="47"/>
        <v>no</v>
      </c>
    </row>
    <row r="1502" spans="1:19" x14ac:dyDescent="0.35">
      <c r="A1502" s="1">
        <v>1500</v>
      </c>
      <c r="B1502" t="s">
        <v>829</v>
      </c>
      <c r="C1502" t="s">
        <v>253</v>
      </c>
      <c r="D1502" t="s">
        <v>390</v>
      </c>
      <c r="E1502">
        <v>33.348981481481481</v>
      </c>
      <c r="F1502">
        <v>69.953413710480604</v>
      </c>
      <c r="G1502">
        <v>27</v>
      </c>
      <c r="H1502" t="s">
        <v>58</v>
      </c>
      <c r="M1502">
        <v>173.25580890244271</v>
      </c>
      <c r="N1502">
        <v>-106.55784593947971</v>
      </c>
      <c r="O1502">
        <v>279.81365484192241</v>
      </c>
      <c r="P1502">
        <v>0.47673129462279618</v>
      </c>
      <c r="R1502" t="str">
        <f t="shared" si="46"/>
        <v>yes</v>
      </c>
      <c r="S1502" t="str">
        <f t="shared" si="47"/>
        <v>no</v>
      </c>
    </row>
    <row r="1503" spans="1:19" x14ac:dyDescent="0.35">
      <c r="A1503" s="1">
        <v>1501</v>
      </c>
      <c r="B1503" t="s">
        <v>829</v>
      </c>
      <c r="C1503" t="s">
        <v>253</v>
      </c>
      <c r="D1503" t="s">
        <v>391</v>
      </c>
      <c r="E1503">
        <v>0</v>
      </c>
      <c r="F1503">
        <v>0</v>
      </c>
      <c r="G1503">
        <v>27</v>
      </c>
      <c r="H1503" t="s">
        <v>58</v>
      </c>
      <c r="M1503">
        <v>0</v>
      </c>
      <c r="N1503">
        <v>0</v>
      </c>
      <c r="O1503">
        <v>0</v>
      </c>
      <c r="R1503" t="str">
        <f t="shared" si="46"/>
        <v>yes</v>
      </c>
      <c r="S1503" t="str">
        <f t="shared" si="47"/>
        <v>no</v>
      </c>
    </row>
    <row r="1504" spans="1:19" x14ac:dyDescent="0.35">
      <c r="A1504" s="1">
        <v>1502</v>
      </c>
      <c r="B1504" t="s">
        <v>829</v>
      </c>
      <c r="C1504" t="s">
        <v>253</v>
      </c>
      <c r="D1504" t="s">
        <v>392</v>
      </c>
      <c r="E1504">
        <v>0</v>
      </c>
      <c r="F1504">
        <v>0</v>
      </c>
      <c r="G1504">
        <v>27</v>
      </c>
      <c r="H1504" t="s">
        <v>58</v>
      </c>
      <c r="M1504">
        <v>0</v>
      </c>
      <c r="N1504">
        <v>0</v>
      </c>
      <c r="O1504">
        <v>0</v>
      </c>
      <c r="R1504" t="str">
        <f t="shared" si="46"/>
        <v>yes</v>
      </c>
      <c r="S1504" t="str">
        <f t="shared" si="47"/>
        <v>no</v>
      </c>
    </row>
    <row r="1505" spans="1:19" x14ac:dyDescent="0.35">
      <c r="A1505" s="1">
        <v>1503</v>
      </c>
      <c r="B1505" t="s">
        <v>829</v>
      </c>
      <c r="C1505" t="s">
        <v>253</v>
      </c>
      <c r="D1505" t="s">
        <v>393</v>
      </c>
      <c r="E1505">
        <v>7.165648148148148</v>
      </c>
      <c r="F1505">
        <v>15.044023179405711</v>
      </c>
      <c r="G1505">
        <v>27</v>
      </c>
      <c r="H1505" t="s">
        <v>58</v>
      </c>
      <c r="M1505">
        <v>37.253694506959569</v>
      </c>
      <c r="N1505">
        <v>-22.922398210663271</v>
      </c>
      <c r="O1505">
        <v>60.176092717622844</v>
      </c>
      <c r="P1505">
        <v>0.47631195875565091</v>
      </c>
      <c r="R1505" t="str">
        <f t="shared" si="46"/>
        <v>yes</v>
      </c>
      <c r="S1505" t="str">
        <f t="shared" si="47"/>
        <v>no</v>
      </c>
    </row>
    <row r="1506" spans="1:19" x14ac:dyDescent="0.35">
      <c r="A1506" s="1">
        <v>1504</v>
      </c>
      <c r="B1506" t="s">
        <v>829</v>
      </c>
      <c r="C1506" t="s">
        <v>253</v>
      </c>
      <c r="D1506" t="s">
        <v>394</v>
      </c>
      <c r="E1506">
        <v>26.776166666666668</v>
      </c>
      <c r="F1506">
        <v>59.033701270683487</v>
      </c>
      <c r="G1506">
        <v>27</v>
      </c>
      <c r="H1506" t="s">
        <v>58</v>
      </c>
      <c r="M1506">
        <v>144.84356920803361</v>
      </c>
      <c r="N1506">
        <v>-91.291235874700305</v>
      </c>
      <c r="O1506">
        <v>236.13480508273389</v>
      </c>
      <c r="P1506">
        <v>0.45357424810434321</v>
      </c>
      <c r="R1506" t="str">
        <f t="shared" si="46"/>
        <v>yes</v>
      </c>
      <c r="S1506" t="str">
        <f t="shared" si="47"/>
        <v>no</v>
      </c>
    </row>
    <row r="1507" spans="1:19" x14ac:dyDescent="0.35">
      <c r="A1507" s="1">
        <v>1505</v>
      </c>
      <c r="B1507" t="s">
        <v>829</v>
      </c>
      <c r="C1507" t="s">
        <v>253</v>
      </c>
      <c r="D1507" t="s">
        <v>395</v>
      </c>
      <c r="E1507">
        <v>0</v>
      </c>
      <c r="F1507">
        <v>0</v>
      </c>
      <c r="G1507">
        <v>27</v>
      </c>
      <c r="H1507" t="s">
        <v>58</v>
      </c>
      <c r="M1507">
        <v>0</v>
      </c>
      <c r="N1507">
        <v>0</v>
      </c>
      <c r="O1507">
        <v>0</v>
      </c>
      <c r="R1507" t="str">
        <f t="shared" si="46"/>
        <v>yes</v>
      </c>
      <c r="S1507" t="str">
        <f t="shared" si="47"/>
        <v>no</v>
      </c>
    </row>
    <row r="1508" spans="1:19" x14ac:dyDescent="0.35">
      <c r="A1508" s="1">
        <v>1506</v>
      </c>
      <c r="B1508" t="s">
        <v>829</v>
      </c>
      <c r="C1508" t="s">
        <v>253</v>
      </c>
      <c r="D1508" t="s">
        <v>396</v>
      </c>
      <c r="E1508">
        <v>0</v>
      </c>
      <c r="F1508">
        <v>0</v>
      </c>
      <c r="G1508">
        <v>27</v>
      </c>
      <c r="H1508" t="s">
        <v>58</v>
      </c>
      <c r="M1508">
        <v>0</v>
      </c>
      <c r="N1508">
        <v>0</v>
      </c>
      <c r="O1508">
        <v>0</v>
      </c>
      <c r="R1508" t="str">
        <f t="shared" si="46"/>
        <v>yes</v>
      </c>
      <c r="S1508" t="str">
        <f t="shared" si="47"/>
        <v>no</v>
      </c>
    </row>
    <row r="1509" spans="1:19" x14ac:dyDescent="0.35">
      <c r="A1509" s="1">
        <v>1507</v>
      </c>
      <c r="B1509" t="s">
        <v>829</v>
      </c>
      <c r="C1509" t="s">
        <v>253</v>
      </c>
      <c r="D1509" t="s">
        <v>397</v>
      </c>
      <c r="E1509">
        <v>6.1008259259259257</v>
      </c>
      <c r="F1509">
        <v>12.812741184796771</v>
      </c>
      <c r="G1509">
        <v>27</v>
      </c>
      <c r="H1509" t="s">
        <v>58</v>
      </c>
      <c r="M1509">
        <v>31.72630829551947</v>
      </c>
      <c r="N1509">
        <v>-19.52465644366762</v>
      </c>
      <c r="O1509">
        <v>51.250964739187083</v>
      </c>
      <c r="P1509">
        <v>0.47615306029633919</v>
      </c>
      <c r="R1509" t="str">
        <f t="shared" si="46"/>
        <v>yes</v>
      </c>
      <c r="S1509" t="str">
        <f t="shared" si="47"/>
        <v>no</v>
      </c>
    </row>
    <row r="1510" spans="1:19" x14ac:dyDescent="0.35">
      <c r="A1510" s="1">
        <v>1508</v>
      </c>
      <c r="B1510" t="s">
        <v>829</v>
      </c>
      <c r="C1510" t="s">
        <v>253</v>
      </c>
      <c r="D1510" t="s">
        <v>398</v>
      </c>
      <c r="E1510">
        <v>0</v>
      </c>
      <c r="F1510">
        <v>0</v>
      </c>
      <c r="G1510">
        <v>27</v>
      </c>
      <c r="H1510" t="s">
        <v>58</v>
      </c>
      <c r="M1510">
        <v>0</v>
      </c>
      <c r="N1510">
        <v>0</v>
      </c>
      <c r="O1510">
        <v>0</v>
      </c>
      <c r="R1510" t="str">
        <f t="shared" si="46"/>
        <v>yes</v>
      </c>
      <c r="S1510" t="str">
        <f t="shared" si="47"/>
        <v>no</v>
      </c>
    </row>
    <row r="1511" spans="1:19" x14ac:dyDescent="0.35">
      <c r="A1511" s="1">
        <v>1509</v>
      </c>
      <c r="B1511" t="s">
        <v>829</v>
      </c>
      <c r="C1511" t="s">
        <v>253</v>
      </c>
      <c r="D1511" t="s">
        <v>399</v>
      </c>
      <c r="E1511">
        <v>2.9957555555555562</v>
      </c>
      <c r="F1511">
        <v>5.6045454517067581</v>
      </c>
      <c r="G1511">
        <v>27</v>
      </c>
      <c r="H1511" t="s">
        <v>58</v>
      </c>
      <c r="M1511">
        <v>14.204846458969071</v>
      </c>
      <c r="N1511">
        <v>-8.21333534785796</v>
      </c>
      <c r="O1511">
        <v>22.418181806827029</v>
      </c>
      <c r="P1511">
        <v>0.5345224838248489</v>
      </c>
      <c r="R1511" t="str">
        <f t="shared" si="46"/>
        <v>yes</v>
      </c>
      <c r="S1511" t="str">
        <f t="shared" si="47"/>
        <v>no</v>
      </c>
    </row>
    <row r="1512" spans="1:19" x14ac:dyDescent="0.35">
      <c r="A1512" s="1">
        <v>1510</v>
      </c>
      <c r="B1512" t="s">
        <v>829</v>
      </c>
      <c r="C1512" t="s">
        <v>253</v>
      </c>
      <c r="D1512" t="s">
        <v>400</v>
      </c>
      <c r="E1512">
        <v>0</v>
      </c>
      <c r="F1512">
        <v>0</v>
      </c>
      <c r="G1512">
        <v>27</v>
      </c>
      <c r="H1512" t="s">
        <v>58</v>
      </c>
      <c r="M1512">
        <v>0</v>
      </c>
      <c r="N1512">
        <v>0</v>
      </c>
      <c r="O1512">
        <v>0</v>
      </c>
      <c r="R1512" t="str">
        <f t="shared" si="46"/>
        <v>yes</v>
      </c>
      <c r="S1512" t="str">
        <f t="shared" si="47"/>
        <v>no</v>
      </c>
    </row>
    <row r="1513" spans="1:19" x14ac:dyDescent="0.35">
      <c r="A1513" s="1">
        <v>1511</v>
      </c>
      <c r="B1513" t="s">
        <v>829</v>
      </c>
      <c r="C1513" t="s">
        <v>253</v>
      </c>
      <c r="D1513" t="s">
        <v>401</v>
      </c>
      <c r="E1513">
        <v>9.3654555555555543</v>
      </c>
      <c r="F1513">
        <v>17.61700041324421</v>
      </c>
      <c r="G1513">
        <v>27</v>
      </c>
      <c r="H1513" t="s">
        <v>58</v>
      </c>
      <c r="M1513">
        <v>44.599456382043982</v>
      </c>
      <c r="N1513">
        <v>-25.868545270932859</v>
      </c>
      <c r="O1513">
        <v>70.468001652976838</v>
      </c>
      <c r="P1513">
        <v>0.53161465265759644</v>
      </c>
      <c r="R1513" t="str">
        <f t="shared" si="46"/>
        <v>yes</v>
      </c>
      <c r="S1513" t="str">
        <f t="shared" si="47"/>
        <v>no</v>
      </c>
    </row>
    <row r="1514" spans="1:19" x14ac:dyDescent="0.35">
      <c r="A1514" s="1">
        <v>1512</v>
      </c>
      <c r="B1514" t="s">
        <v>829</v>
      </c>
      <c r="C1514" t="s">
        <v>253</v>
      </c>
      <c r="D1514" t="s">
        <v>402</v>
      </c>
      <c r="E1514">
        <v>0</v>
      </c>
      <c r="F1514">
        <v>0</v>
      </c>
      <c r="G1514">
        <v>27</v>
      </c>
      <c r="H1514" t="s">
        <v>58</v>
      </c>
      <c r="M1514">
        <v>0</v>
      </c>
      <c r="N1514">
        <v>0</v>
      </c>
      <c r="O1514">
        <v>0</v>
      </c>
      <c r="R1514" t="str">
        <f t="shared" si="46"/>
        <v>yes</v>
      </c>
      <c r="S1514" t="str">
        <f t="shared" si="47"/>
        <v>no</v>
      </c>
    </row>
    <row r="1515" spans="1:19" x14ac:dyDescent="0.35">
      <c r="A1515" s="1">
        <v>1513</v>
      </c>
      <c r="B1515" t="s">
        <v>829</v>
      </c>
      <c r="C1515" t="s">
        <v>253</v>
      </c>
      <c r="D1515" t="s">
        <v>403</v>
      </c>
      <c r="E1515">
        <v>3.994340740740741</v>
      </c>
      <c r="F1515">
        <v>6.1556924987129253</v>
      </c>
      <c r="G1515">
        <v>27</v>
      </c>
      <c r="H1515" t="s">
        <v>58</v>
      </c>
      <c r="M1515">
        <v>16.30572573816659</v>
      </c>
      <c r="N1515">
        <v>-8.3170442566851097</v>
      </c>
      <c r="O1515">
        <v>24.622769994851701</v>
      </c>
      <c r="P1515">
        <v>0.64888568452305007</v>
      </c>
      <c r="R1515" t="str">
        <f t="shared" si="46"/>
        <v>yes</v>
      </c>
      <c r="S1515" t="str">
        <f t="shared" si="47"/>
        <v>no</v>
      </c>
    </row>
    <row r="1516" spans="1:19" x14ac:dyDescent="0.35">
      <c r="A1516" s="1">
        <v>1514</v>
      </c>
      <c r="B1516" t="s">
        <v>829</v>
      </c>
      <c r="C1516" t="s">
        <v>253</v>
      </c>
      <c r="D1516" t="s">
        <v>404</v>
      </c>
      <c r="E1516">
        <v>0</v>
      </c>
      <c r="F1516">
        <v>0</v>
      </c>
      <c r="G1516">
        <v>27</v>
      </c>
      <c r="H1516" t="s">
        <v>58</v>
      </c>
      <c r="M1516">
        <v>0</v>
      </c>
      <c r="N1516">
        <v>0</v>
      </c>
      <c r="O1516">
        <v>0</v>
      </c>
      <c r="R1516" t="str">
        <f t="shared" si="46"/>
        <v>yes</v>
      </c>
      <c r="S1516" t="str">
        <f t="shared" si="47"/>
        <v>no</v>
      </c>
    </row>
    <row r="1517" spans="1:19" x14ac:dyDescent="0.35">
      <c r="A1517" s="1">
        <v>1515</v>
      </c>
      <c r="B1517" t="s">
        <v>829</v>
      </c>
      <c r="C1517" t="s">
        <v>253</v>
      </c>
      <c r="D1517" t="s">
        <v>405</v>
      </c>
      <c r="E1517">
        <v>11.741899999999999</v>
      </c>
      <c r="F1517">
        <v>18.304691535596369</v>
      </c>
      <c r="G1517">
        <v>27</v>
      </c>
      <c r="H1517" t="s">
        <v>58</v>
      </c>
      <c r="M1517">
        <v>48.351283071192739</v>
      </c>
      <c r="N1517">
        <v>-24.867483071192741</v>
      </c>
      <c r="O1517">
        <v>73.218766142385476</v>
      </c>
      <c r="P1517">
        <v>0.64146942750529379</v>
      </c>
      <c r="R1517" t="str">
        <f t="shared" si="46"/>
        <v>yes</v>
      </c>
      <c r="S1517" t="str">
        <f t="shared" si="47"/>
        <v>no</v>
      </c>
    </row>
    <row r="1518" spans="1:19" x14ac:dyDescent="0.35">
      <c r="A1518" s="1">
        <v>1516</v>
      </c>
      <c r="B1518" t="s">
        <v>829</v>
      </c>
      <c r="C1518" t="s">
        <v>253</v>
      </c>
      <c r="D1518" t="s">
        <v>406</v>
      </c>
      <c r="E1518">
        <v>0</v>
      </c>
      <c r="F1518">
        <v>0</v>
      </c>
      <c r="G1518">
        <v>27</v>
      </c>
      <c r="H1518" t="s">
        <v>58</v>
      </c>
      <c r="M1518">
        <v>0</v>
      </c>
      <c r="N1518">
        <v>0</v>
      </c>
      <c r="O1518">
        <v>0</v>
      </c>
      <c r="R1518" t="str">
        <f t="shared" si="46"/>
        <v>yes</v>
      </c>
      <c r="S1518" t="str">
        <f t="shared" si="47"/>
        <v>no</v>
      </c>
    </row>
    <row r="1519" spans="1:19" x14ac:dyDescent="0.35">
      <c r="A1519" s="1">
        <v>1517</v>
      </c>
      <c r="B1519" t="s">
        <v>829</v>
      </c>
      <c r="C1519" t="s">
        <v>253</v>
      </c>
      <c r="D1519" t="s">
        <v>407</v>
      </c>
      <c r="E1519">
        <v>2.9957555555555562</v>
      </c>
      <c r="F1519">
        <v>5.6045454517067581</v>
      </c>
      <c r="G1519">
        <v>27</v>
      </c>
      <c r="H1519" t="s">
        <v>58</v>
      </c>
      <c r="M1519">
        <v>14.204846458969071</v>
      </c>
      <c r="N1519">
        <v>-8.21333534785796</v>
      </c>
      <c r="O1519">
        <v>22.418181806827029</v>
      </c>
      <c r="P1519">
        <v>0.5345224838248489</v>
      </c>
      <c r="R1519" t="str">
        <f t="shared" si="46"/>
        <v>yes</v>
      </c>
      <c r="S1519" t="str">
        <f t="shared" si="47"/>
        <v>no</v>
      </c>
    </row>
    <row r="1520" spans="1:19" x14ac:dyDescent="0.35">
      <c r="A1520" s="1">
        <v>1518</v>
      </c>
      <c r="B1520" t="s">
        <v>829</v>
      </c>
      <c r="C1520" t="s">
        <v>253</v>
      </c>
      <c r="D1520" t="s">
        <v>408</v>
      </c>
      <c r="E1520">
        <v>0</v>
      </c>
      <c r="F1520">
        <v>0</v>
      </c>
      <c r="G1520">
        <v>27</v>
      </c>
      <c r="H1520" t="s">
        <v>58</v>
      </c>
      <c r="M1520">
        <v>0</v>
      </c>
      <c r="N1520">
        <v>0</v>
      </c>
      <c r="O1520">
        <v>0</v>
      </c>
      <c r="R1520" t="str">
        <f t="shared" si="46"/>
        <v>yes</v>
      </c>
      <c r="S1520" t="str">
        <f t="shared" si="47"/>
        <v>no</v>
      </c>
    </row>
    <row r="1521" spans="1:19" x14ac:dyDescent="0.35">
      <c r="A1521" s="1">
        <v>1519</v>
      </c>
      <c r="B1521" t="s">
        <v>829</v>
      </c>
      <c r="C1521" t="s">
        <v>253</v>
      </c>
      <c r="D1521" t="s">
        <v>409</v>
      </c>
      <c r="E1521">
        <v>8.7798037037037027</v>
      </c>
      <c r="F1521">
        <v>16.487905752769471</v>
      </c>
      <c r="G1521">
        <v>27</v>
      </c>
      <c r="H1521" t="s">
        <v>58</v>
      </c>
      <c r="M1521">
        <v>41.755615209242649</v>
      </c>
      <c r="N1521">
        <v>-24.19600780183524</v>
      </c>
      <c r="O1521">
        <v>65.951623011077885</v>
      </c>
      <c r="P1521">
        <v>0.53249962944681195</v>
      </c>
      <c r="R1521" t="str">
        <f t="shared" si="46"/>
        <v>yes</v>
      </c>
      <c r="S1521" t="str">
        <f t="shared" si="47"/>
        <v>no</v>
      </c>
    </row>
    <row r="1522" spans="1:19" x14ac:dyDescent="0.35">
      <c r="A1522" s="1">
        <v>1520</v>
      </c>
      <c r="B1522" t="s">
        <v>829</v>
      </c>
      <c r="C1522" t="s">
        <v>253</v>
      </c>
      <c r="D1522" t="s">
        <v>410</v>
      </c>
      <c r="E1522">
        <v>0</v>
      </c>
      <c r="F1522">
        <v>0</v>
      </c>
      <c r="G1522">
        <v>27</v>
      </c>
      <c r="H1522" t="s">
        <v>58</v>
      </c>
      <c r="M1522">
        <v>0</v>
      </c>
      <c r="N1522">
        <v>0</v>
      </c>
      <c r="O1522">
        <v>0</v>
      </c>
      <c r="R1522" t="str">
        <f t="shared" si="46"/>
        <v>yes</v>
      </c>
      <c r="S1522" t="str">
        <f t="shared" si="47"/>
        <v>no</v>
      </c>
    </row>
    <row r="1523" spans="1:19" x14ac:dyDescent="0.35">
      <c r="A1523" s="1">
        <v>1521</v>
      </c>
      <c r="B1523" t="s">
        <v>829</v>
      </c>
      <c r="C1523" t="s">
        <v>253</v>
      </c>
      <c r="D1523" t="s">
        <v>411</v>
      </c>
      <c r="E1523">
        <v>3.994340740740741</v>
      </c>
      <c r="F1523">
        <v>6.1556924987129253</v>
      </c>
      <c r="G1523">
        <v>27</v>
      </c>
      <c r="H1523" t="s">
        <v>58</v>
      </c>
      <c r="M1523">
        <v>16.30572573816659</v>
      </c>
      <c r="N1523">
        <v>-8.3170442566851097</v>
      </c>
      <c r="O1523">
        <v>24.622769994851701</v>
      </c>
      <c r="P1523">
        <v>0.64888568452305007</v>
      </c>
      <c r="R1523" t="str">
        <f t="shared" si="46"/>
        <v>yes</v>
      </c>
      <c r="S1523" t="str">
        <f t="shared" si="47"/>
        <v>no</v>
      </c>
    </row>
    <row r="1524" spans="1:19" x14ac:dyDescent="0.35">
      <c r="A1524" s="1">
        <v>1522</v>
      </c>
      <c r="B1524" t="s">
        <v>829</v>
      </c>
      <c r="C1524" t="s">
        <v>253</v>
      </c>
      <c r="D1524" t="s">
        <v>412</v>
      </c>
      <c r="E1524">
        <v>0</v>
      </c>
      <c r="F1524">
        <v>0</v>
      </c>
      <c r="G1524">
        <v>27</v>
      </c>
      <c r="H1524" t="s">
        <v>58</v>
      </c>
      <c r="M1524">
        <v>0</v>
      </c>
      <c r="N1524">
        <v>0</v>
      </c>
      <c r="O1524">
        <v>0</v>
      </c>
      <c r="R1524" t="str">
        <f t="shared" si="46"/>
        <v>yes</v>
      </c>
      <c r="S1524" t="str">
        <f t="shared" si="47"/>
        <v>no</v>
      </c>
    </row>
    <row r="1525" spans="1:19" x14ac:dyDescent="0.35">
      <c r="A1525" s="1">
        <v>1523</v>
      </c>
      <c r="B1525" t="s">
        <v>829</v>
      </c>
      <c r="C1525" t="s">
        <v>253</v>
      </c>
      <c r="D1525" t="s">
        <v>413</v>
      </c>
      <c r="E1525">
        <v>10.677074074074071</v>
      </c>
      <c r="F1525">
        <v>16.592277851226179</v>
      </c>
      <c r="G1525">
        <v>27</v>
      </c>
      <c r="H1525" t="s">
        <v>58</v>
      </c>
      <c r="M1525">
        <v>43.861629776526428</v>
      </c>
      <c r="N1525">
        <v>-22.50748162837829</v>
      </c>
      <c r="O1525">
        <v>66.369111404904714</v>
      </c>
      <c r="P1525">
        <v>0.64349658135004228</v>
      </c>
      <c r="R1525" t="str">
        <f t="shared" si="46"/>
        <v>yes</v>
      </c>
      <c r="S1525" t="str">
        <f t="shared" si="47"/>
        <v>no</v>
      </c>
    </row>
    <row r="1526" spans="1:19" x14ac:dyDescent="0.35">
      <c r="A1526" s="1">
        <v>1524</v>
      </c>
      <c r="B1526" t="s">
        <v>829</v>
      </c>
      <c r="C1526" t="s">
        <v>253</v>
      </c>
      <c r="D1526" t="s">
        <v>414</v>
      </c>
      <c r="E1526">
        <v>0</v>
      </c>
      <c r="F1526">
        <v>0</v>
      </c>
      <c r="G1526">
        <v>27</v>
      </c>
      <c r="H1526" t="s">
        <v>58</v>
      </c>
      <c r="M1526">
        <v>0</v>
      </c>
      <c r="N1526">
        <v>0</v>
      </c>
      <c r="O1526">
        <v>0</v>
      </c>
      <c r="R1526" t="str">
        <f t="shared" si="46"/>
        <v>yes</v>
      </c>
      <c r="S1526" t="str">
        <f t="shared" si="47"/>
        <v>no</v>
      </c>
    </row>
    <row r="1527" spans="1:19" x14ac:dyDescent="0.35">
      <c r="A1527" s="1">
        <v>1525</v>
      </c>
      <c r="B1527" t="s">
        <v>829</v>
      </c>
      <c r="C1527" t="s">
        <v>253</v>
      </c>
      <c r="D1527" t="s">
        <v>415</v>
      </c>
      <c r="E1527">
        <v>2.9957555555555562</v>
      </c>
      <c r="F1527">
        <v>5.6045454517067581</v>
      </c>
      <c r="G1527">
        <v>27</v>
      </c>
      <c r="H1527" t="s">
        <v>58</v>
      </c>
      <c r="M1527">
        <v>14.204846458969071</v>
      </c>
      <c r="N1527">
        <v>-8.21333534785796</v>
      </c>
      <c r="O1527">
        <v>22.418181806827029</v>
      </c>
      <c r="P1527">
        <v>0.5345224838248489</v>
      </c>
      <c r="R1527" t="str">
        <f t="shared" si="46"/>
        <v>yes</v>
      </c>
      <c r="S1527" t="str">
        <f t="shared" si="47"/>
        <v>no</v>
      </c>
    </row>
    <row r="1528" spans="1:19" x14ac:dyDescent="0.35">
      <c r="A1528" s="1">
        <v>1526</v>
      </c>
      <c r="B1528" t="s">
        <v>829</v>
      </c>
      <c r="C1528" t="s">
        <v>253</v>
      </c>
      <c r="D1528" t="s">
        <v>416</v>
      </c>
      <c r="E1528">
        <v>0</v>
      </c>
      <c r="F1528">
        <v>0</v>
      </c>
      <c r="G1528">
        <v>27</v>
      </c>
      <c r="H1528" t="s">
        <v>58</v>
      </c>
      <c r="M1528">
        <v>0</v>
      </c>
      <c r="N1528">
        <v>0</v>
      </c>
      <c r="O1528">
        <v>0</v>
      </c>
      <c r="R1528" t="str">
        <f t="shared" si="46"/>
        <v>yes</v>
      </c>
      <c r="S1528" t="str">
        <f t="shared" si="47"/>
        <v>no</v>
      </c>
    </row>
    <row r="1529" spans="1:19" x14ac:dyDescent="0.35">
      <c r="A1529" s="1">
        <v>1527</v>
      </c>
      <c r="B1529" t="s">
        <v>829</v>
      </c>
      <c r="C1529" t="s">
        <v>253</v>
      </c>
      <c r="D1529" t="s">
        <v>417</v>
      </c>
      <c r="E1529">
        <v>8.5490925925925918</v>
      </c>
      <c r="F1529">
        <v>16.06850619618956</v>
      </c>
      <c r="G1529">
        <v>27</v>
      </c>
      <c r="H1529" t="s">
        <v>58</v>
      </c>
      <c r="M1529">
        <v>40.686104984971713</v>
      </c>
      <c r="N1529">
        <v>-23.58791979978653</v>
      </c>
      <c r="O1529">
        <v>64.27402478475824</v>
      </c>
      <c r="P1529">
        <v>0.53204028353425281</v>
      </c>
      <c r="R1529" t="str">
        <f t="shared" si="46"/>
        <v>yes</v>
      </c>
      <c r="S1529" t="str">
        <f t="shared" si="47"/>
        <v>no</v>
      </c>
    </row>
    <row r="1530" spans="1:19" x14ac:dyDescent="0.35">
      <c r="A1530" s="1">
        <v>1528</v>
      </c>
      <c r="B1530" t="s">
        <v>829</v>
      </c>
      <c r="C1530" t="s">
        <v>253</v>
      </c>
      <c r="D1530" t="s">
        <v>418</v>
      </c>
      <c r="E1530">
        <v>0</v>
      </c>
      <c r="F1530">
        <v>0</v>
      </c>
      <c r="G1530">
        <v>27</v>
      </c>
      <c r="H1530" t="s">
        <v>58</v>
      </c>
      <c r="M1530">
        <v>0</v>
      </c>
      <c r="N1530">
        <v>0</v>
      </c>
      <c r="O1530">
        <v>0</v>
      </c>
      <c r="R1530" t="str">
        <f t="shared" si="46"/>
        <v>yes</v>
      </c>
      <c r="S1530" t="str">
        <f t="shared" si="47"/>
        <v>no</v>
      </c>
    </row>
    <row r="1531" spans="1:19" x14ac:dyDescent="0.35">
      <c r="A1531" s="1">
        <v>1529</v>
      </c>
      <c r="B1531" t="s">
        <v>829</v>
      </c>
      <c r="C1531" t="s">
        <v>253</v>
      </c>
      <c r="D1531" t="s">
        <v>419</v>
      </c>
      <c r="E1531">
        <v>3.994340740740741</v>
      </c>
      <c r="F1531">
        <v>6.1556924987129253</v>
      </c>
      <c r="G1531">
        <v>27</v>
      </c>
      <c r="H1531" t="s">
        <v>58</v>
      </c>
      <c r="M1531">
        <v>16.30572573816659</v>
      </c>
      <c r="N1531">
        <v>-8.3170442566851097</v>
      </c>
      <c r="O1531">
        <v>24.622769994851701</v>
      </c>
      <c r="P1531">
        <v>0.64888568452305007</v>
      </c>
      <c r="R1531" t="str">
        <f t="shared" si="46"/>
        <v>yes</v>
      </c>
      <c r="S1531" t="str">
        <f t="shared" si="47"/>
        <v>no</v>
      </c>
    </row>
    <row r="1532" spans="1:19" x14ac:dyDescent="0.35">
      <c r="A1532" s="1">
        <v>1530</v>
      </c>
      <c r="B1532" t="s">
        <v>829</v>
      </c>
      <c r="C1532" t="s">
        <v>253</v>
      </c>
      <c r="D1532" t="s">
        <v>420</v>
      </c>
      <c r="E1532">
        <v>0</v>
      </c>
      <c r="F1532">
        <v>0</v>
      </c>
      <c r="G1532">
        <v>27</v>
      </c>
      <c r="H1532" t="s">
        <v>58</v>
      </c>
      <c r="M1532">
        <v>0</v>
      </c>
      <c r="N1532">
        <v>0</v>
      </c>
      <c r="O1532">
        <v>0</v>
      </c>
      <c r="R1532" t="str">
        <f t="shared" si="46"/>
        <v>yes</v>
      </c>
      <c r="S1532" t="str">
        <f t="shared" si="47"/>
        <v>no</v>
      </c>
    </row>
    <row r="1533" spans="1:19" x14ac:dyDescent="0.35">
      <c r="A1533" s="1">
        <v>1531</v>
      </c>
      <c r="B1533" t="s">
        <v>829</v>
      </c>
      <c r="C1533" t="s">
        <v>253</v>
      </c>
      <c r="D1533" t="s">
        <v>421</v>
      </c>
      <c r="E1533">
        <v>11.03201111111111</v>
      </c>
      <c r="F1533">
        <v>17.261456997671701</v>
      </c>
      <c r="G1533">
        <v>27</v>
      </c>
      <c r="H1533" t="s">
        <v>58</v>
      </c>
      <c r="M1533">
        <v>45.554925106454512</v>
      </c>
      <c r="N1533">
        <v>-23.490902884232291</v>
      </c>
      <c r="O1533">
        <v>69.045827990686803</v>
      </c>
      <c r="P1533">
        <v>0.63911239431289923</v>
      </c>
      <c r="R1533" t="str">
        <f t="shared" si="46"/>
        <v>yes</v>
      </c>
      <c r="S1533" t="str">
        <f t="shared" si="47"/>
        <v>no</v>
      </c>
    </row>
    <row r="1534" spans="1:19" x14ac:dyDescent="0.35">
      <c r="A1534" s="1">
        <v>1532</v>
      </c>
      <c r="B1534" t="s">
        <v>829</v>
      </c>
      <c r="C1534" t="s">
        <v>253</v>
      </c>
      <c r="D1534" t="s">
        <v>422</v>
      </c>
      <c r="E1534">
        <v>32.114281481481477</v>
      </c>
      <c r="F1534">
        <v>67.462804825918894</v>
      </c>
      <c r="G1534">
        <v>27</v>
      </c>
      <c r="H1534" t="s">
        <v>58</v>
      </c>
      <c r="M1534">
        <v>167.03989113331929</v>
      </c>
      <c r="N1534">
        <v>-102.8113281703563</v>
      </c>
      <c r="O1534">
        <v>269.85121930367558</v>
      </c>
      <c r="P1534">
        <v>0.47602944414109682</v>
      </c>
      <c r="R1534" t="str">
        <f t="shared" si="46"/>
        <v>yes</v>
      </c>
      <c r="S1534" t="str">
        <f t="shared" si="47"/>
        <v>no</v>
      </c>
    </row>
    <row r="1535" spans="1:19" x14ac:dyDescent="0.35">
      <c r="A1535" s="1">
        <v>1533</v>
      </c>
      <c r="B1535" t="s">
        <v>829</v>
      </c>
      <c r="C1535" t="s">
        <v>253</v>
      </c>
      <c r="D1535" t="s">
        <v>423</v>
      </c>
      <c r="E1535">
        <v>0</v>
      </c>
      <c r="F1535">
        <v>0</v>
      </c>
      <c r="G1535">
        <v>27</v>
      </c>
      <c r="H1535" t="s">
        <v>58</v>
      </c>
      <c r="M1535">
        <v>0</v>
      </c>
      <c r="N1535">
        <v>0</v>
      </c>
      <c r="O1535">
        <v>0</v>
      </c>
      <c r="R1535" t="str">
        <f t="shared" si="46"/>
        <v>yes</v>
      </c>
      <c r="S1535" t="str">
        <f t="shared" si="47"/>
        <v>no</v>
      </c>
    </row>
    <row r="1536" spans="1:19" x14ac:dyDescent="0.35">
      <c r="A1536" s="1">
        <v>1534</v>
      </c>
      <c r="B1536" t="s">
        <v>829</v>
      </c>
      <c r="C1536" t="s">
        <v>253</v>
      </c>
      <c r="D1536" t="s">
        <v>424</v>
      </c>
      <c r="E1536">
        <v>0</v>
      </c>
      <c r="F1536">
        <v>0</v>
      </c>
      <c r="G1536">
        <v>27</v>
      </c>
      <c r="H1536" t="s">
        <v>58</v>
      </c>
      <c r="M1536">
        <v>0</v>
      </c>
      <c r="N1536">
        <v>0</v>
      </c>
      <c r="O1536">
        <v>0</v>
      </c>
      <c r="R1536" t="str">
        <f t="shared" si="46"/>
        <v>yes</v>
      </c>
      <c r="S1536" t="str">
        <f t="shared" si="47"/>
        <v>no</v>
      </c>
    </row>
    <row r="1537" spans="1:19" x14ac:dyDescent="0.35">
      <c r="A1537" s="1">
        <v>1535</v>
      </c>
      <c r="B1537" t="s">
        <v>829</v>
      </c>
      <c r="C1537" t="s">
        <v>253</v>
      </c>
      <c r="D1537" t="s">
        <v>425</v>
      </c>
      <c r="E1537">
        <v>7.4851037037037029</v>
      </c>
      <c r="F1537">
        <v>15.727187340292369</v>
      </c>
      <c r="G1537">
        <v>27</v>
      </c>
      <c r="H1537" t="s">
        <v>58</v>
      </c>
      <c r="M1537">
        <v>38.939478384288442</v>
      </c>
      <c r="N1537">
        <v>-23.969270976881031</v>
      </c>
      <c r="O1537">
        <v>62.908749361169477</v>
      </c>
      <c r="P1537">
        <v>0.47593403332375861</v>
      </c>
      <c r="R1537" t="str">
        <f t="shared" si="46"/>
        <v>yes</v>
      </c>
      <c r="S1537" t="str">
        <f t="shared" si="47"/>
        <v>no</v>
      </c>
    </row>
    <row r="1538" spans="1:19" x14ac:dyDescent="0.35">
      <c r="A1538" s="1">
        <v>1536</v>
      </c>
      <c r="B1538" t="s">
        <v>829</v>
      </c>
      <c r="C1538" t="s">
        <v>253</v>
      </c>
      <c r="D1538" t="s">
        <v>426</v>
      </c>
      <c r="E1538">
        <v>25.414029629629631</v>
      </c>
      <c r="F1538">
        <v>55.535888688712333</v>
      </c>
      <c r="G1538">
        <v>27</v>
      </c>
      <c r="H1538" t="s">
        <v>58</v>
      </c>
      <c r="M1538">
        <v>136.48580700705429</v>
      </c>
      <c r="N1538">
        <v>-85.657747747795042</v>
      </c>
      <c r="O1538">
        <v>222.1435547548493</v>
      </c>
      <c r="P1538">
        <v>0.4576145305260062</v>
      </c>
      <c r="R1538" t="str">
        <f t="shared" si="46"/>
        <v>yes</v>
      </c>
      <c r="S1538" t="str">
        <f t="shared" si="47"/>
        <v>no</v>
      </c>
    </row>
    <row r="1539" spans="1:19" x14ac:dyDescent="0.35">
      <c r="A1539" s="1">
        <v>1537</v>
      </c>
      <c r="B1539" t="s">
        <v>829</v>
      </c>
      <c r="C1539" t="s">
        <v>253</v>
      </c>
      <c r="D1539" t="s">
        <v>427</v>
      </c>
      <c r="E1539">
        <v>0</v>
      </c>
      <c r="F1539">
        <v>0</v>
      </c>
      <c r="G1539">
        <v>27</v>
      </c>
      <c r="H1539" t="s">
        <v>58</v>
      </c>
      <c r="M1539">
        <v>0</v>
      </c>
      <c r="N1539">
        <v>0</v>
      </c>
      <c r="O1539">
        <v>0</v>
      </c>
      <c r="R1539" t="str">
        <f t="shared" ref="R1539:R1602" si="48">IF(H1539="yes","yes","no")</f>
        <v>yes</v>
      </c>
      <c r="S1539" t="str">
        <f t="shared" ref="S1539:S1602" si="49">IF(I1539,"yes","no")</f>
        <v>no</v>
      </c>
    </row>
    <row r="1540" spans="1:19" x14ac:dyDescent="0.35">
      <c r="A1540" s="1">
        <v>1538</v>
      </c>
      <c r="B1540" t="s">
        <v>829</v>
      </c>
      <c r="C1540" t="s">
        <v>253</v>
      </c>
      <c r="D1540" t="s">
        <v>428</v>
      </c>
      <c r="E1540">
        <v>0</v>
      </c>
      <c r="F1540">
        <v>0</v>
      </c>
      <c r="G1540">
        <v>27</v>
      </c>
      <c r="H1540" t="s">
        <v>58</v>
      </c>
      <c r="M1540">
        <v>0</v>
      </c>
      <c r="N1540">
        <v>0</v>
      </c>
      <c r="O1540">
        <v>0</v>
      </c>
      <c r="R1540" t="str">
        <f t="shared" si="48"/>
        <v>yes</v>
      </c>
      <c r="S1540" t="str">
        <f t="shared" si="49"/>
        <v>no</v>
      </c>
    </row>
    <row r="1541" spans="1:19" x14ac:dyDescent="0.35">
      <c r="A1541" s="1">
        <v>1539</v>
      </c>
      <c r="B1541" t="s">
        <v>829</v>
      </c>
      <c r="C1541" t="s">
        <v>253</v>
      </c>
      <c r="D1541" t="s">
        <v>429</v>
      </c>
      <c r="E1541">
        <v>7.2721370370370364</v>
      </c>
      <c r="F1541">
        <v>15.31924980063266</v>
      </c>
      <c r="G1541">
        <v>27</v>
      </c>
      <c r="H1541" t="s">
        <v>58</v>
      </c>
      <c r="M1541">
        <v>37.910636638302357</v>
      </c>
      <c r="N1541">
        <v>-23.366362564228279</v>
      </c>
      <c r="O1541">
        <v>61.276999202530639</v>
      </c>
      <c r="P1541">
        <v>0.47470581991141042</v>
      </c>
      <c r="R1541" t="str">
        <f t="shared" si="48"/>
        <v>yes</v>
      </c>
      <c r="S1541" t="str">
        <f t="shared" si="49"/>
        <v>no</v>
      </c>
    </row>
    <row r="1542" spans="1:19" x14ac:dyDescent="0.35">
      <c r="A1542" s="1">
        <v>1540</v>
      </c>
      <c r="B1542" t="s">
        <v>829</v>
      </c>
      <c r="C1542" t="s">
        <v>253</v>
      </c>
      <c r="D1542" t="s">
        <v>430</v>
      </c>
      <c r="E1542">
        <v>32.700833333333343</v>
      </c>
      <c r="F1542">
        <v>68.610256696610676</v>
      </c>
      <c r="G1542">
        <v>27</v>
      </c>
      <c r="H1542" t="s">
        <v>58</v>
      </c>
      <c r="M1542">
        <v>169.9213467265547</v>
      </c>
      <c r="N1542">
        <v>-104.519680059888</v>
      </c>
      <c r="O1542">
        <v>274.44102678644271</v>
      </c>
      <c r="P1542">
        <v>0.47661727134958748</v>
      </c>
      <c r="R1542" t="str">
        <f t="shared" si="48"/>
        <v>yes</v>
      </c>
      <c r="S1542" t="str">
        <f t="shared" si="49"/>
        <v>no</v>
      </c>
    </row>
    <row r="1543" spans="1:19" x14ac:dyDescent="0.35">
      <c r="A1543" s="1">
        <v>1541</v>
      </c>
      <c r="B1543" t="s">
        <v>829</v>
      </c>
      <c r="C1543" t="s">
        <v>253</v>
      </c>
      <c r="D1543" t="s">
        <v>431</v>
      </c>
      <c r="E1543">
        <v>0</v>
      </c>
      <c r="F1543">
        <v>0</v>
      </c>
      <c r="G1543">
        <v>27</v>
      </c>
      <c r="H1543" t="s">
        <v>58</v>
      </c>
      <c r="M1543">
        <v>0</v>
      </c>
      <c r="N1543">
        <v>0</v>
      </c>
      <c r="O1543">
        <v>0</v>
      </c>
      <c r="R1543" t="str">
        <f t="shared" si="48"/>
        <v>yes</v>
      </c>
      <c r="S1543" t="str">
        <f t="shared" si="49"/>
        <v>no</v>
      </c>
    </row>
    <row r="1544" spans="1:19" x14ac:dyDescent="0.35">
      <c r="A1544" s="1">
        <v>1542</v>
      </c>
      <c r="B1544" t="s">
        <v>829</v>
      </c>
      <c r="C1544" t="s">
        <v>253</v>
      </c>
      <c r="D1544" t="s">
        <v>432</v>
      </c>
      <c r="E1544">
        <v>0</v>
      </c>
      <c r="F1544">
        <v>0</v>
      </c>
      <c r="G1544">
        <v>27</v>
      </c>
      <c r="H1544" t="s">
        <v>58</v>
      </c>
      <c r="M1544">
        <v>0</v>
      </c>
      <c r="N1544">
        <v>0</v>
      </c>
      <c r="O1544">
        <v>0</v>
      </c>
      <c r="R1544" t="str">
        <f t="shared" si="48"/>
        <v>yes</v>
      </c>
      <c r="S1544" t="str">
        <f t="shared" si="49"/>
        <v>no</v>
      </c>
    </row>
    <row r="1545" spans="1:19" x14ac:dyDescent="0.35">
      <c r="A1545" s="1">
        <v>1543</v>
      </c>
      <c r="B1545" t="s">
        <v>829</v>
      </c>
      <c r="C1545" t="s">
        <v>253</v>
      </c>
      <c r="D1545" t="s">
        <v>433</v>
      </c>
      <c r="E1545">
        <v>6.8284592592592581</v>
      </c>
      <c r="F1545">
        <v>14.355520737339759</v>
      </c>
      <c r="G1545">
        <v>27</v>
      </c>
      <c r="H1545" t="s">
        <v>58</v>
      </c>
      <c r="M1545">
        <v>35.53950073393878</v>
      </c>
      <c r="N1545">
        <v>-21.88258221542026</v>
      </c>
      <c r="O1545">
        <v>57.422082949359037</v>
      </c>
      <c r="P1545">
        <v>0.47566782035972649</v>
      </c>
      <c r="R1545" t="str">
        <f t="shared" si="48"/>
        <v>yes</v>
      </c>
      <c r="S1545" t="str">
        <f t="shared" si="49"/>
        <v>no</v>
      </c>
    </row>
    <row r="1546" spans="1:19" x14ac:dyDescent="0.35">
      <c r="A1546" s="1">
        <v>1544</v>
      </c>
      <c r="B1546" t="s">
        <v>829</v>
      </c>
      <c r="C1546" t="s">
        <v>253</v>
      </c>
      <c r="D1546" t="s">
        <v>434</v>
      </c>
      <c r="E1546">
        <v>26.26453703703703</v>
      </c>
      <c r="F1546">
        <v>58.666581163278259</v>
      </c>
      <c r="G1546">
        <v>27</v>
      </c>
      <c r="H1546" t="s">
        <v>58</v>
      </c>
      <c r="M1546">
        <v>143.59769936359359</v>
      </c>
      <c r="N1546">
        <v>-91.068625289519488</v>
      </c>
      <c r="O1546">
        <v>234.66632465311309</v>
      </c>
      <c r="P1546">
        <v>0.44769162470774843</v>
      </c>
      <c r="R1546" t="str">
        <f t="shared" si="48"/>
        <v>yes</v>
      </c>
      <c r="S1546" t="str">
        <f t="shared" si="49"/>
        <v>no</v>
      </c>
    </row>
    <row r="1547" spans="1:19" x14ac:dyDescent="0.35">
      <c r="A1547" s="1">
        <v>1545</v>
      </c>
      <c r="B1547" t="s">
        <v>829</v>
      </c>
      <c r="C1547" t="s">
        <v>253</v>
      </c>
      <c r="D1547" t="s">
        <v>435</v>
      </c>
      <c r="E1547">
        <v>0</v>
      </c>
      <c r="F1547">
        <v>0</v>
      </c>
      <c r="G1547">
        <v>27</v>
      </c>
      <c r="H1547" t="s">
        <v>58</v>
      </c>
      <c r="M1547">
        <v>0</v>
      </c>
      <c r="N1547">
        <v>0</v>
      </c>
      <c r="O1547">
        <v>0</v>
      </c>
      <c r="R1547" t="str">
        <f t="shared" si="48"/>
        <v>yes</v>
      </c>
      <c r="S1547" t="str">
        <f t="shared" si="49"/>
        <v>no</v>
      </c>
    </row>
    <row r="1548" spans="1:19" x14ac:dyDescent="0.35">
      <c r="A1548" s="1">
        <v>1546</v>
      </c>
      <c r="B1548" t="s">
        <v>829</v>
      </c>
      <c r="C1548" t="s">
        <v>253</v>
      </c>
      <c r="D1548" t="s">
        <v>436</v>
      </c>
      <c r="E1548">
        <v>0</v>
      </c>
      <c r="F1548">
        <v>0</v>
      </c>
      <c r="G1548">
        <v>27</v>
      </c>
      <c r="H1548" t="s">
        <v>58</v>
      </c>
      <c r="M1548">
        <v>0</v>
      </c>
      <c r="N1548">
        <v>0</v>
      </c>
      <c r="O1548">
        <v>0</v>
      </c>
      <c r="R1548" t="str">
        <f t="shared" si="48"/>
        <v>yes</v>
      </c>
      <c r="S1548" t="str">
        <f t="shared" si="49"/>
        <v>no</v>
      </c>
    </row>
    <row r="1549" spans="1:19" x14ac:dyDescent="0.35">
      <c r="A1549" s="1">
        <v>1547</v>
      </c>
      <c r="B1549" t="s">
        <v>829</v>
      </c>
      <c r="C1549" t="s">
        <v>253</v>
      </c>
      <c r="D1549" t="s">
        <v>437</v>
      </c>
      <c r="E1549">
        <v>6.8462037037037033</v>
      </c>
      <c r="F1549">
        <v>14.37989097100999</v>
      </c>
      <c r="G1549">
        <v>27</v>
      </c>
      <c r="H1549" t="s">
        <v>58</v>
      </c>
      <c r="M1549">
        <v>35.605985645723678</v>
      </c>
      <c r="N1549">
        <v>-21.91357823831628</v>
      </c>
      <c r="O1549">
        <v>57.519563884039961</v>
      </c>
      <c r="P1549">
        <v>0.47609566146959809</v>
      </c>
      <c r="R1549" t="str">
        <f t="shared" si="48"/>
        <v>yes</v>
      </c>
      <c r="S1549" t="str">
        <f t="shared" si="49"/>
        <v>no</v>
      </c>
    </row>
    <row r="1550" spans="1:19" x14ac:dyDescent="0.35">
      <c r="A1550" s="1">
        <v>1548</v>
      </c>
      <c r="B1550" t="s">
        <v>829</v>
      </c>
      <c r="C1550" t="s">
        <v>253</v>
      </c>
      <c r="D1550" t="s">
        <v>438</v>
      </c>
      <c r="E1550">
        <v>33.348981481481481</v>
      </c>
      <c r="F1550">
        <v>69.953413710480604</v>
      </c>
      <c r="G1550">
        <v>27</v>
      </c>
      <c r="H1550" t="s">
        <v>58</v>
      </c>
      <c r="M1550">
        <v>173.25580890244271</v>
      </c>
      <c r="N1550">
        <v>-106.55784593947971</v>
      </c>
      <c r="O1550">
        <v>279.81365484192241</v>
      </c>
      <c r="P1550">
        <v>0.47673129462279618</v>
      </c>
      <c r="R1550" t="str">
        <f t="shared" si="48"/>
        <v>yes</v>
      </c>
      <c r="S1550" t="str">
        <f t="shared" si="49"/>
        <v>no</v>
      </c>
    </row>
    <row r="1551" spans="1:19" x14ac:dyDescent="0.35">
      <c r="A1551" s="1">
        <v>1549</v>
      </c>
      <c r="B1551" t="s">
        <v>829</v>
      </c>
      <c r="C1551" t="s">
        <v>253</v>
      </c>
      <c r="D1551" t="s">
        <v>439</v>
      </c>
      <c r="E1551">
        <v>0</v>
      </c>
      <c r="F1551">
        <v>0</v>
      </c>
      <c r="G1551">
        <v>27</v>
      </c>
      <c r="H1551" t="s">
        <v>58</v>
      </c>
      <c r="M1551">
        <v>0</v>
      </c>
      <c r="N1551">
        <v>0</v>
      </c>
      <c r="O1551">
        <v>0</v>
      </c>
      <c r="R1551" t="str">
        <f t="shared" si="48"/>
        <v>yes</v>
      </c>
      <c r="S1551" t="str">
        <f t="shared" si="49"/>
        <v>no</v>
      </c>
    </row>
    <row r="1552" spans="1:19" x14ac:dyDescent="0.35">
      <c r="A1552" s="1">
        <v>1550</v>
      </c>
      <c r="B1552" t="s">
        <v>829</v>
      </c>
      <c r="C1552" t="s">
        <v>253</v>
      </c>
      <c r="D1552" t="s">
        <v>440</v>
      </c>
      <c r="E1552">
        <v>0</v>
      </c>
      <c r="F1552">
        <v>0</v>
      </c>
      <c r="G1552">
        <v>27</v>
      </c>
      <c r="H1552" t="s">
        <v>58</v>
      </c>
      <c r="M1552">
        <v>0</v>
      </c>
      <c r="N1552">
        <v>0</v>
      </c>
      <c r="O1552">
        <v>0</v>
      </c>
      <c r="R1552" t="str">
        <f t="shared" si="48"/>
        <v>yes</v>
      </c>
      <c r="S1552" t="str">
        <f t="shared" si="49"/>
        <v>no</v>
      </c>
    </row>
    <row r="1553" spans="1:19" x14ac:dyDescent="0.35">
      <c r="A1553" s="1">
        <v>1551</v>
      </c>
      <c r="B1553" t="s">
        <v>829</v>
      </c>
      <c r="C1553" t="s">
        <v>253</v>
      </c>
      <c r="D1553" t="s">
        <v>441</v>
      </c>
      <c r="E1553">
        <v>6.7929629629629629</v>
      </c>
      <c r="F1553">
        <v>14.26728950543731</v>
      </c>
      <c r="G1553">
        <v>27</v>
      </c>
      <c r="H1553" t="s">
        <v>58</v>
      </c>
      <c r="M1553">
        <v>35.327541973837583</v>
      </c>
      <c r="N1553">
        <v>-21.741616047911659</v>
      </c>
      <c r="O1553">
        <v>57.069158021749239</v>
      </c>
      <c r="P1553">
        <v>0.47612147776030922</v>
      </c>
      <c r="R1553" t="str">
        <f t="shared" si="48"/>
        <v>yes</v>
      </c>
      <c r="S1553" t="str">
        <f t="shared" si="49"/>
        <v>no</v>
      </c>
    </row>
    <row r="1554" spans="1:19" x14ac:dyDescent="0.35">
      <c r="A1554" s="1">
        <v>1552</v>
      </c>
      <c r="B1554" t="s">
        <v>829</v>
      </c>
      <c r="C1554" t="s">
        <v>253</v>
      </c>
      <c r="D1554" t="s">
        <v>442</v>
      </c>
      <c r="E1554">
        <v>27.297862962962959</v>
      </c>
      <c r="F1554">
        <v>59.794251433147657</v>
      </c>
      <c r="G1554">
        <v>27</v>
      </c>
      <c r="H1554" t="s">
        <v>58</v>
      </c>
      <c r="M1554">
        <v>146.8863658292583</v>
      </c>
      <c r="N1554">
        <v>-92.290639903332362</v>
      </c>
      <c r="O1554">
        <v>239.1770057325906</v>
      </c>
      <c r="P1554">
        <v>0.45652988888878482</v>
      </c>
      <c r="R1554" t="str">
        <f t="shared" si="48"/>
        <v>yes</v>
      </c>
      <c r="S1554" t="str">
        <f t="shared" si="49"/>
        <v>no</v>
      </c>
    </row>
    <row r="1555" spans="1:19" x14ac:dyDescent="0.35">
      <c r="A1555" s="1">
        <v>1553</v>
      </c>
      <c r="B1555" t="s">
        <v>829</v>
      </c>
      <c r="C1555" t="s">
        <v>253</v>
      </c>
      <c r="D1555" t="s">
        <v>443</v>
      </c>
      <c r="E1555">
        <v>0</v>
      </c>
      <c r="F1555">
        <v>0</v>
      </c>
      <c r="G1555">
        <v>27</v>
      </c>
      <c r="H1555" t="s">
        <v>58</v>
      </c>
      <c r="M1555">
        <v>0</v>
      </c>
      <c r="N1555">
        <v>0</v>
      </c>
      <c r="O1555">
        <v>0</v>
      </c>
      <c r="R1555" t="str">
        <f t="shared" si="48"/>
        <v>yes</v>
      </c>
      <c r="S1555" t="str">
        <f t="shared" si="49"/>
        <v>no</v>
      </c>
    </row>
    <row r="1556" spans="1:19" x14ac:dyDescent="0.35">
      <c r="A1556" s="1">
        <v>1554</v>
      </c>
      <c r="B1556" t="s">
        <v>829</v>
      </c>
      <c r="C1556" t="s">
        <v>253</v>
      </c>
      <c r="D1556" t="s">
        <v>444</v>
      </c>
      <c r="E1556">
        <v>0</v>
      </c>
      <c r="F1556">
        <v>0</v>
      </c>
      <c r="G1556">
        <v>27</v>
      </c>
      <c r="H1556" t="s">
        <v>58</v>
      </c>
      <c r="M1556">
        <v>0</v>
      </c>
      <c r="N1556">
        <v>0</v>
      </c>
      <c r="O1556">
        <v>0</v>
      </c>
      <c r="R1556" t="str">
        <f t="shared" si="48"/>
        <v>yes</v>
      </c>
      <c r="S1556" t="str">
        <f t="shared" si="49"/>
        <v>no</v>
      </c>
    </row>
    <row r="1557" spans="1:19" x14ac:dyDescent="0.35">
      <c r="A1557" s="1">
        <v>1555</v>
      </c>
      <c r="B1557" t="s">
        <v>829</v>
      </c>
      <c r="C1557" t="s">
        <v>253</v>
      </c>
      <c r="D1557" t="s">
        <v>445</v>
      </c>
      <c r="E1557">
        <v>6.3670333333333327</v>
      </c>
      <c r="F1557">
        <v>13.381936920341539</v>
      </c>
      <c r="G1557">
        <v>27</v>
      </c>
      <c r="H1557" t="s">
        <v>58</v>
      </c>
      <c r="M1557">
        <v>33.130907174016407</v>
      </c>
      <c r="N1557">
        <v>-20.396840507349751</v>
      </c>
      <c r="O1557">
        <v>53.527747681366172</v>
      </c>
      <c r="P1557">
        <v>0.47579310612763148</v>
      </c>
      <c r="R1557" t="str">
        <f t="shared" si="48"/>
        <v>yes</v>
      </c>
      <c r="S1557" t="str">
        <f t="shared" si="49"/>
        <v>no</v>
      </c>
    </row>
    <row r="1558" spans="1:19" x14ac:dyDescent="0.35">
      <c r="A1558" s="1">
        <v>1556</v>
      </c>
      <c r="B1558" t="s">
        <v>829</v>
      </c>
      <c r="C1558" t="s">
        <v>253</v>
      </c>
      <c r="D1558" t="s">
        <v>446</v>
      </c>
      <c r="E1558">
        <v>0</v>
      </c>
      <c r="F1558">
        <v>0</v>
      </c>
      <c r="G1558">
        <v>27</v>
      </c>
      <c r="H1558" t="s">
        <v>58</v>
      </c>
      <c r="M1558">
        <v>0</v>
      </c>
      <c r="N1558">
        <v>0</v>
      </c>
      <c r="O1558">
        <v>0</v>
      </c>
      <c r="R1558" t="str">
        <f t="shared" si="48"/>
        <v>yes</v>
      </c>
      <c r="S1558" t="str">
        <f t="shared" si="49"/>
        <v>no</v>
      </c>
    </row>
    <row r="1559" spans="1:19" x14ac:dyDescent="0.35">
      <c r="A1559" s="1">
        <v>1557</v>
      </c>
      <c r="B1559" t="s">
        <v>829</v>
      </c>
      <c r="C1559" t="s">
        <v>253</v>
      </c>
      <c r="D1559" t="s">
        <v>447</v>
      </c>
      <c r="E1559">
        <v>2.9957555555555562</v>
      </c>
      <c r="F1559">
        <v>5.6045454517067581</v>
      </c>
      <c r="G1559">
        <v>27</v>
      </c>
      <c r="H1559" t="s">
        <v>58</v>
      </c>
      <c r="M1559">
        <v>14.204846458969071</v>
      </c>
      <c r="N1559">
        <v>-8.21333534785796</v>
      </c>
      <c r="O1559">
        <v>22.418181806827029</v>
      </c>
      <c r="P1559">
        <v>0.5345224838248489</v>
      </c>
      <c r="R1559" t="str">
        <f t="shared" si="48"/>
        <v>yes</v>
      </c>
      <c r="S1559" t="str">
        <f t="shared" si="49"/>
        <v>no</v>
      </c>
    </row>
    <row r="1560" spans="1:19" x14ac:dyDescent="0.35">
      <c r="A1560" s="1">
        <v>1558</v>
      </c>
      <c r="B1560" t="s">
        <v>829</v>
      </c>
      <c r="C1560" t="s">
        <v>253</v>
      </c>
      <c r="D1560" t="s">
        <v>448</v>
      </c>
      <c r="E1560">
        <v>0</v>
      </c>
      <c r="F1560">
        <v>0</v>
      </c>
      <c r="G1560">
        <v>27</v>
      </c>
      <c r="H1560" t="s">
        <v>58</v>
      </c>
      <c r="M1560">
        <v>0</v>
      </c>
      <c r="N1560">
        <v>0</v>
      </c>
      <c r="O1560">
        <v>0</v>
      </c>
      <c r="R1560" t="str">
        <f t="shared" si="48"/>
        <v>yes</v>
      </c>
      <c r="S1560" t="str">
        <f t="shared" si="49"/>
        <v>no</v>
      </c>
    </row>
    <row r="1561" spans="1:19" x14ac:dyDescent="0.35">
      <c r="A1561" s="1">
        <v>1559</v>
      </c>
      <c r="B1561" t="s">
        <v>829</v>
      </c>
      <c r="C1561" t="s">
        <v>253</v>
      </c>
      <c r="D1561" t="s">
        <v>449</v>
      </c>
      <c r="E1561">
        <v>9.4719370370370353</v>
      </c>
      <c r="F1561">
        <v>17.826589981471979</v>
      </c>
      <c r="G1561">
        <v>27</v>
      </c>
      <c r="H1561" t="s">
        <v>58</v>
      </c>
      <c r="M1561">
        <v>45.125116999981003</v>
      </c>
      <c r="N1561">
        <v>-26.181242925906918</v>
      </c>
      <c r="O1561">
        <v>71.306359925887918</v>
      </c>
      <c r="P1561">
        <v>0.53133757195748987</v>
      </c>
      <c r="R1561" t="str">
        <f t="shared" si="48"/>
        <v>yes</v>
      </c>
      <c r="S1561" t="str">
        <f t="shared" si="49"/>
        <v>no</v>
      </c>
    </row>
    <row r="1562" spans="1:19" x14ac:dyDescent="0.35">
      <c r="A1562" s="1">
        <v>1560</v>
      </c>
      <c r="B1562" t="s">
        <v>829</v>
      </c>
      <c r="C1562" t="s">
        <v>253</v>
      </c>
      <c r="D1562" t="s">
        <v>450</v>
      </c>
      <c r="E1562">
        <v>0</v>
      </c>
      <c r="F1562">
        <v>0</v>
      </c>
      <c r="G1562">
        <v>27</v>
      </c>
      <c r="H1562" t="s">
        <v>58</v>
      </c>
      <c r="M1562">
        <v>0</v>
      </c>
      <c r="N1562">
        <v>0</v>
      </c>
      <c r="O1562">
        <v>0</v>
      </c>
      <c r="R1562" t="str">
        <f t="shared" si="48"/>
        <v>yes</v>
      </c>
      <c r="S1562" t="str">
        <f t="shared" si="49"/>
        <v>no</v>
      </c>
    </row>
    <row r="1563" spans="1:19" x14ac:dyDescent="0.35">
      <c r="A1563" s="1">
        <v>1561</v>
      </c>
      <c r="B1563" t="s">
        <v>829</v>
      </c>
      <c r="C1563" t="s">
        <v>253</v>
      </c>
      <c r="D1563" t="s">
        <v>451</v>
      </c>
      <c r="E1563">
        <v>3.994340740740741</v>
      </c>
      <c r="F1563">
        <v>6.1556924987129253</v>
      </c>
      <c r="G1563">
        <v>27</v>
      </c>
      <c r="H1563" t="s">
        <v>58</v>
      </c>
      <c r="M1563">
        <v>16.30572573816659</v>
      </c>
      <c r="N1563">
        <v>-8.3170442566851097</v>
      </c>
      <c r="O1563">
        <v>24.622769994851701</v>
      </c>
      <c r="P1563">
        <v>0.64888568452305007</v>
      </c>
      <c r="R1563" t="str">
        <f t="shared" si="48"/>
        <v>yes</v>
      </c>
      <c r="S1563" t="str">
        <f t="shared" si="49"/>
        <v>no</v>
      </c>
    </row>
    <row r="1564" spans="1:19" x14ac:dyDescent="0.35">
      <c r="A1564" s="1">
        <v>1562</v>
      </c>
      <c r="B1564" t="s">
        <v>829</v>
      </c>
      <c r="C1564" t="s">
        <v>253</v>
      </c>
      <c r="D1564" t="s">
        <v>452</v>
      </c>
      <c r="E1564">
        <v>0</v>
      </c>
      <c r="F1564">
        <v>0</v>
      </c>
      <c r="G1564">
        <v>27</v>
      </c>
      <c r="H1564" t="s">
        <v>58</v>
      </c>
      <c r="M1564">
        <v>0</v>
      </c>
      <c r="N1564">
        <v>0</v>
      </c>
      <c r="O1564">
        <v>0</v>
      </c>
      <c r="R1564" t="str">
        <f t="shared" si="48"/>
        <v>yes</v>
      </c>
      <c r="S1564" t="str">
        <f t="shared" si="49"/>
        <v>no</v>
      </c>
    </row>
    <row r="1565" spans="1:19" x14ac:dyDescent="0.35">
      <c r="A1565" s="1">
        <v>1563</v>
      </c>
      <c r="B1565" t="s">
        <v>829</v>
      </c>
      <c r="C1565" t="s">
        <v>253</v>
      </c>
      <c r="D1565" t="s">
        <v>453</v>
      </c>
      <c r="E1565">
        <v>12.0436</v>
      </c>
      <c r="F1565">
        <v>18.7751927590243</v>
      </c>
      <c r="G1565">
        <v>27</v>
      </c>
      <c r="H1565" t="s">
        <v>58</v>
      </c>
      <c r="M1565">
        <v>49.593985518048598</v>
      </c>
      <c r="N1565">
        <v>-25.506785518048599</v>
      </c>
      <c r="O1565">
        <v>75.1007710360972</v>
      </c>
      <c r="P1565">
        <v>0.64146345417472428</v>
      </c>
      <c r="R1565" t="str">
        <f t="shared" si="48"/>
        <v>yes</v>
      </c>
      <c r="S1565" t="str">
        <f t="shared" si="49"/>
        <v>no</v>
      </c>
    </row>
    <row r="1566" spans="1:19" x14ac:dyDescent="0.35">
      <c r="A1566" s="1">
        <v>1564</v>
      </c>
      <c r="B1566" t="s">
        <v>829</v>
      </c>
      <c r="C1566" t="s">
        <v>253</v>
      </c>
      <c r="D1566" t="s">
        <v>454</v>
      </c>
      <c r="E1566">
        <v>0</v>
      </c>
      <c r="F1566">
        <v>0</v>
      </c>
      <c r="G1566">
        <v>27</v>
      </c>
      <c r="H1566" t="s">
        <v>58</v>
      </c>
      <c r="M1566">
        <v>0</v>
      </c>
      <c r="N1566">
        <v>0</v>
      </c>
      <c r="O1566">
        <v>0</v>
      </c>
      <c r="R1566" t="str">
        <f t="shared" si="48"/>
        <v>yes</v>
      </c>
      <c r="S1566" t="str">
        <f t="shared" si="49"/>
        <v>no</v>
      </c>
    </row>
    <row r="1567" spans="1:19" x14ac:dyDescent="0.35">
      <c r="A1567" s="1">
        <v>1565</v>
      </c>
      <c r="B1567" t="s">
        <v>829</v>
      </c>
      <c r="C1567" t="s">
        <v>253</v>
      </c>
      <c r="D1567" t="s">
        <v>455</v>
      </c>
      <c r="E1567">
        <v>2.9957555555555562</v>
      </c>
      <c r="F1567">
        <v>5.6045454517067581</v>
      </c>
      <c r="G1567">
        <v>27</v>
      </c>
      <c r="H1567" t="s">
        <v>58</v>
      </c>
      <c r="M1567">
        <v>14.204846458969071</v>
      </c>
      <c r="N1567">
        <v>-8.21333534785796</v>
      </c>
      <c r="O1567">
        <v>22.418181806827029</v>
      </c>
      <c r="P1567">
        <v>0.5345224838248489</v>
      </c>
      <c r="R1567" t="str">
        <f t="shared" si="48"/>
        <v>yes</v>
      </c>
      <c r="S1567" t="str">
        <f t="shared" si="49"/>
        <v>no</v>
      </c>
    </row>
    <row r="1568" spans="1:19" x14ac:dyDescent="0.35">
      <c r="A1568" s="1">
        <v>1566</v>
      </c>
      <c r="B1568" t="s">
        <v>829</v>
      </c>
      <c r="C1568" t="s">
        <v>253</v>
      </c>
      <c r="D1568" t="s">
        <v>456</v>
      </c>
      <c r="E1568">
        <v>0</v>
      </c>
      <c r="F1568">
        <v>0</v>
      </c>
      <c r="G1568">
        <v>27</v>
      </c>
      <c r="H1568" t="s">
        <v>58</v>
      </c>
      <c r="M1568">
        <v>0</v>
      </c>
      <c r="N1568">
        <v>0</v>
      </c>
      <c r="O1568">
        <v>0</v>
      </c>
      <c r="R1568" t="str">
        <f t="shared" si="48"/>
        <v>yes</v>
      </c>
      <c r="S1568" t="str">
        <f t="shared" si="49"/>
        <v>no</v>
      </c>
    </row>
    <row r="1569" spans="1:19" x14ac:dyDescent="0.35">
      <c r="A1569" s="1">
        <v>1567</v>
      </c>
      <c r="B1569" t="s">
        <v>829</v>
      </c>
      <c r="C1569" t="s">
        <v>253</v>
      </c>
      <c r="D1569" t="s">
        <v>457</v>
      </c>
      <c r="E1569">
        <v>8.4071148148148147</v>
      </c>
      <c r="F1569">
        <v>15.8467746696339</v>
      </c>
      <c r="G1569">
        <v>27</v>
      </c>
      <c r="H1569" t="s">
        <v>58</v>
      </c>
      <c r="M1569">
        <v>40.100664154082622</v>
      </c>
      <c r="N1569">
        <v>-23.286434524452989</v>
      </c>
      <c r="O1569">
        <v>63.387098678535601</v>
      </c>
      <c r="P1569">
        <v>0.53052529553062922</v>
      </c>
      <c r="R1569" t="str">
        <f t="shared" si="48"/>
        <v>yes</v>
      </c>
      <c r="S1569" t="str">
        <f t="shared" si="49"/>
        <v>no</v>
      </c>
    </row>
    <row r="1570" spans="1:19" x14ac:dyDescent="0.35">
      <c r="A1570" s="1">
        <v>1568</v>
      </c>
      <c r="B1570" t="s">
        <v>829</v>
      </c>
      <c r="C1570" t="s">
        <v>253</v>
      </c>
      <c r="D1570" t="s">
        <v>458</v>
      </c>
      <c r="E1570">
        <v>0</v>
      </c>
      <c r="F1570">
        <v>0</v>
      </c>
      <c r="G1570">
        <v>27</v>
      </c>
      <c r="H1570" t="s">
        <v>58</v>
      </c>
      <c r="M1570">
        <v>0</v>
      </c>
      <c r="N1570">
        <v>0</v>
      </c>
      <c r="O1570">
        <v>0</v>
      </c>
      <c r="R1570" t="str">
        <f t="shared" si="48"/>
        <v>yes</v>
      </c>
      <c r="S1570" t="str">
        <f t="shared" si="49"/>
        <v>no</v>
      </c>
    </row>
    <row r="1571" spans="1:19" x14ac:dyDescent="0.35">
      <c r="A1571" s="1">
        <v>1569</v>
      </c>
      <c r="B1571" t="s">
        <v>829</v>
      </c>
      <c r="C1571" t="s">
        <v>253</v>
      </c>
      <c r="D1571" t="s">
        <v>459</v>
      </c>
      <c r="E1571">
        <v>3.994340740740741</v>
      </c>
      <c r="F1571">
        <v>6.1556924987129253</v>
      </c>
      <c r="G1571">
        <v>27</v>
      </c>
      <c r="H1571" t="s">
        <v>58</v>
      </c>
      <c r="M1571">
        <v>16.30572573816659</v>
      </c>
      <c r="N1571">
        <v>-8.3170442566851097</v>
      </c>
      <c r="O1571">
        <v>24.622769994851701</v>
      </c>
      <c r="P1571">
        <v>0.64888568452305007</v>
      </c>
      <c r="R1571" t="str">
        <f t="shared" si="48"/>
        <v>yes</v>
      </c>
      <c r="S1571" t="str">
        <f t="shared" si="49"/>
        <v>no</v>
      </c>
    </row>
    <row r="1572" spans="1:19" x14ac:dyDescent="0.35">
      <c r="A1572" s="1">
        <v>1570</v>
      </c>
      <c r="B1572" t="s">
        <v>829</v>
      </c>
      <c r="C1572" t="s">
        <v>253</v>
      </c>
      <c r="D1572" t="s">
        <v>460</v>
      </c>
      <c r="E1572">
        <v>0</v>
      </c>
      <c r="F1572">
        <v>0</v>
      </c>
      <c r="G1572">
        <v>27</v>
      </c>
      <c r="H1572" t="s">
        <v>58</v>
      </c>
      <c r="M1572">
        <v>0</v>
      </c>
      <c r="N1572">
        <v>0</v>
      </c>
      <c r="O1572">
        <v>0</v>
      </c>
      <c r="R1572" t="str">
        <f t="shared" si="48"/>
        <v>yes</v>
      </c>
      <c r="S1572" t="str">
        <f t="shared" si="49"/>
        <v>no</v>
      </c>
    </row>
    <row r="1573" spans="1:19" x14ac:dyDescent="0.35">
      <c r="A1573" s="1">
        <v>1571</v>
      </c>
      <c r="B1573" t="s">
        <v>829</v>
      </c>
      <c r="C1573" t="s">
        <v>253</v>
      </c>
      <c r="D1573" t="s">
        <v>461</v>
      </c>
      <c r="E1573">
        <v>10.978774074074069</v>
      </c>
      <c r="F1573">
        <v>17.049076652973241</v>
      </c>
      <c r="G1573">
        <v>27</v>
      </c>
      <c r="H1573" t="s">
        <v>58</v>
      </c>
      <c r="M1573">
        <v>45.07692738002055</v>
      </c>
      <c r="N1573">
        <v>-23.119379231872411</v>
      </c>
      <c r="O1573">
        <v>68.196306611892965</v>
      </c>
      <c r="P1573">
        <v>0.64395124132188397</v>
      </c>
      <c r="R1573" t="str">
        <f t="shared" si="48"/>
        <v>yes</v>
      </c>
      <c r="S1573" t="str">
        <f t="shared" si="49"/>
        <v>no</v>
      </c>
    </row>
    <row r="1574" spans="1:19" x14ac:dyDescent="0.35">
      <c r="A1574" s="1">
        <v>1572</v>
      </c>
      <c r="B1574" t="s">
        <v>829</v>
      </c>
      <c r="C1574" t="s">
        <v>253</v>
      </c>
      <c r="D1574" t="s">
        <v>462</v>
      </c>
      <c r="E1574">
        <v>0</v>
      </c>
      <c r="F1574">
        <v>0</v>
      </c>
      <c r="G1574">
        <v>27</v>
      </c>
      <c r="H1574" t="s">
        <v>58</v>
      </c>
      <c r="M1574">
        <v>0</v>
      </c>
      <c r="N1574">
        <v>0</v>
      </c>
      <c r="O1574">
        <v>0</v>
      </c>
      <c r="R1574" t="str">
        <f t="shared" si="48"/>
        <v>yes</v>
      </c>
      <c r="S1574" t="str">
        <f t="shared" si="49"/>
        <v>no</v>
      </c>
    </row>
    <row r="1575" spans="1:19" x14ac:dyDescent="0.35">
      <c r="A1575" s="1">
        <v>1573</v>
      </c>
      <c r="B1575" t="s">
        <v>829</v>
      </c>
      <c r="C1575" t="s">
        <v>253</v>
      </c>
      <c r="D1575" t="s">
        <v>463</v>
      </c>
      <c r="E1575">
        <v>2.9957555555555562</v>
      </c>
      <c r="F1575">
        <v>5.6045454517067581</v>
      </c>
      <c r="G1575">
        <v>27</v>
      </c>
      <c r="H1575" t="s">
        <v>58</v>
      </c>
      <c r="M1575">
        <v>14.204846458969071</v>
      </c>
      <c r="N1575">
        <v>-8.21333534785796</v>
      </c>
      <c r="O1575">
        <v>22.418181806827029</v>
      </c>
      <c r="P1575">
        <v>0.5345224838248489</v>
      </c>
      <c r="R1575" t="str">
        <f t="shared" si="48"/>
        <v>yes</v>
      </c>
      <c r="S1575" t="str">
        <f t="shared" si="49"/>
        <v>no</v>
      </c>
    </row>
    <row r="1576" spans="1:19" x14ac:dyDescent="0.35">
      <c r="A1576" s="1">
        <v>1574</v>
      </c>
      <c r="B1576" t="s">
        <v>829</v>
      </c>
      <c r="C1576" t="s">
        <v>253</v>
      </c>
      <c r="D1576" t="s">
        <v>464</v>
      </c>
      <c r="E1576">
        <v>0</v>
      </c>
      <c r="F1576">
        <v>0</v>
      </c>
      <c r="G1576">
        <v>27</v>
      </c>
      <c r="H1576" t="s">
        <v>58</v>
      </c>
      <c r="M1576">
        <v>0</v>
      </c>
      <c r="N1576">
        <v>0</v>
      </c>
      <c r="O1576">
        <v>0</v>
      </c>
      <c r="R1576" t="str">
        <f t="shared" si="48"/>
        <v>yes</v>
      </c>
      <c r="S1576" t="str">
        <f t="shared" si="49"/>
        <v>no</v>
      </c>
    </row>
    <row r="1577" spans="1:19" x14ac:dyDescent="0.35">
      <c r="A1577" s="1">
        <v>1575</v>
      </c>
      <c r="B1577" t="s">
        <v>829</v>
      </c>
      <c r="C1577" t="s">
        <v>253</v>
      </c>
      <c r="D1577" t="s">
        <v>465</v>
      </c>
      <c r="E1577">
        <v>8.300633333333332</v>
      </c>
      <c r="F1577">
        <v>15.60608487937389</v>
      </c>
      <c r="G1577">
        <v>27</v>
      </c>
      <c r="H1577" t="s">
        <v>58</v>
      </c>
      <c r="M1577">
        <v>39.512803092081107</v>
      </c>
      <c r="N1577">
        <v>-22.91153642541445</v>
      </c>
      <c r="O1577">
        <v>62.424339517495561</v>
      </c>
      <c r="P1577">
        <v>0.53188441543747067</v>
      </c>
      <c r="R1577" t="str">
        <f t="shared" si="48"/>
        <v>yes</v>
      </c>
      <c r="S1577" t="str">
        <f t="shared" si="49"/>
        <v>no</v>
      </c>
    </row>
    <row r="1578" spans="1:19" x14ac:dyDescent="0.35">
      <c r="A1578" s="1">
        <v>1576</v>
      </c>
      <c r="B1578" t="s">
        <v>829</v>
      </c>
      <c r="C1578" t="s">
        <v>253</v>
      </c>
      <c r="D1578" t="s">
        <v>466</v>
      </c>
      <c r="E1578">
        <v>0</v>
      </c>
      <c r="F1578">
        <v>0</v>
      </c>
      <c r="G1578">
        <v>27</v>
      </c>
      <c r="H1578" t="s">
        <v>58</v>
      </c>
      <c r="M1578">
        <v>0</v>
      </c>
      <c r="N1578">
        <v>0</v>
      </c>
      <c r="O1578">
        <v>0</v>
      </c>
      <c r="R1578" t="str">
        <f t="shared" si="48"/>
        <v>yes</v>
      </c>
      <c r="S1578" t="str">
        <f t="shared" si="49"/>
        <v>no</v>
      </c>
    </row>
    <row r="1579" spans="1:19" x14ac:dyDescent="0.35">
      <c r="A1579" s="1">
        <v>1577</v>
      </c>
      <c r="B1579" t="s">
        <v>829</v>
      </c>
      <c r="C1579" t="s">
        <v>253</v>
      </c>
      <c r="D1579" t="s">
        <v>467</v>
      </c>
      <c r="E1579">
        <v>3.994340740740741</v>
      </c>
      <c r="F1579">
        <v>6.1556924987129253</v>
      </c>
      <c r="G1579">
        <v>27</v>
      </c>
      <c r="H1579" t="s">
        <v>58</v>
      </c>
      <c r="M1579">
        <v>16.30572573816659</v>
      </c>
      <c r="N1579">
        <v>-8.3170442566851097</v>
      </c>
      <c r="O1579">
        <v>24.622769994851701</v>
      </c>
      <c r="P1579">
        <v>0.64888568452305007</v>
      </c>
      <c r="R1579" t="str">
        <f t="shared" si="48"/>
        <v>yes</v>
      </c>
      <c r="S1579" t="str">
        <f t="shared" si="49"/>
        <v>no</v>
      </c>
    </row>
    <row r="1580" spans="1:19" x14ac:dyDescent="0.35">
      <c r="A1580" s="1">
        <v>1578</v>
      </c>
      <c r="B1580" t="s">
        <v>829</v>
      </c>
      <c r="C1580" t="s">
        <v>253</v>
      </c>
      <c r="D1580" t="s">
        <v>468</v>
      </c>
      <c r="E1580">
        <v>0</v>
      </c>
      <c r="F1580">
        <v>0</v>
      </c>
      <c r="G1580">
        <v>27</v>
      </c>
      <c r="H1580" t="s">
        <v>58</v>
      </c>
      <c r="M1580">
        <v>0</v>
      </c>
      <c r="N1580">
        <v>0</v>
      </c>
      <c r="O1580">
        <v>0</v>
      </c>
      <c r="R1580" t="str">
        <f t="shared" si="48"/>
        <v>yes</v>
      </c>
      <c r="S1580" t="str">
        <f t="shared" si="49"/>
        <v>no</v>
      </c>
    </row>
    <row r="1581" spans="1:19" x14ac:dyDescent="0.35">
      <c r="A1581" s="1">
        <v>1579</v>
      </c>
      <c r="B1581" t="s">
        <v>829</v>
      </c>
      <c r="C1581" t="s">
        <v>253</v>
      </c>
      <c r="D1581" t="s">
        <v>469</v>
      </c>
      <c r="E1581">
        <v>10.641570370370371</v>
      </c>
      <c r="F1581">
        <v>16.53660454154863</v>
      </c>
      <c r="G1581">
        <v>27</v>
      </c>
      <c r="H1581" t="s">
        <v>58</v>
      </c>
      <c r="M1581">
        <v>43.714779453467628</v>
      </c>
      <c r="N1581">
        <v>-22.43163871272689</v>
      </c>
      <c r="O1581">
        <v>66.146418166194522</v>
      </c>
      <c r="P1581">
        <v>0.6435160460923619</v>
      </c>
      <c r="R1581" t="str">
        <f t="shared" si="48"/>
        <v>yes</v>
      </c>
      <c r="S1581" t="str">
        <f t="shared" si="49"/>
        <v>no</v>
      </c>
    </row>
    <row r="1582" spans="1:19" x14ac:dyDescent="0.35">
      <c r="A1582" s="1">
        <v>1580</v>
      </c>
      <c r="B1582" t="s">
        <v>829</v>
      </c>
      <c r="C1582" t="s">
        <v>253</v>
      </c>
      <c r="D1582" t="s">
        <v>470</v>
      </c>
      <c r="E1582">
        <v>33.348981481481481</v>
      </c>
      <c r="F1582">
        <v>69.953413710480604</v>
      </c>
      <c r="G1582">
        <v>27</v>
      </c>
      <c r="H1582" t="s">
        <v>58</v>
      </c>
      <c r="M1582">
        <v>173.25580890244271</v>
      </c>
      <c r="N1582">
        <v>-106.55784593947971</v>
      </c>
      <c r="O1582">
        <v>279.81365484192241</v>
      </c>
      <c r="P1582">
        <v>0.47673129462279618</v>
      </c>
      <c r="R1582" t="str">
        <f t="shared" si="48"/>
        <v>yes</v>
      </c>
      <c r="S1582" t="str">
        <f t="shared" si="49"/>
        <v>no</v>
      </c>
    </row>
    <row r="1583" spans="1:19" x14ac:dyDescent="0.35">
      <c r="A1583" s="1">
        <v>1581</v>
      </c>
      <c r="B1583" t="s">
        <v>829</v>
      </c>
      <c r="C1583" t="s">
        <v>253</v>
      </c>
      <c r="D1583" t="s">
        <v>471</v>
      </c>
      <c r="E1583">
        <v>0</v>
      </c>
      <c r="F1583">
        <v>0</v>
      </c>
      <c r="G1583">
        <v>27</v>
      </c>
      <c r="H1583" t="s">
        <v>58</v>
      </c>
      <c r="M1583">
        <v>0</v>
      </c>
      <c r="N1583">
        <v>0</v>
      </c>
      <c r="O1583">
        <v>0</v>
      </c>
      <c r="R1583" t="str">
        <f t="shared" si="48"/>
        <v>yes</v>
      </c>
      <c r="S1583" t="str">
        <f t="shared" si="49"/>
        <v>no</v>
      </c>
    </row>
    <row r="1584" spans="1:19" x14ac:dyDescent="0.35">
      <c r="A1584" s="1">
        <v>1582</v>
      </c>
      <c r="B1584" t="s">
        <v>829</v>
      </c>
      <c r="C1584" t="s">
        <v>253</v>
      </c>
      <c r="D1584" t="s">
        <v>472</v>
      </c>
      <c r="E1584">
        <v>0</v>
      </c>
      <c r="F1584">
        <v>0</v>
      </c>
      <c r="G1584">
        <v>27</v>
      </c>
      <c r="H1584" t="s">
        <v>58</v>
      </c>
      <c r="M1584">
        <v>0</v>
      </c>
      <c r="N1584">
        <v>0</v>
      </c>
      <c r="O1584">
        <v>0</v>
      </c>
      <c r="R1584" t="str">
        <f t="shared" si="48"/>
        <v>yes</v>
      </c>
      <c r="S1584" t="str">
        <f t="shared" si="49"/>
        <v>no</v>
      </c>
    </row>
    <row r="1585" spans="1:19" x14ac:dyDescent="0.35">
      <c r="A1585" s="1">
        <v>1583</v>
      </c>
      <c r="B1585" t="s">
        <v>829</v>
      </c>
      <c r="C1585" t="s">
        <v>253</v>
      </c>
      <c r="D1585" t="s">
        <v>473</v>
      </c>
      <c r="E1585">
        <v>6.8994444444444447</v>
      </c>
      <c r="F1585">
        <v>14.49670227399969</v>
      </c>
      <c r="G1585">
        <v>27</v>
      </c>
      <c r="H1585" t="s">
        <v>58</v>
      </c>
      <c r="M1585">
        <v>35.892848992443817</v>
      </c>
      <c r="N1585">
        <v>-22.093960103554931</v>
      </c>
      <c r="O1585">
        <v>57.986809095998758</v>
      </c>
      <c r="P1585">
        <v>0.47593199570765998</v>
      </c>
      <c r="R1585" t="str">
        <f t="shared" si="48"/>
        <v>yes</v>
      </c>
      <c r="S1585" t="str">
        <f t="shared" si="49"/>
        <v>no</v>
      </c>
    </row>
    <row r="1586" spans="1:19" x14ac:dyDescent="0.35">
      <c r="A1586" s="1">
        <v>1584</v>
      </c>
      <c r="B1586" t="s">
        <v>829</v>
      </c>
      <c r="C1586" t="s">
        <v>253</v>
      </c>
      <c r="D1586" t="s">
        <v>474</v>
      </c>
      <c r="E1586">
        <v>28.42468518518519</v>
      </c>
      <c r="F1586">
        <v>61.249085088427343</v>
      </c>
      <c r="G1586">
        <v>27</v>
      </c>
      <c r="H1586" t="s">
        <v>58</v>
      </c>
      <c r="M1586">
        <v>150.92285536203991</v>
      </c>
      <c r="N1586">
        <v>-94.073484991669488</v>
      </c>
      <c r="O1586">
        <v>244.9963403537094</v>
      </c>
      <c r="P1586">
        <v>0.46408342498745131</v>
      </c>
      <c r="R1586" t="str">
        <f t="shared" si="48"/>
        <v>yes</v>
      </c>
      <c r="S1586" t="str">
        <f t="shared" si="49"/>
        <v>no</v>
      </c>
    </row>
    <row r="1587" spans="1:19" x14ac:dyDescent="0.35">
      <c r="A1587" s="1">
        <v>1585</v>
      </c>
      <c r="B1587" t="s">
        <v>829</v>
      </c>
      <c r="C1587" t="s">
        <v>253</v>
      </c>
      <c r="D1587" t="s">
        <v>475</v>
      </c>
      <c r="E1587">
        <v>0</v>
      </c>
      <c r="F1587">
        <v>0</v>
      </c>
      <c r="G1587">
        <v>27</v>
      </c>
      <c r="H1587" t="s">
        <v>58</v>
      </c>
      <c r="M1587">
        <v>0</v>
      </c>
      <c r="N1587">
        <v>0</v>
      </c>
      <c r="O1587">
        <v>0</v>
      </c>
      <c r="R1587" t="str">
        <f t="shared" si="48"/>
        <v>yes</v>
      </c>
      <c r="S1587" t="str">
        <f t="shared" si="49"/>
        <v>no</v>
      </c>
    </row>
    <row r="1588" spans="1:19" x14ac:dyDescent="0.35">
      <c r="A1588" s="1">
        <v>1586</v>
      </c>
      <c r="B1588" t="s">
        <v>829</v>
      </c>
      <c r="C1588" t="s">
        <v>253</v>
      </c>
      <c r="D1588" t="s">
        <v>476</v>
      </c>
      <c r="E1588">
        <v>0</v>
      </c>
      <c r="F1588">
        <v>0</v>
      </c>
      <c r="G1588">
        <v>27</v>
      </c>
      <c r="H1588" t="s">
        <v>58</v>
      </c>
      <c r="M1588">
        <v>0</v>
      </c>
      <c r="N1588">
        <v>0</v>
      </c>
      <c r="O1588">
        <v>0</v>
      </c>
      <c r="R1588" t="str">
        <f t="shared" si="48"/>
        <v>yes</v>
      </c>
      <c r="S1588" t="str">
        <f t="shared" si="49"/>
        <v>no</v>
      </c>
    </row>
    <row r="1589" spans="1:19" x14ac:dyDescent="0.35">
      <c r="A1589" s="1">
        <v>1587</v>
      </c>
      <c r="B1589" t="s">
        <v>829</v>
      </c>
      <c r="C1589" t="s">
        <v>253</v>
      </c>
      <c r="D1589" t="s">
        <v>477</v>
      </c>
      <c r="E1589">
        <v>7.0059259259259257</v>
      </c>
      <c r="F1589">
        <v>14.71136951269178</v>
      </c>
      <c r="G1589">
        <v>27</v>
      </c>
      <c r="H1589" t="s">
        <v>58</v>
      </c>
      <c r="M1589">
        <v>36.428664951309493</v>
      </c>
      <c r="N1589">
        <v>-22.416813099457631</v>
      </c>
      <c r="O1589">
        <v>58.84547805076712</v>
      </c>
      <c r="P1589">
        <v>0.47622527052167229</v>
      </c>
      <c r="R1589" t="str">
        <f t="shared" si="48"/>
        <v>yes</v>
      </c>
      <c r="S1589" t="str">
        <f t="shared" si="49"/>
        <v>no</v>
      </c>
    </row>
    <row r="1590" spans="1:19" x14ac:dyDescent="0.35">
      <c r="A1590" s="1">
        <v>1588</v>
      </c>
      <c r="B1590" t="s">
        <v>829</v>
      </c>
      <c r="C1590" t="s">
        <v>253</v>
      </c>
      <c r="D1590" t="s">
        <v>478</v>
      </c>
      <c r="E1590">
        <v>33.348981481481481</v>
      </c>
      <c r="F1590">
        <v>69.953413710480604</v>
      </c>
      <c r="G1590">
        <v>27</v>
      </c>
      <c r="H1590" t="s">
        <v>58</v>
      </c>
      <c r="M1590">
        <v>173.25580890244271</v>
      </c>
      <c r="N1590">
        <v>-106.55784593947971</v>
      </c>
      <c r="O1590">
        <v>279.81365484192241</v>
      </c>
      <c r="P1590">
        <v>0.47673129462279618</v>
      </c>
      <c r="R1590" t="str">
        <f t="shared" si="48"/>
        <v>yes</v>
      </c>
      <c r="S1590" t="str">
        <f t="shared" si="49"/>
        <v>no</v>
      </c>
    </row>
    <row r="1591" spans="1:19" x14ac:dyDescent="0.35">
      <c r="A1591" s="1">
        <v>1589</v>
      </c>
      <c r="B1591" t="s">
        <v>829</v>
      </c>
      <c r="C1591" t="s">
        <v>253</v>
      </c>
      <c r="D1591" t="s">
        <v>479</v>
      </c>
      <c r="E1591">
        <v>0</v>
      </c>
      <c r="F1591">
        <v>0</v>
      </c>
      <c r="G1591">
        <v>27</v>
      </c>
      <c r="H1591" t="s">
        <v>58</v>
      </c>
      <c r="M1591">
        <v>0</v>
      </c>
      <c r="N1591">
        <v>0</v>
      </c>
      <c r="O1591">
        <v>0</v>
      </c>
      <c r="R1591" t="str">
        <f t="shared" si="48"/>
        <v>yes</v>
      </c>
      <c r="S1591" t="str">
        <f t="shared" si="49"/>
        <v>no</v>
      </c>
    </row>
    <row r="1592" spans="1:19" x14ac:dyDescent="0.35">
      <c r="A1592" s="1">
        <v>1590</v>
      </c>
      <c r="B1592" t="s">
        <v>829</v>
      </c>
      <c r="C1592" t="s">
        <v>253</v>
      </c>
      <c r="D1592" t="s">
        <v>480</v>
      </c>
      <c r="E1592">
        <v>0</v>
      </c>
      <c r="F1592">
        <v>0</v>
      </c>
      <c r="G1592">
        <v>27</v>
      </c>
      <c r="H1592" t="s">
        <v>58</v>
      </c>
      <c r="M1592">
        <v>0</v>
      </c>
      <c r="N1592">
        <v>0</v>
      </c>
      <c r="O1592">
        <v>0</v>
      </c>
      <c r="R1592" t="str">
        <f t="shared" si="48"/>
        <v>yes</v>
      </c>
      <c r="S1592" t="str">
        <f t="shared" si="49"/>
        <v>no</v>
      </c>
    </row>
    <row r="1593" spans="1:19" x14ac:dyDescent="0.35">
      <c r="A1593" s="1">
        <v>1591</v>
      </c>
      <c r="B1593" t="s">
        <v>829</v>
      </c>
      <c r="C1593" t="s">
        <v>253</v>
      </c>
      <c r="D1593" t="s">
        <v>481</v>
      </c>
      <c r="E1593">
        <v>7.5915851851851848</v>
      </c>
      <c r="F1593">
        <v>15.95017640809688</v>
      </c>
      <c r="G1593">
        <v>27</v>
      </c>
      <c r="H1593" t="s">
        <v>58</v>
      </c>
      <c r="M1593">
        <v>39.491938001378941</v>
      </c>
      <c r="N1593">
        <v>-24.308767631008571</v>
      </c>
      <c r="O1593">
        <v>63.800705632387519</v>
      </c>
      <c r="P1593">
        <v>0.4759561895084386</v>
      </c>
      <c r="R1593" t="str">
        <f t="shared" si="48"/>
        <v>yes</v>
      </c>
      <c r="S1593" t="str">
        <f t="shared" si="49"/>
        <v>no</v>
      </c>
    </row>
    <row r="1594" spans="1:19" x14ac:dyDescent="0.35">
      <c r="A1594" s="1">
        <v>1592</v>
      </c>
      <c r="B1594" t="s">
        <v>829</v>
      </c>
      <c r="C1594" t="s">
        <v>253</v>
      </c>
      <c r="D1594" t="s">
        <v>482</v>
      </c>
      <c r="E1594">
        <v>27.46812222222222</v>
      </c>
      <c r="F1594">
        <v>59.999371201756553</v>
      </c>
      <c r="G1594">
        <v>27</v>
      </c>
      <c r="H1594" t="s">
        <v>58</v>
      </c>
      <c r="M1594">
        <v>147.4668646257353</v>
      </c>
      <c r="N1594">
        <v>-92.530620181290885</v>
      </c>
      <c r="O1594">
        <v>239.99748480702621</v>
      </c>
      <c r="P1594">
        <v>0.45780683483926338</v>
      </c>
      <c r="R1594" t="str">
        <f t="shared" si="48"/>
        <v>yes</v>
      </c>
      <c r="S1594" t="str">
        <f t="shared" si="49"/>
        <v>no</v>
      </c>
    </row>
    <row r="1595" spans="1:19" x14ac:dyDescent="0.35">
      <c r="A1595" s="1">
        <v>1593</v>
      </c>
      <c r="B1595" t="s">
        <v>829</v>
      </c>
      <c r="C1595" t="s">
        <v>253</v>
      </c>
      <c r="D1595" t="s">
        <v>483</v>
      </c>
      <c r="E1595">
        <v>0</v>
      </c>
      <c r="F1595">
        <v>0</v>
      </c>
      <c r="G1595">
        <v>27</v>
      </c>
      <c r="H1595" t="s">
        <v>58</v>
      </c>
      <c r="M1595">
        <v>0</v>
      </c>
      <c r="N1595">
        <v>0</v>
      </c>
      <c r="O1595">
        <v>0</v>
      </c>
      <c r="R1595" t="str">
        <f t="shared" si="48"/>
        <v>yes</v>
      </c>
      <c r="S1595" t="str">
        <f t="shared" si="49"/>
        <v>no</v>
      </c>
    </row>
    <row r="1596" spans="1:19" x14ac:dyDescent="0.35">
      <c r="A1596" s="1">
        <v>1594</v>
      </c>
      <c r="B1596" t="s">
        <v>829</v>
      </c>
      <c r="C1596" t="s">
        <v>253</v>
      </c>
      <c r="D1596" t="s">
        <v>484</v>
      </c>
      <c r="E1596">
        <v>0</v>
      </c>
      <c r="F1596">
        <v>0</v>
      </c>
      <c r="G1596">
        <v>27</v>
      </c>
      <c r="H1596" t="s">
        <v>58</v>
      </c>
      <c r="M1596">
        <v>0</v>
      </c>
      <c r="N1596">
        <v>0</v>
      </c>
      <c r="O1596">
        <v>0</v>
      </c>
      <c r="R1596" t="str">
        <f t="shared" si="48"/>
        <v>yes</v>
      </c>
      <c r="S1596" t="str">
        <f t="shared" si="49"/>
        <v>no</v>
      </c>
    </row>
    <row r="1597" spans="1:19" x14ac:dyDescent="0.35">
      <c r="A1597" s="1">
        <v>1595</v>
      </c>
      <c r="B1597" t="s">
        <v>829</v>
      </c>
      <c r="C1597" t="s">
        <v>253</v>
      </c>
      <c r="D1597" t="s">
        <v>485</v>
      </c>
      <c r="E1597">
        <v>6.7397222222222224</v>
      </c>
      <c r="F1597">
        <v>14.1589983156461</v>
      </c>
      <c r="G1597">
        <v>27</v>
      </c>
      <c r="H1597" t="s">
        <v>58</v>
      </c>
      <c r="M1597">
        <v>35.057718853514423</v>
      </c>
      <c r="N1597">
        <v>-21.57827440906998</v>
      </c>
      <c r="O1597">
        <v>56.6359932625844</v>
      </c>
      <c r="P1597">
        <v>0.47600275612538462</v>
      </c>
      <c r="R1597" t="str">
        <f t="shared" si="48"/>
        <v>yes</v>
      </c>
      <c r="S1597" t="str">
        <f t="shared" si="49"/>
        <v>no</v>
      </c>
    </row>
    <row r="1598" spans="1:19" x14ac:dyDescent="0.35">
      <c r="A1598" s="1">
        <v>1596</v>
      </c>
      <c r="B1598" t="s">
        <v>829</v>
      </c>
      <c r="C1598" t="s">
        <v>253</v>
      </c>
      <c r="D1598" t="s">
        <v>486</v>
      </c>
      <c r="E1598">
        <v>33.348981481481481</v>
      </c>
      <c r="F1598">
        <v>69.953413710480604</v>
      </c>
      <c r="G1598">
        <v>27</v>
      </c>
      <c r="H1598" t="s">
        <v>58</v>
      </c>
      <c r="M1598">
        <v>173.25580890244271</v>
      </c>
      <c r="N1598">
        <v>-106.55784593947971</v>
      </c>
      <c r="O1598">
        <v>279.81365484192241</v>
      </c>
      <c r="P1598">
        <v>0.47673129462279618</v>
      </c>
      <c r="R1598" t="str">
        <f t="shared" si="48"/>
        <v>yes</v>
      </c>
      <c r="S1598" t="str">
        <f t="shared" si="49"/>
        <v>no</v>
      </c>
    </row>
    <row r="1599" spans="1:19" x14ac:dyDescent="0.35">
      <c r="A1599" s="1">
        <v>1597</v>
      </c>
      <c r="B1599" t="s">
        <v>829</v>
      </c>
      <c r="C1599" t="s">
        <v>253</v>
      </c>
      <c r="D1599" t="s">
        <v>487</v>
      </c>
      <c r="E1599">
        <v>0</v>
      </c>
      <c r="F1599">
        <v>0</v>
      </c>
      <c r="G1599">
        <v>27</v>
      </c>
      <c r="H1599" t="s">
        <v>58</v>
      </c>
      <c r="M1599">
        <v>0</v>
      </c>
      <c r="N1599">
        <v>0</v>
      </c>
      <c r="O1599">
        <v>0</v>
      </c>
      <c r="R1599" t="str">
        <f t="shared" si="48"/>
        <v>yes</v>
      </c>
      <c r="S1599" t="str">
        <f t="shared" si="49"/>
        <v>no</v>
      </c>
    </row>
    <row r="1600" spans="1:19" x14ac:dyDescent="0.35">
      <c r="A1600" s="1">
        <v>1598</v>
      </c>
      <c r="B1600" t="s">
        <v>829</v>
      </c>
      <c r="C1600" t="s">
        <v>253</v>
      </c>
      <c r="D1600" t="s">
        <v>488</v>
      </c>
      <c r="E1600">
        <v>0</v>
      </c>
      <c r="F1600">
        <v>0</v>
      </c>
      <c r="G1600">
        <v>27</v>
      </c>
      <c r="H1600" t="s">
        <v>58</v>
      </c>
      <c r="M1600">
        <v>0</v>
      </c>
      <c r="N1600">
        <v>0</v>
      </c>
      <c r="O1600">
        <v>0</v>
      </c>
      <c r="R1600" t="str">
        <f t="shared" si="48"/>
        <v>yes</v>
      </c>
      <c r="S1600" t="str">
        <f t="shared" si="49"/>
        <v>no</v>
      </c>
    </row>
    <row r="1601" spans="1:19" x14ac:dyDescent="0.35">
      <c r="A1601" s="1">
        <v>1599</v>
      </c>
      <c r="B1601" t="s">
        <v>829</v>
      </c>
      <c r="C1601" t="s">
        <v>253</v>
      </c>
      <c r="D1601" t="s">
        <v>489</v>
      </c>
      <c r="E1601">
        <v>7.3786111111111108</v>
      </c>
      <c r="F1601">
        <v>15.485414941003731</v>
      </c>
      <c r="G1601">
        <v>27</v>
      </c>
      <c r="H1601" t="s">
        <v>58</v>
      </c>
      <c r="M1601">
        <v>38.34944099311857</v>
      </c>
      <c r="N1601">
        <v>-23.592218770896348</v>
      </c>
      <c r="O1601">
        <v>61.941659764014922</v>
      </c>
      <c r="P1601">
        <v>0.476487787974821</v>
      </c>
      <c r="R1601" t="str">
        <f t="shared" si="48"/>
        <v>yes</v>
      </c>
      <c r="S1601" t="str">
        <f t="shared" si="49"/>
        <v>no</v>
      </c>
    </row>
    <row r="1602" spans="1:19" x14ac:dyDescent="0.35">
      <c r="A1602" s="1">
        <v>1600</v>
      </c>
      <c r="B1602" t="s">
        <v>829</v>
      </c>
      <c r="C1602" t="s">
        <v>253</v>
      </c>
      <c r="D1602" t="s">
        <v>490</v>
      </c>
      <c r="E1602">
        <v>26.04213703703704</v>
      </c>
      <c r="F1602">
        <v>58.450898794300763</v>
      </c>
      <c r="G1602">
        <v>27</v>
      </c>
      <c r="H1602" t="s">
        <v>58</v>
      </c>
      <c r="M1602">
        <v>142.9439346256386</v>
      </c>
      <c r="N1602">
        <v>-90.859660551564488</v>
      </c>
      <c r="O1602">
        <v>233.80359517720311</v>
      </c>
      <c r="P1602">
        <v>0.44553869271855012</v>
      </c>
      <c r="R1602" t="str">
        <f t="shared" si="48"/>
        <v>yes</v>
      </c>
      <c r="S1602" t="str">
        <f t="shared" si="49"/>
        <v>no</v>
      </c>
    </row>
    <row r="1603" spans="1:19" x14ac:dyDescent="0.35">
      <c r="A1603" s="1">
        <v>1601</v>
      </c>
      <c r="B1603" t="s">
        <v>829</v>
      </c>
      <c r="C1603" t="s">
        <v>253</v>
      </c>
      <c r="D1603" t="s">
        <v>491</v>
      </c>
      <c r="E1603">
        <v>0</v>
      </c>
      <c r="F1603">
        <v>0</v>
      </c>
      <c r="G1603">
        <v>27</v>
      </c>
      <c r="H1603" t="s">
        <v>58</v>
      </c>
      <c r="M1603">
        <v>0</v>
      </c>
      <c r="N1603">
        <v>0</v>
      </c>
      <c r="O1603">
        <v>0</v>
      </c>
      <c r="R1603" t="str">
        <f t="shared" ref="R1603:R1666" si="50">IF(H1603="yes","yes","no")</f>
        <v>yes</v>
      </c>
      <c r="S1603" t="str">
        <f t="shared" ref="S1603:S1666" si="51">IF(I1603,"yes","no")</f>
        <v>no</v>
      </c>
    </row>
    <row r="1604" spans="1:19" x14ac:dyDescent="0.35">
      <c r="A1604" s="1">
        <v>1602</v>
      </c>
      <c r="B1604" t="s">
        <v>829</v>
      </c>
      <c r="C1604" t="s">
        <v>253</v>
      </c>
      <c r="D1604" t="s">
        <v>492</v>
      </c>
      <c r="E1604">
        <v>0</v>
      </c>
      <c r="F1604">
        <v>0</v>
      </c>
      <c r="G1604">
        <v>27</v>
      </c>
      <c r="H1604" t="s">
        <v>58</v>
      </c>
      <c r="M1604">
        <v>0</v>
      </c>
      <c r="N1604">
        <v>0</v>
      </c>
      <c r="O1604">
        <v>0</v>
      </c>
      <c r="R1604" t="str">
        <f t="shared" si="50"/>
        <v>yes</v>
      </c>
      <c r="S1604" t="str">
        <f t="shared" si="51"/>
        <v>no</v>
      </c>
    </row>
    <row r="1605" spans="1:19" x14ac:dyDescent="0.35">
      <c r="A1605" s="1">
        <v>1603</v>
      </c>
      <c r="B1605" t="s">
        <v>829</v>
      </c>
      <c r="C1605" t="s">
        <v>253</v>
      </c>
      <c r="D1605" t="s">
        <v>493</v>
      </c>
      <c r="E1605">
        <v>6.5090111111111124</v>
      </c>
      <c r="F1605">
        <v>13.66561879815705</v>
      </c>
      <c r="G1605">
        <v>27</v>
      </c>
      <c r="H1605" t="s">
        <v>58</v>
      </c>
      <c r="M1605">
        <v>33.840248707425211</v>
      </c>
      <c r="N1605">
        <v>-20.822226485202989</v>
      </c>
      <c r="O1605">
        <v>54.6624751926282</v>
      </c>
      <c r="P1605">
        <v>0.47630562561784029</v>
      </c>
      <c r="R1605" t="str">
        <f t="shared" si="50"/>
        <v>yes</v>
      </c>
      <c r="S1605" t="str">
        <f t="shared" si="51"/>
        <v>no</v>
      </c>
    </row>
    <row r="1606" spans="1:19" x14ac:dyDescent="0.35">
      <c r="A1606" s="1">
        <v>1604</v>
      </c>
      <c r="B1606" t="s">
        <v>829</v>
      </c>
      <c r="C1606" t="s">
        <v>253</v>
      </c>
      <c r="D1606" t="s">
        <v>494</v>
      </c>
      <c r="E1606">
        <v>0</v>
      </c>
      <c r="F1606">
        <v>0</v>
      </c>
      <c r="G1606">
        <v>27</v>
      </c>
      <c r="H1606" t="s">
        <v>58</v>
      </c>
      <c r="M1606">
        <v>0</v>
      </c>
      <c r="N1606">
        <v>0</v>
      </c>
      <c r="O1606">
        <v>0</v>
      </c>
      <c r="R1606" t="str">
        <f t="shared" si="50"/>
        <v>yes</v>
      </c>
      <c r="S1606" t="str">
        <f t="shared" si="51"/>
        <v>no</v>
      </c>
    </row>
    <row r="1607" spans="1:19" x14ac:dyDescent="0.35">
      <c r="A1607" s="1">
        <v>1605</v>
      </c>
      <c r="B1607" t="s">
        <v>829</v>
      </c>
      <c r="C1607" t="s">
        <v>253</v>
      </c>
      <c r="D1607" t="s">
        <v>495</v>
      </c>
      <c r="E1607">
        <v>2.9957555555555562</v>
      </c>
      <c r="F1607">
        <v>5.6045454517067581</v>
      </c>
      <c r="G1607">
        <v>27</v>
      </c>
      <c r="H1607" t="s">
        <v>58</v>
      </c>
      <c r="M1607">
        <v>14.204846458969071</v>
      </c>
      <c r="N1607">
        <v>-8.21333534785796</v>
      </c>
      <c r="O1607">
        <v>22.418181806827029</v>
      </c>
      <c r="P1607">
        <v>0.5345224838248489</v>
      </c>
      <c r="R1607" t="str">
        <f t="shared" si="50"/>
        <v>yes</v>
      </c>
      <c r="S1607" t="str">
        <f t="shared" si="51"/>
        <v>no</v>
      </c>
    </row>
    <row r="1608" spans="1:19" x14ac:dyDescent="0.35">
      <c r="A1608" s="1">
        <v>1606</v>
      </c>
      <c r="B1608" t="s">
        <v>829</v>
      </c>
      <c r="C1608" t="s">
        <v>253</v>
      </c>
      <c r="D1608" t="s">
        <v>496</v>
      </c>
      <c r="E1608">
        <v>0</v>
      </c>
      <c r="F1608">
        <v>0</v>
      </c>
      <c r="G1608">
        <v>27</v>
      </c>
      <c r="H1608" t="s">
        <v>58</v>
      </c>
      <c r="M1608">
        <v>0</v>
      </c>
      <c r="N1608">
        <v>0</v>
      </c>
      <c r="O1608">
        <v>0</v>
      </c>
      <c r="R1608" t="str">
        <f t="shared" si="50"/>
        <v>yes</v>
      </c>
      <c r="S1608" t="str">
        <f t="shared" si="51"/>
        <v>no</v>
      </c>
    </row>
    <row r="1609" spans="1:19" x14ac:dyDescent="0.35">
      <c r="A1609" s="1">
        <v>1607</v>
      </c>
      <c r="B1609" t="s">
        <v>829</v>
      </c>
      <c r="C1609" t="s">
        <v>253</v>
      </c>
      <c r="D1609" t="s">
        <v>497</v>
      </c>
      <c r="E1609">
        <v>9.8268814814814807</v>
      </c>
      <c r="F1609">
        <v>18.48390085514934</v>
      </c>
      <c r="G1609">
        <v>27</v>
      </c>
      <c r="H1609" t="s">
        <v>58</v>
      </c>
      <c r="M1609">
        <v>46.794683191780159</v>
      </c>
      <c r="N1609">
        <v>-27.140920228817201</v>
      </c>
      <c r="O1609">
        <v>73.93560342059736</v>
      </c>
      <c r="P1609">
        <v>0.53164543342288362</v>
      </c>
      <c r="R1609" t="str">
        <f t="shared" si="50"/>
        <v>yes</v>
      </c>
      <c r="S1609" t="str">
        <f t="shared" si="51"/>
        <v>no</v>
      </c>
    </row>
    <row r="1610" spans="1:19" x14ac:dyDescent="0.35">
      <c r="A1610" s="1">
        <v>1608</v>
      </c>
      <c r="B1610" t="s">
        <v>829</v>
      </c>
      <c r="C1610" t="s">
        <v>253</v>
      </c>
      <c r="D1610" t="s">
        <v>498</v>
      </c>
      <c r="E1610">
        <v>0</v>
      </c>
      <c r="F1610">
        <v>0</v>
      </c>
      <c r="G1610">
        <v>27</v>
      </c>
      <c r="H1610" t="s">
        <v>58</v>
      </c>
      <c r="M1610">
        <v>0</v>
      </c>
      <c r="N1610">
        <v>0</v>
      </c>
      <c r="O1610">
        <v>0</v>
      </c>
      <c r="R1610" t="str">
        <f t="shared" si="50"/>
        <v>yes</v>
      </c>
      <c r="S1610" t="str">
        <f t="shared" si="51"/>
        <v>no</v>
      </c>
    </row>
    <row r="1611" spans="1:19" x14ac:dyDescent="0.35">
      <c r="A1611" s="1">
        <v>1609</v>
      </c>
      <c r="B1611" t="s">
        <v>829</v>
      </c>
      <c r="C1611" t="s">
        <v>253</v>
      </c>
      <c r="D1611" t="s">
        <v>499</v>
      </c>
      <c r="E1611">
        <v>3.994340740740741</v>
      </c>
      <c r="F1611">
        <v>6.1556924987129253</v>
      </c>
      <c r="G1611">
        <v>27</v>
      </c>
      <c r="H1611" t="s">
        <v>58</v>
      </c>
      <c r="M1611">
        <v>16.30572573816659</v>
      </c>
      <c r="N1611">
        <v>-8.3170442566851097</v>
      </c>
      <c r="O1611">
        <v>24.622769994851701</v>
      </c>
      <c r="P1611">
        <v>0.64888568452305007</v>
      </c>
      <c r="R1611" t="str">
        <f t="shared" si="50"/>
        <v>yes</v>
      </c>
      <c r="S1611" t="str">
        <f t="shared" si="51"/>
        <v>no</v>
      </c>
    </row>
    <row r="1612" spans="1:19" x14ac:dyDescent="0.35">
      <c r="A1612" s="1">
        <v>1610</v>
      </c>
      <c r="B1612" t="s">
        <v>829</v>
      </c>
      <c r="C1612" t="s">
        <v>253</v>
      </c>
      <c r="D1612" t="s">
        <v>500</v>
      </c>
      <c r="E1612">
        <v>0</v>
      </c>
      <c r="F1612">
        <v>0</v>
      </c>
      <c r="G1612">
        <v>27</v>
      </c>
      <c r="H1612" t="s">
        <v>58</v>
      </c>
      <c r="M1612">
        <v>0</v>
      </c>
      <c r="N1612">
        <v>0</v>
      </c>
      <c r="O1612">
        <v>0</v>
      </c>
      <c r="R1612" t="str">
        <f t="shared" si="50"/>
        <v>yes</v>
      </c>
      <c r="S1612" t="str">
        <f t="shared" si="51"/>
        <v>no</v>
      </c>
    </row>
    <row r="1613" spans="1:19" x14ac:dyDescent="0.35">
      <c r="A1613" s="1">
        <v>1611</v>
      </c>
      <c r="B1613" t="s">
        <v>829</v>
      </c>
      <c r="C1613" t="s">
        <v>253</v>
      </c>
      <c r="D1613" t="s">
        <v>501</v>
      </c>
      <c r="E1613">
        <v>12.274311111111111</v>
      </c>
      <c r="F1613">
        <v>19.193132126561679</v>
      </c>
      <c r="G1613">
        <v>27</v>
      </c>
      <c r="H1613" t="s">
        <v>58</v>
      </c>
      <c r="M1613">
        <v>50.660575364234468</v>
      </c>
      <c r="N1613">
        <v>-26.111953142012251</v>
      </c>
      <c r="O1613">
        <v>76.772528506246715</v>
      </c>
      <c r="P1613">
        <v>0.63951579294994265</v>
      </c>
      <c r="R1613" t="str">
        <f t="shared" si="50"/>
        <v>yes</v>
      </c>
      <c r="S1613" t="str">
        <f t="shared" si="51"/>
        <v>no</v>
      </c>
    </row>
    <row r="1614" spans="1:19" x14ac:dyDescent="0.35">
      <c r="A1614" s="1">
        <v>1612</v>
      </c>
      <c r="B1614" t="s">
        <v>829</v>
      </c>
      <c r="C1614" t="s">
        <v>253</v>
      </c>
      <c r="D1614" t="s">
        <v>502</v>
      </c>
      <c r="E1614">
        <v>0</v>
      </c>
      <c r="F1614">
        <v>0</v>
      </c>
      <c r="G1614">
        <v>27</v>
      </c>
      <c r="H1614" t="s">
        <v>58</v>
      </c>
      <c r="M1614">
        <v>0</v>
      </c>
      <c r="N1614">
        <v>0</v>
      </c>
      <c r="O1614">
        <v>0</v>
      </c>
      <c r="R1614" t="str">
        <f t="shared" si="50"/>
        <v>yes</v>
      </c>
      <c r="S1614" t="str">
        <f t="shared" si="51"/>
        <v>no</v>
      </c>
    </row>
    <row r="1615" spans="1:19" x14ac:dyDescent="0.35">
      <c r="A1615" s="1">
        <v>1613</v>
      </c>
      <c r="B1615" t="s">
        <v>829</v>
      </c>
      <c r="C1615" t="s">
        <v>253</v>
      </c>
      <c r="D1615" t="s">
        <v>503</v>
      </c>
      <c r="E1615">
        <v>2.9957555555555562</v>
      </c>
      <c r="F1615">
        <v>5.6045454517067581</v>
      </c>
      <c r="G1615">
        <v>27</v>
      </c>
      <c r="H1615" t="s">
        <v>58</v>
      </c>
      <c r="M1615">
        <v>14.204846458969071</v>
      </c>
      <c r="N1615">
        <v>-8.21333534785796</v>
      </c>
      <c r="O1615">
        <v>22.418181806827029</v>
      </c>
      <c r="P1615">
        <v>0.5345224838248489</v>
      </c>
      <c r="R1615" t="str">
        <f t="shared" si="50"/>
        <v>yes</v>
      </c>
      <c r="S1615" t="str">
        <f t="shared" si="51"/>
        <v>no</v>
      </c>
    </row>
    <row r="1616" spans="1:19" x14ac:dyDescent="0.35">
      <c r="A1616" s="1">
        <v>1614</v>
      </c>
      <c r="B1616" t="s">
        <v>829</v>
      </c>
      <c r="C1616" t="s">
        <v>253</v>
      </c>
      <c r="D1616" t="s">
        <v>504</v>
      </c>
      <c r="E1616">
        <v>0</v>
      </c>
      <c r="F1616">
        <v>0</v>
      </c>
      <c r="G1616">
        <v>27</v>
      </c>
      <c r="H1616" t="s">
        <v>58</v>
      </c>
      <c r="M1616">
        <v>0</v>
      </c>
      <c r="N1616">
        <v>0</v>
      </c>
      <c r="O1616">
        <v>0</v>
      </c>
      <c r="R1616" t="str">
        <f t="shared" si="50"/>
        <v>yes</v>
      </c>
      <c r="S1616" t="str">
        <f t="shared" si="51"/>
        <v>no</v>
      </c>
    </row>
    <row r="1617" spans="1:19" x14ac:dyDescent="0.35">
      <c r="A1617" s="1">
        <v>1615</v>
      </c>
      <c r="B1617" t="s">
        <v>829</v>
      </c>
      <c r="C1617" t="s">
        <v>253</v>
      </c>
      <c r="D1617" t="s">
        <v>505</v>
      </c>
      <c r="E1617">
        <v>8.8330481481481478</v>
      </c>
      <c r="F1617">
        <v>16.592909238997471</v>
      </c>
      <c r="G1617">
        <v>27</v>
      </c>
      <c r="H1617" t="s">
        <v>58</v>
      </c>
      <c r="M1617">
        <v>42.018866626143087</v>
      </c>
      <c r="N1617">
        <v>-24.352770329846791</v>
      </c>
      <c r="O1617">
        <v>66.371636955989885</v>
      </c>
      <c r="P1617">
        <v>0.53233872498912271</v>
      </c>
      <c r="R1617" t="str">
        <f t="shared" si="50"/>
        <v>yes</v>
      </c>
      <c r="S1617" t="str">
        <f t="shared" si="51"/>
        <v>no</v>
      </c>
    </row>
    <row r="1618" spans="1:19" x14ac:dyDescent="0.35">
      <c r="A1618" s="1">
        <v>1616</v>
      </c>
      <c r="B1618" t="s">
        <v>829</v>
      </c>
      <c r="C1618" t="s">
        <v>253</v>
      </c>
      <c r="D1618" t="s">
        <v>506</v>
      </c>
      <c r="E1618">
        <v>0</v>
      </c>
      <c r="F1618">
        <v>0</v>
      </c>
      <c r="G1618">
        <v>27</v>
      </c>
      <c r="H1618" t="s">
        <v>58</v>
      </c>
      <c r="M1618">
        <v>0</v>
      </c>
      <c r="N1618">
        <v>0</v>
      </c>
      <c r="O1618">
        <v>0</v>
      </c>
      <c r="R1618" t="str">
        <f t="shared" si="50"/>
        <v>yes</v>
      </c>
      <c r="S1618" t="str">
        <f t="shared" si="51"/>
        <v>no</v>
      </c>
    </row>
    <row r="1619" spans="1:19" x14ac:dyDescent="0.35">
      <c r="A1619" s="1">
        <v>1617</v>
      </c>
      <c r="B1619" t="s">
        <v>829</v>
      </c>
      <c r="C1619" t="s">
        <v>253</v>
      </c>
      <c r="D1619" t="s">
        <v>507</v>
      </c>
      <c r="E1619">
        <v>3.994340740740741</v>
      </c>
      <c r="F1619">
        <v>6.1556924987129253</v>
      </c>
      <c r="G1619">
        <v>27</v>
      </c>
      <c r="H1619" t="s">
        <v>58</v>
      </c>
      <c r="M1619">
        <v>16.30572573816659</v>
      </c>
      <c r="N1619">
        <v>-8.3170442566851097</v>
      </c>
      <c r="O1619">
        <v>24.622769994851701</v>
      </c>
      <c r="P1619">
        <v>0.64888568452305007</v>
      </c>
      <c r="R1619" t="str">
        <f t="shared" si="50"/>
        <v>yes</v>
      </c>
      <c r="S1619" t="str">
        <f t="shared" si="51"/>
        <v>no</v>
      </c>
    </row>
    <row r="1620" spans="1:19" x14ac:dyDescent="0.35">
      <c r="A1620" s="1">
        <v>1618</v>
      </c>
      <c r="B1620" t="s">
        <v>829</v>
      </c>
      <c r="C1620" t="s">
        <v>253</v>
      </c>
      <c r="D1620" t="s">
        <v>508</v>
      </c>
      <c r="E1620">
        <v>0</v>
      </c>
      <c r="F1620">
        <v>0</v>
      </c>
      <c r="G1620">
        <v>27</v>
      </c>
      <c r="H1620" t="s">
        <v>58</v>
      </c>
      <c r="M1620">
        <v>0</v>
      </c>
      <c r="N1620">
        <v>0</v>
      </c>
      <c r="O1620">
        <v>0</v>
      </c>
      <c r="R1620" t="str">
        <f t="shared" si="50"/>
        <v>yes</v>
      </c>
      <c r="S1620" t="str">
        <f t="shared" si="51"/>
        <v>no</v>
      </c>
    </row>
    <row r="1621" spans="1:19" x14ac:dyDescent="0.35">
      <c r="A1621" s="1">
        <v>1619</v>
      </c>
      <c r="B1621" t="s">
        <v>829</v>
      </c>
      <c r="C1621" t="s">
        <v>253</v>
      </c>
      <c r="D1621" t="s">
        <v>509</v>
      </c>
      <c r="E1621">
        <v>10.517344444444451</v>
      </c>
      <c r="F1621">
        <v>16.325647163267561</v>
      </c>
      <c r="G1621">
        <v>27</v>
      </c>
      <c r="H1621" t="s">
        <v>58</v>
      </c>
      <c r="M1621">
        <v>43.16863877097957</v>
      </c>
      <c r="N1621">
        <v>-22.133949882090668</v>
      </c>
      <c r="O1621">
        <v>65.302588653070245</v>
      </c>
      <c r="P1621">
        <v>0.64422220689102627</v>
      </c>
      <c r="R1621" t="str">
        <f t="shared" si="50"/>
        <v>yes</v>
      </c>
      <c r="S1621" t="str">
        <f t="shared" si="51"/>
        <v>no</v>
      </c>
    </row>
    <row r="1622" spans="1:19" x14ac:dyDescent="0.35">
      <c r="A1622" s="1">
        <v>1620</v>
      </c>
      <c r="B1622" t="s">
        <v>829</v>
      </c>
      <c r="C1622" t="s">
        <v>253</v>
      </c>
      <c r="D1622" t="s">
        <v>510</v>
      </c>
      <c r="E1622">
        <v>0</v>
      </c>
      <c r="F1622">
        <v>0</v>
      </c>
      <c r="G1622">
        <v>27</v>
      </c>
      <c r="H1622" t="s">
        <v>58</v>
      </c>
      <c r="M1622">
        <v>0</v>
      </c>
      <c r="N1622">
        <v>0</v>
      </c>
      <c r="O1622">
        <v>0</v>
      </c>
      <c r="R1622" t="str">
        <f t="shared" si="50"/>
        <v>yes</v>
      </c>
      <c r="S1622" t="str">
        <f t="shared" si="51"/>
        <v>no</v>
      </c>
    </row>
    <row r="1623" spans="1:19" x14ac:dyDescent="0.35">
      <c r="A1623" s="1">
        <v>1621</v>
      </c>
      <c r="B1623" t="s">
        <v>829</v>
      </c>
      <c r="C1623" t="s">
        <v>253</v>
      </c>
      <c r="D1623" t="s">
        <v>511</v>
      </c>
      <c r="E1623">
        <v>2.9957555555555562</v>
      </c>
      <c r="F1623">
        <v>5.6045454517067581</v>
      </c>
      <c r="G1623">
        <v>27</v>
      </c>
      <c r="H1623" t="s">
        <v>58</v>
      </c>
      <c r="M1623">
        <v>14.204846458969071</v>
      </c>
      <c r="N1623">
        <v>-8.21333534785796</v>
      </c>
      <c r="O1623">
        <v>22.418181806827029</v>
      </c>
      <c r="P1623">
        <v>0.5345224838248489</v>
      </c>
      <c r="R1623" t="str">
        <f t="shared" si="50"/>
        <v>yes</v>
      </c>
      <c r="S1623" t="str">
        <f t="shared" si="51"/>
        <v>no</v>
      </c>
    </row>
    <row r="1624" spans="1:19" x14ac:dyDescent="0.35">
      <c r="A1624" s="1">
        <v>1622</v>
      </c>
      <c r="B1624" t="s">
        <v>829</v>
      </c>
      <c r="C1624" t="s">
        <v>253</v>
      </c>
      <c r="D1624" t="s">
        <v>512</v>
      </c>
      <c r="E1624">
        <v>0</v>
      </c>
      <c r="F1624">
        <v>0</v>
      </c>
      <c r="G1624">
        <v>27</v>
      </c>
      <c r="H1624" t="s">
        <v>58</v>
      </c>
      <c r="M1624">
        <v>0</v>
      </c>
      <c r="N1624">
        <v>0</v>
      </c>
      <c r="O1624">
        <v>0</v>
      </c>
      <c r="R1624" t="str">
        <f t="shared" si="50"/>
        <v>yes</v>
      </c>
      <c r="S1624" t="str">
        <f t="shared" si="51"/>
        <v>no</v>
      </c>
    </row>
    <row r="1625" spans="1:19" x14ac:dyDescent="0.35">
      <c r="A1625" s="1">
        <v>1623</v>
      </c>
      <c r="B1625" t="s">
        <v>829</v>
      </c>
      <c r="C1625" t="s">
        <v>253</v>
      </c>
      <c r="D1625" t="s">
        <v>513</v>
      </c>
      <c r="E1625">
        <v>8.9750185185185192</v>
      </c>
      <c r="F1625">
        <v>16.859798228792151</v>
      </c>
      <c r="G1625">
        <v>27</v>
      </c>
      <c r="H1625" t="s">
        <v>58</v>
      </c>
      <c r="M1625">
        <v>42.69461497610282</v>
      </c>
      <c r="N1625">
        <v>-24.744577939065781</v>
      </c>
      <c r="O1625">
        <v>67.439192915168604</v>
      </c>
      <c r="P1625">
        <v>0.53233249868859767</v>
      </c>
      <c r="R1625" t="str">
        <f t="shared" si="50"/>
        <v>yes</v>
      </c>
      <c r="S1625" t="str">
        <f t="shared" si="51"/>
        <v>no</v>
      </c>
    </row>
    <row r="1626" spans="1:19" x14ac:dyDescent="0.35">
      <c r="A1626" s="1">
        <v>1624</v>
      </c>
      <c r="B1626" t="s">
        <v>829</v>
      </c>
      <c r="C1626" t="s">
        <v>253</v>
      </c>
      <c r="D1626" t="s">
        <v>514</v>
      </c>
      <c r="E1626">
        <v>0</v>
      </c>
      <c r="F1626">
        <v>0</v>
      </c>
      <c r="G1626">
        <v>27</v>
      </c>
      <c r="H1626" t="s">
        <v>58</v>
      </c>
      <c r="M1626">
        <v>0</v>
      </c>
      <c r="N1626">
        <v>0</v>
      </c>
      <c r="O1626">
        <v>0</v>
      </c>
      <c r="R1626" t="str">
        <f t="shared" si="50"/>
        <v>yes</v>
      </c>
      <c r="S1626" t="str">
        <f t="shared" si="51"/>
        <v>no</v>
      </c>
    </row>
    <row r="1627" spans="1:19" x14ac:dyDescent="0.35">
      <c r="A1627" s="1">
        <v>1625</v>
      </c>
      <c r="B1627" t="s">
        <v>829</v>
      </c>
      <c r="C1627" t="s">
        <v>253</v>
      </c>
      <c r="D1627" t="s">
        <v>515</v>
      </c>
      <c r="E1627">
        <v>3.994340740740741</v>
      </c>
      <c r="F1627">
        <v>6.1556924987129253</v>
      </c>
      <c r="G1627">
        <v>27</v>
      </c>
      <c r="H1627" t="s">
        <v>58</v>
      </c>
      <c r="M1627">
        <v>16.30572573816659</v>
      </c>
      <c r="N1627">
        <v>-8.3170442566851097</v>
      </c>
      <c r="O1627">
        <v>24.622769994851701</v>
      </c>
      <c r="P1627">
        <v>0.64888568452305007</v>
      </c>
      <c r="R1627" t="str">
        <f t="shared" si="50"/>
        <v>yes</v>
      </c>
      <c r="S1627" t="str">
        <f t="shared" si="51"/>
        <v>no</v>
      </c>
    </row>
    <row r="1628" spans="1:19" x14ac:dyDescent="0.35">
      <c r="A1628" s="1">
        <v>1626</v>
      </c>
      <c r="B1628" t="s">
        <v>829</v>
      </c>
      <c r="C1628" t="s">
        <v>253</v>
      </c>
      <c r="D1628" t="s">
        <v>516</v>
      </c>
      <c r="E1628">
        <v>0</v>
      </c>
      <c r="F1628">
        <v>0</v>
      </c>
      <c r="G1628">
        <v>27</v>
      </c>
      <c r="H1628" t="s">
        <v>58</v>
      </c>
      <c r="M1628">
        <v>0</v>
      </c>
      <c r="N1628">
        <v>0</v>
      </c>
      <c r="O1628">
        <v>0</v>
      </c>
      <c r="R1628" t="str">
        <f t="shared" si="50"/>
        <v>yes</v>
      </c>
      <c r="S1628" t="str">
        <f t="shared" si="51"/>
        <v>no</v>
      </c>
    </row>
    <row r="1629" spans="1:19" x14ac:dyDescent="0.35">
      <c r="A1629" s="1">
        <v>1627</v>
      </c>
      <c r="B1629" t="s">
        <v>829</v>
      </c>
      <c r="C1629" t="s">
        <v>253</v>
      </c>
      <c r="D1629" t="s">
        <v>517</v>
      </c>
      <c r="E1629">
        <v>11.475688888888889</v>
      </c>
      <c r="F1629">
        <v>17.900032867119279</v>
      </c>
      <c r="G1629">
        <v>27</v>
      </c>
      <c r="H1629" t="s">
        <v>58</v>
      </c>
      <c r="M1629">
        <v>47.275754623127447</v>
      </c>
      <c r="N1629">
        <v>-24.324376845349668</v>
      </c>
      <c r="O1629">
        <v>71.600131468477116</v>
      </c>
      <c r="P1629">
        <v>0.64109876077203631</v>
      </c>
      <c r="R1629" t="str">
        <f t="shared" si="50"/>
        <v>yes</v>
      </c>
      <c r="S1629" t="str">
        <f t="shared" si="51"/>
        <v>no</v>
      </c>
    </row>
    <row r="1630" spans="1:19" x14ac:dyDescent="0.35">
      <c r="A1630" s="1">
        <v>1628</v>
      </c>
      <c r="B1630" t="s">
        <v>829</v>
      </c>
      <c r="C1630" t="s">
        <v>253</v>
      </c>
      <c r="D1630" t="s">
        <v>518</v>
      </c>
      <c r="E1630">
        <v>25.486829629629629</v>
      </c>
      <c r="F1630">
        <v>61.154450554155098</v>
      </c>
      <c r="G1630">
        <v>27</v>
      </c>
      <c r="H1630" t="s">
        <v>58</v>
      </c>
      <c r="M1630">
        <v>147.79573073793981</v>
      </c>
      <c r="N1630">
        <v>-96.82207147868057</v>
      </c>
      <c r="O1630">
        <v>244.61780221662039</v>
      </c>
      <c r="P1630">
        <v>0.41676164855834752</v>
      </c>
      <c r="R1630" t="str">
        <f t="shared" si="50"/>
        <v>yes</v>
      </c>
      <c r="S1630" t="str">
        <f t="shared" si="51"/>
        <v>no</v>
      </c>
    </row>
    <row r="1631" spans="1:19" x14ac:dyDescent="0.35">
      <c r="A1631" s="1">
        <v>1629</v>
      </c>
      <c r="B1631" t="s">
        <v>829</v>
      </c>
      <c r="C1631" t="s">
        <v>253</v>
      </c>
      <c r="D1631" t="s">
        <v>519</v>
      </c>
      <c r="E1631">
        <v>0</v>
      </c>
      <c r="F1631">
        <v>0</v>
      </c>
      <c r="G1631">
        <v>27</v>
      </c>
      <c r="H1631" t="s">
        <v>58</v>
      </c>
      <c r="M1631">
        <v>0</v>
      </c>
      <c r="N1631">
        <v>0</v>
      </c>
      <c r="O1631">
        <v>0</v>
      </c>
      <c r="R1631" t="str">
        <f t="shared" si="50"/>
        <v>yes</v>
      </c>
      <c r="S1631" t="str">
        <f t="shared" si="51"/>
        <v>no</v>
      </c>
    </row>
    <row r="1632" spans="1:19" x14ac:dyDescent="0.35">
      <c r="A1632" s="1">
        <v>1630</v>
      </c>
      <c r="B1632" t="s">
        <v>829</v>
      </c>
      <c r="C1632" t="s">
        <v>253</v>
      </c>
      <c r="D1632" t="s">
        <v>520</v>
      </c>
      <c r="E1632">
        <v>0</v>
      </c>
      <c r="F1632">
        <v>0</v>
      </c>
      <c r="G1632">
        <v>27</v>
      </c>
      <c r="H1632" t="s">
        <v>58</v>
      </c>
      <c r="M1632">
        <v>0</v>
      </c>
      <c r="N1632">
        <v>0</v>
      </c>
      <c r="O1632">
        <v>0</v>
      </c>
      <c r="R1632" t="str">
        <f t="shared" si="50"/>
        <v>yes</v>
      </c>
      <c r="S1632" t="str">
        <f t="shared" si="51"/>
        <v>no</v>
      </c>
    </row>
    <row r="1633" spans="1:19" x14ac:dyDescent="0.35">
      <c r="A1633" s="1">
        <v>1631</v>
      </c>
      <c r="B1633" t="s">
        <v>829</v>
      </c>
      <c r="C1633" t="s">
        <v>253</v>
      </c>
      <c r="D1633" t="s">
        <v>521</v>
      </c>
      <c r="E1633">
        <v>5.4450185185185189</v>
      </c>
      <c r="F1633">
        <v>13.064752988041761</v>
      </c>
      <c r="G1633">
        <v>27</v>
      </c>
      <c r="H1633" t="s">
        <v>58</v>
      </c>
      <c r="M1633">
        <v>31.574524494602041</v>
      </c>
      <c r="N1633">
        <v>-20.684487457565002</v>
      </c>
      <c r="O1633">
        <v>52.259011952167043</v>
      </c>
      <c r="P1633">
        <v>0.41677163919611598</v>
      </c>
      <c r="R1633" t="str">
        <f t="shared" si="50"/>
        <v>yes</v>
      </c>
      <c r="S1633" t="str">
        <f t="shared" si="51"/>
        <v>no</v>
      </c>
    </row>
    <row r="1634" spans="1:19" x14ac:dyDescent="0.35">
      <c r="A1634" s="1">
        <v>1632</v>
      </c>
      <c r="B1634" t="s">
        <v>829</v>
      </c>
      <c r="C1634" t="s">
        <v>253</v>
      </c>
      <c r="D1634" t="s">
        <v>522</v>
      </c>
      <c r="E1634">
        <v>22.87661111111111</v>
      </c>
      <c r="F1634">
        <v>57.463096555662837</v>
      </c>
      <c r="G1634">
        <v>27</v>
      </c>
      <c r="H1634" t="s">
        <v>58</v>
      </c>
      <c r="M1634">
        <v>137.80280422243681</v>
      </c>
      <c r="N1634">
        <v>-92.049582000214571</v>
      </c>
      <c r="O1634">
        <v>229.85238622265129</v>
      </c>
      <c r="P1634">
        <v>0.39810961264419847</v>
      </c>
      <c r="R1634" t="str">
        <f t="shared" si="50"/>
        <v>yes</v>
      </c>
      <c r="S1634" t="str">
        <f t="shared" si="51"/>
        <v>no</v>
      </c>
    </row>
    <row r="1635" spans="1:19" x14ac:dyDescent="0.35">
      <c r="A1635" s="1">
        <v>1633</v>
      </c>
      <c r="B1635" t="s">
        <v>829</v>
      </c>
      <c r="C1635" t="s">
        <v>253</v>
      </c>
      <c r="D1635" t="s">
        <v>523</v>
      </c>
      <c r="E1635">
        <v>0</v>
      </c>
      <c r="F1635">
        <v>0</v>
      </c>
      <c r="G1635">
        <v>27</v>
      </c>
      <c r="H1635" t="s">
        <v>58</v>
      </c>
      <c r="M1635">
        <v>0</v>
      </c>
      <c r="N1635">
        <v>0</v>
      </c>
      <c r="O1635">
        <v>0</v>
      </c>
      <c r="R1635" t="str">
        <f t="shared" si="50"/>
        <v>yes</v>
      </c>
      <c r="S1635" t="str">
        <f t="shared" si="51"/>
        <v>no</v>
      </c>
    </row>
    <row r="1636" spans="1:19" x14ac:dyDescent="0.35">
      <c r="A1636" s="1">
        <v>1634</v>
      </c>
      <c r="B1636" t="s">
        <v>829</v>
      </c>
      <c r="C1636" t="s">
        <v>253</v>
      </c>
      <c r="D1636" t="s">
        <v>524</v>
      </c>
      <c r="E1636">
        <v>0</v>
      </c>
      <c r="F1636">
        <v>0</v>
      </c>
      <c r="G1636">
        <v>27</v>
      </c>
      <c r="H1636" t="s">
        <v>58</v>
      </c>
      <c r="M1636">
        <v>0</v>
      </c>
      <c r="N1636">
        <v>0</v>
      </c>
      <c r="O1636">
        <v>0</v>
      </c>
      <c r="R1636" t="str">
        <f t="shared" si="50"/>
        <v>yes</v>
      </c>
      <c r="S1636" t="str">
        <f t="shared" si="51"/>
        <v>no</v>
      </c>
    </row>
    <row r="1637" spans="1:19" x14ac:dyDescent="0.35">
      <c r="A1637" s="1">
        <v>1635</v>
      </c>
      <c r="B1637" t="s">
        <v>829</v>
      </c>
      <c r="C1637" t="s">
        <v>253</v>
      </c>
      <c r="D1637" t="s">
        <v>525</v>
      </c>
      <c r="E1637">
        <v>5.2852962962962966</v>
      </c>
      <c r="F1637">
        <v>12.68878324454411</v>
      </c>
      <c r="G1637">
        <v>27</v>
      </c>
      <c r="H1637" t="s">
        <v>58</v>
      </c>
      <c r="M1637">
        <v>30.662862785384519</v>
      </c>
      <c r="N1637">
        <v>-20.092270192791919</v>
      </c>
      <c r="O1637">
        <v>50.755132978176441</v>
      </c>
      <c r="P1637">
        <v>0.41653294838721872</v>
      </c>
      <c r="R1637" t="str">
        <f t="shared" si="50"/>
        <v>yes</v>
      </c>
      <c r="S1637" t="str">
        <f t="shared" si="51"/>
        <v>no</v>
      </c>
    </row>
    <row r="1638" spans="1:19" x14ac:dyDescent="0.35">
      <c r="A1638" s="1">
        <v>1636</v>
      </c>
      <c r="B1638" t="s">
        <v>829</v>
      </c>
      <c r="C1638" t="s">
        <v>253</v>
      </c>
      <c r="D1638" t="s">
        <v>526</v>
      </c>
      <c r="E1638">
        <v>31.976118518518511</v>
      </c>
      <c r="F1638">
        <v>67.194963591180169</v>
      </c>
      <c r="G1638">
        <v>27</v>
      </c>
      <c r="H1638" t="s">
        <v>58</v>
      </c>
      <c r="M1638">
        <v>166.36604570087891</v>
      </c>
      <c r="N1638">
        <v>-102.41380866384181</v>
      </c>
      <c r="O1638">
        <v>268.77985436472068</v>
      </c>
      <c r="P1638">
        <v>0.47587076187828481</v>
      </c>
      <c r="R1638" t="str">
        <f t="shared" si="50"/>
        <v>yes</v>
      </c>
      <c r="S1638" t="str">
        <f t="shared" si="51"/>
        <v>no</v>
      </c>
    </row>
    <row r="1639" spans="1:19" x14ac:dyDescent="0.35">
      <c r="A1639" s="1">
        <v>1637</v>
      </c>
      <c r="B1639" t="s">
        <v>829</v>
      </c>
      <c r="C1639" t="s">
        <v>253</v>
      </c>
      <c r="D1639" t="s">
        <v>527</v>
      </c>
      <c r="E1639">
        <v>0</v>
      </c>
      <c r="F1639">
        <v>0</v>
      </c>
      <c r="G1639">
        <v>27</v>
      </c>
      <c r="H1639" t="s">
        <v>58</v>
      </c>
      <c r="M1639">
        <v>0</v>
      </c>
      <c r="N1639">
        <v>0</v>
      </c>
      <c r="O1639">
        <v>0</v>
      </c>
      <c r="R1639" t="str">
        <f t="shared" si="50"/>
        <v>yes</v>
      </c>
      <c r="S1639" t="str">
        <f t="shared" si="51"/>
        <v>no</v>
      </c>
    </row>
    <row r="1640" spans="1:19" x14ac:dyDescent="0.35">
      <c r="A1640" s="1">
        <v>1638</v>
      </c>
      <c r="B1640" t="s">
        <v>829</v>
      </c>
      <c r="C1640" t="s">
        <v>253</v>
      </c>
      <c r="D1640" t="s">
        <v>528</v>
      </c>
      <c r="E1640">
        <v>0</v>
      </c>
      <c r="F1640">
        <v>0</v>
      </c>
      <c r="G1640">
        <v>27</v>
      </c>
      <c r="H1640" t="s">
        <v>58</v>
      </c>
      <c r="M1640">
        <v>0</v>
      </c>
      <c r="N1640">
        <v>0</v>
      </c>
      <c r="O1640">
        <v>0</v>
      </c>
      <c r="R1640" t="str">
        <f t="shared" si="50"/>
        <v>yes</v>
      </c>
      <c r="S1640" t="str">
        <f t="shared" si="51"/>
        <v>no</v>
      </c>
    </row>
    <row r="1641" spans="1:19" x14ac:dyDescent="0.35">
      <c r="A1641" s="1">
        <v>1639</v>
      </c>
      <c r="B1641" t="s">
        <v>829</v>
      </c>
      <c r="C1641" t="s">
        <v>253</v>
      </c>
      <c r="D1641" t="s">
        <v>529</v>
      </c>
      <c r="E1641">
        <v>6.420274074074074</v>
      </c>
      <c r="F1641">
        <v>13.48091334804419</v>
      </c>
      <c r="G1641">
        <v>27</v>
      </c>
      <c r="H1641" t="s">
        <v>58</v>
      </c>
      <c r="M1641">
        <v>33.382100770162452</v>
      </c>
      <c r="N1641">
        <v>-20.541552622014311</v>
      </c>
      <c r="O1641">
        <v>53.92365339217676</v>
      </c>
      <c r="P1641">
        <v>0.47624919086105738</v>
      </c>
      <c r="R1641" t="str">
        <f t="shared" si="50"/>
        <v>yes</v>
      </c>
      <c r="S1641" t="str">
        <f t="shared" si="51"/>
        <v>no</v>
      </c>
    </row>
    <row r="1642" spans="1:19" x14ac:dyDescent="0.35">
      <c r="A1642" s="1">
        <v>1640</v>
      </c>
      <c r="B1642" t="s">
        <v>829</v>
      </c>
      <c r="C1642" t="s">
        <v>253</v>
      </c>
      <c r="D1642" t="s">
        <v>530</v>
      </c>
      <c r="E1642">
        <v>25.697714814814809</v>
      </c>
      <c r="F1642">
        <v>58.136291991247887</v>
      </c>
      <c r="G1642">
        <v>27</v>
      </c>
      <c r="H1642" t="s">
        <v>58</v>
      </c>
      <c r="M1642">
        <v>141.97029879731059</v>
      </c>
      <c r="N1642">
        <v>-90.574869167680959</v>
      </c>
      <c r="O1642">
        <v>232.54516796499149</v>
      </c>
      <c r="P1642">
        <v>0.44202534999451742</v>
      </c>
      <c r="R1642" t="str">
        <f t="shared" si="50"/>
        <v>yes</v>
      </c>
      <c r="S1642" t="str">
        <f t="shared" si="51"/>
        <v>no</v>
      </c>
    </row>
    <row r="1643" spans="1:19" x14ac:dyDescent="0.35">
      <c r="A1643" s="1">
        <v>1641</v>
      </c>
      <c r="B1643" t="s">
        <v>829</v>
      </c>
      <c r="C1643" t="s">
        <v>253</v>
      </c>
      <c r="D1643" t="s">
        <v>531</v>
      </c>
      <c r="E1643">
        <v>0</v>
      </c>
      <c r="F1643">
        <v>0</v>
      </c>
      <c r="G1643">
        <v>27</v>
      </c>
      <c r="H1643" t="s">
        <v>58</v>
      </c>
      <c r="M1643">
        <v>0</v>
      </c>
      <c r="N1643">
        <v>0</v>
      </c>
      <c r="O1643">
        <v>0</v>
      </c>
      <c r="R1643" t="str">
        <f t="shared" si="50"/>
        <v>yes</v>
      </c>
      <c r="S1643" t="str">
        <f t="shared" si="51"/>
        <v>no</v>
      </c>
    </row>
    <row r="1644" spans="1:19" x14ac:dyDescent="0.35">
      <c r="A1644" s="1">
        <v>1642</v>
      </c>
      <c r="B1644" t="s">
        <v>829</v>
      </c>
      <c r="C1644" t="s">
        <v>253</v>
      </c>
      <c r="D1644" t="s">
        <v>532</v>
      </c>
      <c r="E1644">
        <v>0</v>
      </c>
      <c r="F1644">
        <v>0</v>
      </c>
      <c r="G1644">
        <v>27</v>
      </c>
      <c r="H1644" t="s">
        <v>58</v>
      </c>
      <c r="M1644">
        <v>0</v>
      </c>
      <c r="N1644">
        <v>0</v>
      </c>
      <c r="O1644">
        <v>0</v>
      </c>
      <c r="R1644" t="str">
        <f t="shared" si="50"/>
        <v>yes</v>
      </c>
      <c r="S1644" t="str">
        <f t="shared" si="51"/>
        <v>no</v>
      </c>
    </row>
    <row r="1645" spans="1:19" x14ac:dyDescent="0.35">
      <c r="A1645" s="1">
        <v>1643</v>
      </c>
      <c r="B1645" t="s">
        <v>829</v>
      </c>
      <c r="C1645" t="s">
        <v>253</v>
      </c>
      <c r="D1645" t="s">
        <v>533</v>
      </c>
      <c r="E1645">
        <v>6.0475777777777768</v>
      </c>
      <c r="F1645">
        <v>12.785266130903359</v>
      </c>
      <c r="G1645">
        <v>27</v>
      </c>
      <c r="H1645" t="s">
        <v>58</v>
      </c>
      <c r="M1645">
        <v>31.61811003958449</v>
      </c>
      <c r="N1645">
        <v>-19.52295448402894</v>
      </c>
      <c r="O1645">
        <v>51.141064523613437</v>
      </c>
      <c r="P1645">
        <v>0.47301148962086392</v>
      </c>
      <c r="R1645" t="str">
        <f t="shared" si="50"/>
        <v>yes</v>
      </c>
      <c r="S1645" t="str">
        <f t="shared" si="51"/>
        <v>no</v>
      </c>
    </row>
    <row r="1646" spans="1:19" x14ac:dyDescent="0.35">
      <c r="A1646" s="1">
        <v>1644</v>
      </c>
      <c r="B1646" t="s">
        <v>829</v>
      </c>
      <c r="C1646" t="s">
        <v>253</v>
      </c>
      <c r="D1646" t="s">
        <v>534</v>
      </c>
      <c r="E1646">
        <v>32.000933333333329</v>
      </c>
      <c r="F1646">
        <v>67.216216624782092</v>
      </c>
      <c r="G1646">
        <v>27</v>
      </c>
      <c r="H1646" t="s">
        <v>58</v>
      </c>
      <c r="M1646">
        <v>166.43336658289749</v>
      </c>
      <c r="N1646">
        <v>-102.43149991623081</v>
      </c>
      <c r="O1646">
        <v>268.86486649912842</v>
      </c>
      <c r="P1646">
        <v>0.47608947572831462</v>
      </c>
      <c r="R1646" t="str">
        <f t="shared" si="50"/>
        <v>yes</v>
      </c>
      <c r="S1646" t="str">
        <f t="shared" si="51"/>
        <v>no</v>
      </c>
    </row>
    <row r="1647" spans="1:19" x14ac:dyDescent="0.35">
      <c r="A1647" s="1">
        <v>1645</v>
      </c>
      <c r="B1647" t="s">
        <v>829</v>
      </c>
      <c r="C1647" t="s">
        <v>253</v>
      </c>
      <c r="D1647" t="s">
        <v>535</v>
      </c>
      <c r="E1647">
        <v>0</v>
      </c>
      <c r="F1647">
        <v>0</v>
      </c>
      <c r="G1647">
        <v>27</v>
      </c>
      <c r="H1647" t="s">
        <v>58</v>
      </c>
      <c r="M1647">
        <v>0</v>
      </c>
      <c r="N1647">
        <v>0</v>
      </c>
      <c r="O1647">
        <v>0</v>
      </c>
      <c r="R1647" t="str">
        <f t="shared" si="50"/>
        <v>yes</v>
      </c>
      <c r="S1647" t="str">
        <f t="shared" si="51"/>
        <v>no</v>
      </c>
    </row>
    <row r="1648" spans="1:19" x14ac:dyDescent="0.35">
      <c r="A1648" s="1">
        <v>1646</v>
      </c>
      <c r="B1648" t="s">
        <v>829</v>
      </c>
      <c r="C1648" t="s">
        <v>253</v>
      </c>
      <c r="D1648" t="s">
        <v>536</v>
      </c>
      <c r="E1648">
        <v>0</v>
      </c>
      <c r="F1648">
        <v>0</v>
      </c>
      <c r="G1648">
        <v>27</v>
      </c>
      <c r="H1648" t="s">
        <v>58</v>
      </c>
      <c r="M1648">
        <v>0</v>
      </c>
      <c r="N1648">
        <v>0</v>
      </c>
      <c r="O1648">
        <v>0</v>
      </c>
      <c r="R1648" t="str">
        <f t="shared" si="50"/>
        <v>yes</v>
      </c>
      <c r="S1648" t="str">
        <f t="shared" si="51"/>
        <v>no</v>
      </c>
    </row>
    <row r="1649" spans="1:19" x14ac:dyDescent="0.35">
      <c r="A1649" s="1">
        <v>1647</v>
      </c>
      <c r="B1649" t="s">
        <v>829</v>
      </c>
      <c r="C1649" t="s">
        <v>253</v>
      </c>
      <c r="D1649" t="s">
        <v>537</v>
      </c>
      <c r="E1649">
        <v>5.6039037037037032</v>
      </c>
      <c r="F1649">
        <v>11.84162933400891</v>
      </c>
      <c r="G1649">
        <v>27</v>
      </c>
      <c r="H1649" t="s">
        <v>58</v>
      </c>
      <c r="M1649">
        <v>29.287162371721529</v>
      </c>
      <c r="N1649">
        <v>-18.07935496431412</v>
      </c>
      <c r="O1649">
        <v>47.366517336035642</v>
      </c>
      <c r="P1649">
        <v>0.47323755419445612</v>
      </c>
      <c r="R1649" t="str">
        <f t="shared" si="50"/>
        <v>yes</v>
      </c>
      <c r="S1649" t="str">
        <f t="shared" si="51"/>
        <v>no</v>
      </c>
    </row>
    <row r="1650" spans="1:19" x14ac:dyDescent="0.35">
      <c r="A1650" s="1">
        <v>1648</v>
      </c>
      <c r="B1650" t="s">
        <v>829</v>
      </c>
      <c r="C1650" t="s">
        <v>253</v>
      </c>
      <c r="D1650" t="s">
        <v>538</v>
      </c>
      <c r="E1650">
        <v>24.256166666666669</v>
      </c>
      <c r="F1650">
        <v>56.157718622894087</v>
      </c>
      <c r="G1650">
        <v>27</v>
      </c>
      <c r="H1650" t="s">
        <v>58</v>
      </c>
      <c r="M1650">
        <v>136.5716039124548</v>
      </c>
      <c r="N1650">
        <v>-88.059270579121502</v>
      </c>
      <c r="O1650">
        <v>224.63087449157629</v>
      </c>
      <c r="P1650">
        <v>0.43192934580462178</v>
      </c>
      <c r="R1650" t="str">
        <f t="shared" si="50"/>
        <v>yes</v>
      </c>
      <c r="S1650" t="str">
        <f t="shared" si="51"/>
        <v>no</v>
      </c>
    </row>
    <row r="1651" spans="1:19" x14ac:dyDescent="0.35">
      <c r="A1651" s="1">
        <v>1649</v>
      </c>
      <c r="B1651" t="s">
        <v>829</v>
      </c>
      <c r="C1651" t="s">
        <v>253</v>
      </c>
      <c r="D1651" t="s">
        <v>539</v>
      </c>
      <c r="E1651">
        <v>0</v>
      </c>
      <c r="F1651">
        <v>0</v>
      </c>
      <c r="G1651">
        <v>27</v>
      </c>
      <c r="H1651" t="s">
        <v>58</v>
      </c>
      <c r="M1651">
        <v>0</v>
      </c>
      <c r="N1651">
        <v>0</v>
      </c>
      <c r="O1651">
        <v>0</v>
      </c>
      <c r="R1651" t="str">
        <f t="shared" si="50"/>
        <v>yes</v>
      </c>
      <c r="S1651" t="str">
        <f t="shared" si="51"/>
        <v>no</v>
      </c>
    </row>
    <row r="1652" spans="1:19" x14ac:dyDescent="0.35">
      <c r="A1652" s="1">
        <v>1650</v>
      </c>
      <c r="B1652" t="s">
        <v>829</v>
      </c>
      <c r="C1652" t="s">
        <v>253</v>
      </c>
      <c r="D1652" t="s">
        <v>540</v>
      </c>
      <c r="E1652">
        <v>0</v>
      </c>
      <c r="F1652">
        <v>0</v>
      </c>
      <c r="G1652">
        <v>27</v>
      </c>
      <c r="H1652" t="s">
        <v>58</v>
      </c>
      <c r="M1652">
        <v>0</v>
      </c>
      <c r="N1652">
        <v>0</v>
      </c>
      <c r="O1652">
        <v>0</v>
      </c>
      <c r="R1652" t="str">
        <f t="shared" si="50"/>
        <v>yes</v>
      </c>
      <c r="S1652" t="str">
        <f t="shared" si="51"/>
        <v>no</v>
      </c>
    </row>
    <row r="1653" spans="1:19" x14ac:dyDescent="0.35">
      <c r="A1653" s="1">
        <v>1651</v>
      </c>
      <c r="B1653" t="s">
        <v>829</v>
      </c>
      <c r="C1653" t="s">
        <v>253</v>
      </c>
      <c r="D1653" t="s">
        <v>541</v>
      </c>
      <c r="E1653">
        <v>7.2188888888888876</v>
      </c>
      <c r="F1653">
        <v>15.17478169550299</v>
      </c>
      <c r="G1653">
        <v>27</v>
      </c>
      <c r="H1653" t="s">
        <v>58</v>
      </c>
      <c r="M1653">
        <v>37.568452279894871</v>
      </c>
      <c r="N1653">
        <v>-23.130674502117088</v>
      </c>
      <c r="O1653">
        <v>60.699126782011959</v>
      </c>
      <c r="P1653">
        <v>0.47571616078194973</v>
      </c>
      <c r="R1653" t="str">
        <f t="shared" si="50"/>
        <v>yes</v>
      </c>
      <c r="S1653" t="str">
        <f t="shared" si="51"/>
        <v>no</v>
      </c>
    </row>
    <row r="1654" spans="1:19" x14ac:dyDescent="0.35">
      <c r="A1654" s="1">
        <v>1652</v>
      </c>
      <c r="B1654" t="s">
        <v>829</v>
      </c>
      <c r="C1654" t="s">
        <v>542</v>
      </c>
      <c r="D1654" t="s">
        <v>543</v>
      </c>
      <c r="E1654">
        <v>1</v>
      </c>
      <c r="F1654">
        <v>0</v>
      </c>
      <c r="G1654">
        <v>27</v>
      </c>
      <c r="H1654" t="s">
        <v>58</v>
      </c>
      <c r="I1654">
        <v>1</v>
      </c>
      <c r="J1654">
        <v>1</v>
      </c>
      <c r="K1654">
        <v>1</v>
      </c>
      <c r="L1654">
        <v>0</v>
      </c>
      <c r="M1654">
        <v>1</v>
      </c>
      <c r="N1654">
        <v>1</v>
      </c>
      <c r="O1654">
        <v>0</v>
      </c>
      <c r="P1654" t="s">
        <v>21</v>
      </c>
      <c r="R1654" t="str">
        <f t="shared" si="50"/>
        <v>yes</v>
      </c>
      <c r="S1654" t="str">
        <f t="shared" si="51"/>
        <v>yes</v>
      </c>
    </row>
    <row r="1655" spans="1:19" x14ac:dyDescent="0.35">
      <c r="A1655" s="1">
        <v>1653</v>
      </c>
      <c r="B1655" t="s">
        <v>829</v>
      </c>
      <c r="C1655" t="s">
        <v>542</v>
      </c>
      <c r="D1655" t="s">
        <v>544</v>
      </c>
      <c r="E1655">
        <v>2</v>
      </c>
      <c r="F1655">
        <v>0</v>
      </c>
      <c r="G1655">
        <v>27</v>
      </c>
      <c r="H1655" t="s">
        <v>58</v>
      </c>
      <c r="M1655">
        <v>2</v>
      </c>
      <c r="N1655">
        <v>2</v>
      </c>
      <c r="O1655">
        <v>0</v>
      </c>
      <c r="P1655" t="s">
        <v>21</v>
      </c>
      <c r="R1655" t="str">
        <f t="shared" si="50"/>
        <v>yes</v>
      </c>
      <c r="S1655" t="str">
        <f t="shared" si="51"/>
        <v>no</v>
      </c>
    </row>
    <row r="1656" spans="1:19" x14ac:dyDescent="0.35">
      <c r="A1656" s="1">
        <v>1654</v>
      </c>
      <c r="B1656" t="s">
        <v>829</v>
      </c>
      <c r="C1656" t="s">
        <v>542</v>
      </c>
      <c r="D1656" t="s">
        <v>545</v>
      </c>
      <c r="E1656">
        <v>1</v>
      </c>
      <c r="F1656">
        <v>0</v>
      </c>
      <c r="G1656">
        <v>27</v>
      </c>
      <c r="H1656" t="s">
        <v>58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1</v>
      </c>
      <c r="O1656">
        <v>0</v>
      </c>
      <c r="P1656" t="s">
        <v>21</v>
      </c>
      <c r="R1656" t="str">
        <f t="shared" si="50"/>
        <v>yes</v>
      </c>
      <c r="S1656" t="str">
        <f t="shared" si="51"/>
        <v>yes</v>
      </c>
    </row>
    <row r="1657" spans="1:19" x14ac:dyDescent="0.35">
      <c r="A1657" s="1">
        <v>1655</v>
      </c>
      <c r="B1657" t="s">
        <v>829</v>
      </c>
      <c r="C1657" t="s">
        <v>542</v>
      </c>
      <c r="D1657" t="s">
        <v>546</v>
      </c>
      <c r="E1657">
        <v>1</v>
      </c>
      <c r="F1657">
        <v>0</v>
      </c>
      <c r="G1657">
        <v>27</v>
      </c>
      <c r="H1657" t="s">
        <v>58</v>
      </c>
      <c r="M1657">
        <v>1</v>
      </c>
      <c r="N1657">
        <v>1</v>
      </c>
      <c r="O1657">
        <v>0</v>
      </c>
      <c r="P1657" t="s">
        <v>21</v>
      </c>
      <c r="R1657" t="str">
        <f t="shared" si="50"/>
        <v>yes</v>
      </c>
      <c r="S1657" t="str">
        <f t="shared" si="51"/>
        <v>no</v>
      </c>
    </row>
    <row r="1658" spans="1:19" x14ac:dyDescent="0.35">
      <c r="A1658" s="1">
        <v>1656</v>
      </c>
      <c r="B1658" t="s">
        <v>829</v>
      </c>
      <c r="C1658" t="s">
        <v>542</v>
      </c>
      <c r="D1658" t="s">
        <v>547</v>
      </c>
      <c r="E1658">
        <v>1</v>
      </c>
      <c r="F1658">
        <v>0</v>
      </c>
      <c r="G1658">
        <v>27</v>
      </c>
      <c r="H1658" t="s">
        <v>58</v>
      </c>
      <c r="I1658">
        <v>1</v>
      </c>
      <c r="J1658">
        <v>1</v>
      </c>
      <c r="K1658">
        <v>1</v>
      </c>
      <c r="L1658">
        <v>0</v>
      </c>
      <c r="M1658">
        <v>1</v>
      </c>
      <c r="N1658">
        <v>1</v>
      </c>
      <c r="O1658">
        <v>0</v>
      </c>
      <c r="P1658" t="s">
        <v>21</v>
      </c>
      <c r="R1658" t="str">
        <f t="shared" si="50"/>
        <v>yes</v>
      </c>
      <c r="S1658" t="str">
        <f t="shared" si="51"/>
        <v>yes</v>
      </c>
    </row>
    <row r="1659" spans="1:19" x14ac:dyDescent="0.35">
      <c r="A1659" s="1">
        <v>1657</v>
      </c>
      <c r="B1659" t="s">
        <v>829</v>
      </c>
      <c r="C1659" t="s">
        <v>542</v>
      </c>
      <c r="D1659" t="s">
        <v>548</v>
      </c>
      <c r="E1659">
        <v>28.29933333333333</v>
      </c>
      <c r="F1659">
        <v>2.1468475912436729</v>
      </c>
      <c r="G1659">
        <v>27</v>
      </c>
      <c r="H1659" t="s">
        <v>58</v>
      </c>
      <c r="I1659">
        <v>-55</v>
      </c>
      <c r="J1659">
        <v>85</v>
      </c>
      <c r="K1659">
        <v>15</v>
      </c>
      <c r="L1659">
        <v>140</v>
      </c>
      <c r="M1659">
        <v>32.593028515820677</v>
      </c>
      <c r="N1659">
        <v>24.005638150845979</v>
      </c>
      <c r="O1659">
        <v>8.587390364974695</v>
      </c>
      <c r="P1659">
        <v>13.18180827030179</v>
      </c>
      <c r="Q1659">
        <v>16.302973784796912</v>
      </c>
      <c r="R1659" t="str">
        <f t="shared" si="50"/>
        <v>yes</v>
      </c>
      <c r="S1659" t="str">
        <f t="shared" si="51"/>
        <v>yes</v>
      </c>
    </row>
    <row r="1660" spans="1:19" x14ac:dyDescent="0.35">
      <c r="A1660" s="1">
        <v>1658</v>
      </c>
      <c r="B1660" t="s">
        <v>829</v>
      </c>
      <c r="C1660" t="s">
        <v>549</v>
      </c>
      <c r="D1660" t="s">
        <v>550</v>
      </c>
      <c r="E1660">
        <v>4.6775308641975304E-3</v>
      </c>
      <c r="F1660">
        <v>1.3966631255037359E-3</v>
      </c>
      <c r="G1660">
        <v>27</v>
      </c>
      <c r="H1660" t="s">
        <v>58</v>
      </c>
      <c r="M1660">
        <v>7.4708571152050027E-3</v>
      </c>
      <c r="N1660">
        <v>1.8842046131900591E-3</v>
      </c>
      <c r="O1660">
        <v>5.5866525020149436E-3</v>
      </c>
      <c r="P1660">
        <v>3.3490759359100859</v>
      </c>
      <c r="R1660" t="str">
        <f t="shared" si="50"/>
        <v>yes</v>
      </c>
      <c r="S1660" t="str">
        <f t="shared" si="51"/>
        <v>no</v>
      </c>
    </row>
    <row r="1661" spans="1:19" x14ac:dyDescent="0.35">
      <c r="A1661" s="1">
        <v>1659</v>
      </c>
      <c r="B1661" t="s">
        <v>829</v>
      </c>
      <c r="C1661" t="s">
        <v>549</v>
      </c>
      <c r="D1661" t="s">
        <v>551</v>
      </c>
      <c r="E1661">
        <v>0.99525296296296284</v>
      </c>
      <c r="F1661">
        <v>2.237203723286548E-3</v>
      </c>
      <c r="G1661">
        <v>27</v>
      </c>
      <c r="H1661" t="s">
        <v>58</v>
      </c>
      <c r="I1661">
        <v>0.85</v>
      </c>
      <c r="J1661">
        <v>1.2</v>
      </c>
      <c r="K1661">
        <v>1.0249999999999999</v>
      </c>
      <c r="L1661">
        <v>0.35</v>
      </c>
      <c r="M1661">
        <v>0.99972737040953596</v>
      </c>
      <c r="N1661">
        <v>0.99077855551638971</v>
      </c>
      <c r="O1661">
        <v>8.9488148931462508E-3</v>
      </c>
      <c r="P1661">
        <v>444.86469989460488</v>
      </c>
      <c r="Q1661">
        <v>39.111324145061843</v>
      </c>
      <c r="R1661" t="str">
        <f t="shared" si="50"/>
        <v>yes</v>
      </c>
      <c r="S1661" t="str">
        <f t="shared" si="51"/>
        <v>yes</v>
      </c>
    </row>
    <row r="1662" spans="1:19" x14ac:dyDescent="0.35">
      <c r="A1662" s="1">
        <v>1660</v>
      </c>
      <c r="B1662" t="s">
        <v>829</v>
      </c>
      <c r="C1662" t="s">
        <v>549</v>
      </c>
      <c r="D1662" t="s">
        <v>552</v>
      </c>
      <c r="E1662">
        <v>1.8481481481481489E-3</v>
      </c>
      <c r="F1662">
        <v>1.27750025110093E-3</v>
      </c>
      <c r="G1662">
        <v>27</v>
      </c>
      <c r="H1662" t="s">
        <v>58</v>
      </c>
      <c r="M1662">
        <v>4.403148650350009E-3</v>
      </c>
      <c r="N1662">
        <v>-7.0685235405371105E-4</v>
      </c>
      <c r="O1662">
        <v>5.1100010044037199E-3</v>
      </c>
      <c r="P1662">
        <v>1.446691025348483</v>
      </c>
      <c r="R1662" t="str">
        <f t="shared" si="50"/>
        <v>yes</v>
      </c>
      <c r="S1662" t="str">
        <f t="shared" si="51"/>
        <v>no</v>
      </c>
    </row>
    <row r="1663" spans="1:19" x14ac:dyDescent="0.35">
      <c r="A1663" s="1">
        <v>1661</v>
      </c>
      <c r="B1663" t="s">
        <v>829</v>
      </c>
      <c r="C1663" t="s">
        <v>549</v>
      </c>
      <c r="D1663" t="s">
        <v>553</v>
      </c>
      <c r="E1663">
        <v>1.497544444444445</v>
      </c>
      <c r="F1663">
        <v>4.6376250328895672E-3</v>
      </c>
      <c r="G1663">
        <v>27</v>
      </c>
      <c r="H1663" t="s">
        <v>58</v>
      </c>
      <c r="I1663">
        <v>1.35</v>
      </c>
      <c r="J1663">
        <v>1.65</v>
      </c>
      <c r="K1663">
        <v>1.5</v>
      </c>
      <c r="L1663">
        <v>0.29999999999999982</v>
      </c>
      <c r="M1663">
        <v>1.5068196945102239</v>
      </c>
      <c r="N1663">
        <v>1.4882691943786659</v>
      </c>
      <c r="O1663">
        <v>1.8550500131558231E-2</v>
      </c>
      <c r="P1663">
        <v>322.91192880494032</v>
      </c>
      <c r="Q1663">
        <v>16.17207071897958</v>
      </c>
      <c r="R1663" t="str">
        <f t="shared" si="50"/>
        <v>yes</v>
      </c>
      <c r="S1663" t="str">
        <f t="shared" si="51"/>
        <v>yes</v>
      </c>
    </row>
    <row r="1664" spans="1:19" x14ac:dyDescent="0.35">
      <c r="A1664" s="1">
        <v>1662</v>
      </c>
      <c r="B1664" t="s">
        <v>829</v>
      </c>
      <c r="C1664" t="s">
        <v>549</v>
      </c>
      <c r="D1664" t="s">
        <v>554</v>
      </c>
      <c r="E1664">
        <v>2.1720370370370369E-2</v>
      </c>
      <c r="F1664">
        <v>3.193214390002432E-3</v>
      </c>
      <c r="G1664">
        <v>27</v>
      </c>
      <c r="H1664" t="s">
        <v>58</v>
      </c>
      <c r="M1664">
        <v>2.8106799150375231E-2</v>
      </c>
      <c r="N1664">
        <v>1.53339415903655E-2</v>
      </c>
      <c r="O1664">
        <v>1.277285756000973E-2</v>
      </c>
      <c r="P1664">
        <v>6.8020394867235412</v>
      </c>
      <c r="R1664" t="str">
        <f t="shared" si="50"/>
        <v>yes</v>
      </c>
      <c r="S1664" t="str">
        <f t="shared" si="51"/>
        <v>no</v>
      </c>
    </row>
    <row r="1665" spans="1:19" x14ac:dyDescent="0.35">
      <c r="A1665" s="1">
        <v>1663</v>
      </c>
      <c r="B1665" t="s">
        <v>829</v>
      </c>
      <c r="C1665" t="s">
        <v>549</v>
      </c>
      <c r="D1665" t="s">
        <v>555</v>
      </c>
      <c r="E1665">
        <v>35.89856839506173</v>
      </c>
      <c r="F1665">
        <v>8.7284565501618394E-2</v>
      </c>
      <c r="G1665">
        <v>27</v>
      </c>
      <c r="H1665" t="s">
        <v>58</v>
      </c>
      <c r="I1665">
        <v>34.5</v>
      </c>
      <c r="J1665">
        <v>37</v>
      </c>
      <c r="K1665">
        <v>35.75</v>
      </c>
      <c r="L1665">
        <v>2.5</v>
      </c>
      <c r="M1665">
        <v>36.073137526064968</v>
      </c>
      <c r="N1665">
        <v>35.723999264058492</v>
      </c>
      <c r="O1665">
        <v>0.34913826200647691</v>
      </c>
      <c r="P1665">
        <v>411.28197395215437</v>
      </c>
      <c r="Q1665">
        <v>7.1604870392395501</v>
      </c>
      <c r="R1665" t="str">
        <f t="shared" si="50"/>
        <v>yes</v>
      </c>
      <c r="S1665" t="str">
        <f t="shared" si="51"/>
        <v>yes</v>
      </c>
    </row>
    <row r="1666" spans="1:19" x14ac:dyDescent="0.35">
      <c r="A1666" s="1">
        <v>1664</v>
      </c>
      <c r="B1666" t="s">
        <v>829</v>
      </c>
      <c r="C1666" t="s">
        <v>549</v>
      </c>
      <c r="D1666" t="s">
        <v>556</v>
      </c>
      <c r="E1666">
        <v>4.5845679012345682E-3</v>
      </c>
      <c r="F1666">
        <v>2.3699709057824368E-3</v>
      </c>
      <c r="G1666">
        <v>27</v>
      </c>
      <c r="H1666" t="s">
        <v>58</v>
      </c>
      <c r="M1666">
        <v>9.3245097127994427E-3</v>
      </c>
      <c r="N1666">
        <v>-1.553739103303054E-4</v>
      </c>
      <c r="O1666">
        <v>9.4798836231297472E-3</v>
      </c>
      <c r="P1666">
        <v>1.934440583236186</v>
      </c>
      <c r="R1666" t="str">
        <f t="shared" si="50"/>
        <v>yes</v>
      </c>
      <c r="S1666" t="str">
        <f t="shared" si="51"/>
        <v>no</v>
      </c>
    </row>
    <row r="1667" spans="1:19" x14ac:dyDescent="0.35">
      <c r="A1667" s="1">
        <v>1665</v>
      </c>
      <c r="B1667" t="s">
        <v>829</v>
      </c>
      <c r="C1667" t="s">
        <v>549</v>
      </c>
      <c r="D1667" t="s">
        <v>557</v>
      </c>
      <c r="E1667">
        <v>0.99522888888888894</v>
      </c>
      <c r="F1667">
        <v>2.1439713576673308E-3</v>
      </c>
      <c r="G1667">
        <v>27</v>
      </c>
      <c r="H1667" t="s">
        <v>58</v>
      </c>
      <c r="I1667">
        <v>0.85</v>
      </c>
      <c r="J1667">
        <v>1.2</v>
      </c>
      <c r="K1667">
        <v>1.0249999999999999</v>
      </c>
      <c r="L1667">
        <v>0.35</v>
      </c>
      <c r="M1667">
        <v>0.99951683160422355</v>
      </c>
      <c r="N1667">
        <v>0.99094094617355433</v>
      </c>
      <c r="O1667">
        <v>8.5758854306692278E-3</v>
      </c>
      <c r="P1667">
        <v>464.19878014215232</v>
      </c>
      <c r="Q1667">
        <v>40.812112385308232</v>
      </c>
      <c r="R1667" t="str">
        <f t="shared" ref="R1667:R1730" si="52">IF(H1667="yes","yes","no")</f>
        <v>yes</v>
      </c>
      <c r="S1667" t="str">
        <f t="shared" ref="S1667:S1730" si="53">IF(I1667,"yes","no")</f>
        <v>yes</v>
      </c>
    </row>
    <row r="1668" spans="1:19" x14ac:dyDescent="0.35">
      <c r="A1668" s="1">
        <v>1666</v>
      </c>
      <c r="B1668" t="s">
        <v>829</v>
      </c>
      <c r="C1668" t="s">
        <v>549</v>
      </c>
      <c r="D1668" t="s">
        <v>558</v>
      </c>
      <c r="E1668">
        <v>2.643703703703705E-3</v>
      </c>
      <c r="F1668">
        <v>1.3299016780139641E-3</v>
      </c>
      <c r="G1668">
        <v>27</v>
      </c>
      <c r="H1668" t="s">
        <v>58</v>
      </c>
      <c r="M1668">
        <v>5.3035070597316344E-3</v>
      </c>
      <c r="N1668">
        <v>-1.6099652324223172E-5</v>
      </c>
      <c r="O1668">
        <v>5.3196067120558563E-3</v>
      </c>
      <c r="P1668">
        <v>1.9878941033082489</v>
      </c>
      <c r="R1668" t="str">
        <f t="shared" si="52"/>
        <v>yes</v>
      </c>
      <c r="S1668" t="str">
        <f t="shared" si="53"/>
        <v>no</v>
      </c>
    </row>
    <row r="1669" spans="1:19" x14ac:dyDescent="0.35">
      <c r="A1669" s="1">
        <v>1667</v>
      </c>
      <c r="B1669" t="s">
        <v>829</v>
      </c>
      <c r="C1669" t="s">
        <v>549</v>
      </c>
      <c r="D1669" t="s">
        <v>559</v>
      </c>
      <c r="E1669">
        <v>1.4969088888888891</v>
      </c>
      <c r="F1669">
        <v>7.1472665977290366E-3</v>
      </c>
      <c r="G1669">
        <v>27</v>
      </c>
      <c r="H1669" t="s">
        <v>58</v>
      </c>
      <c r="I1669">
        <v>1.35</v>
      </c>
      <c r="J1669">
        <v>1.65</v>
      </c>
      <c r="K1669">
        <v>1.5</v>
      </c>
      <c r="L1669">
        <v>0.29999999999999982</v>
      </c>
      <c r="M1669">
        <v>1.5112034220843471</v>
      </c>
      <c r="N1669">
        <v>1.482614355693431</v>
      </c>
      <c r="O1669">
        <v>2.858906639091607E-2</v>
      </c>
      <c r="P1669">
        <v>209.4379534358653</v>
      </c>
      <c r="Q1669">
        <v>10.493522100299231</v>
      </c>
      <c r="R1669" t="str">
        <f t="shared" si="52"/>
        <v>yes</v>
      </c>
      <c r="S1669" t="str">
        <f t="shared" si="53"/>
        <v>yes</v>
      </c>
    </row>
    <row r="1670" spans="1:19" x14ac:dyDescent="0.35">
      <c r="A1670" s="1">
        <v>1668</v>
      </c>
      <c r="B1670" t="s">
        <v>829</v>
      </c>
      <c r="C1670" t="s">
        <v>549</v>
      </c>
      <c r="D1670" t="s">
        <v>560</v>
      </c>
      <c r="E1670">
        <v>2.1917654320987651E-2</v>
      </c>
      <c r="F1670">
        <v>3.9155160672609112E-3</v>
      </c>
      <c r="G1670">
        <v>27</v>
      </c>
      <c r="H1670" t="s">
        <v>58</v>
      </c>
      <c r="M1670">
        <v>2.974868645550947E-2</v>
      </c>
      <c r="N1670">
        <v>1.4086622186465831E-2</v>
      </c>
      <c r="O1670">
        <v>1.5662064269043641E-2</v>
      </c>
      <c r="P1670">
        <v>5.5976412673285463</v>
      </c>
      <c r="R1670" t="str">
        <f t="shared" si="52"/>
        <v>yes</v>
      </c>
      <c r="S1670" t="str">
        <f t="shared" si="53"/>
        <v>no</v>
      </c>
    </row>
    <row r="1671" spans="1:19" x14ac:dyDescent="0.35">
      <c r="A1671" s="1">
        <v>1669</v>
      </c>
      <c r="B1671" t="s">
        <v>829</v>
      </c>
      <c r="C1671" t="s">
        <v>549</v>
      </c>
      <c r="D1671" t="s">
        <v>561</v>
      </c>
      <c r="E1671">
        <v>35.89494469135802</v>
      </c>
      <c r="F1671">
        <v>6.3291736168726506E-2</v>
      </c>
      <c r="G1671">
        <v>27</v>
      </c>
      <c r="H1671" t="s">
        <v>58</v>
      </c>
      <c r="I1671">
        <v>34.5</v>
      </c>
      <c r="J1671">
        <v>37</v>
      </c>
      <c r="K1671">
        <v>35.75</v>
      </c>
      <c r="L1671">
        <v>2.5</v>
      </c>
      <c r="M1671">
        <v>36.021528163695471</v>
      </c>
      <c r="N1671">
        <v>35.768361219020569</v>
      </c>
      <c r="O1671">
        <v>0.25316694467490208</v>
      </c>
      <c r="P1671">
        <v>567.1347772111568</v>
      </c>
      <c r="Q1671">
        <v>9.8749068651529992</v>
      </c>
      <c r="R1671" t="str">
        <f t="shared" si="52"/>
        <v>yes</v>
      </c>
      <c r="S1671" t="str">
        <f t="shared" si="53"/>
        <v>yes</v>
      </c>
    </row>
    <row r="1672" spans="1:19" x14ac:dyDescent="0.35">
      <c r="A1672" s="1">
        <v>1670</v>
      </c>
      <c r="B1672" t="s">
        <v>829</v>
      </c>
      <c r="C1672" t="s">
        <v>549</v>
      </c>
      <c r="D1672" t="s">
        <v>562</v>
      </c>
      <c r="E1672">
        <v>5.8138271604938263E-3</v>
      </c>
      <c r="F1672">
        <v>3.5205127361423549E-3</v>
      </c>
      <c r="G1672">
        <v>27</v>
      </c>
      <c r="H1672" t="s">
        <v>58</v>
      </c>
      <c r="M1672">
        <v>1.285485263277854E-2</v>
      </c>
      <c r="N1672">
        <v>-1.227198311790884E-3</v>
      </c>
      <c r="O1672">
        <v>1.408205094456942E-2</v>
      </c>
      <c r="P1672">
        <v>1.6514148921569869</v>
      </c>
      <c r="R1672" t="str">
        <f t="shared" si="52"/>
        <v>yes</v>
      </c>
      <c r="S1672" t="str">
        <f t="shared" si="53"/>
        <v>no</v>
      </c>
    </row>
    <row r="1673" spans="1:19" x14ac:dyDescent="0.35">
      <c r="A1673" s="1">
        <v>1671</v>
      </c>
      <c r="B1673" t="s">
        <v>829</v>
      </c>
      <c r="C1673" t="s">
        <v>549</v>
      </c>
      <c r="D1673" t="s">
        <v>563</v>
      </c>
      <c r="E1673">
        <v>0.99558530864197514</v>
      </c>
      <c r="F1673">
        <v>1.558686464027664E-3</v>
      </c>
      <c r="G1673">
        <v>27</v>
      </c>
      <c r="H1673" t="s">
        <v>58</v>
      </c>
      <c r="I1673">
        <v>0.85</v>
      </c>
      <c r="J1673">
        <v>1.2</v>
      </c>
      <c r="K1673">
        <v>1.0249999999999999</v>
      </c>
      <c r="L1673">
        <v>0.35</v>
      </c>
      <c r="M1673">
        <v>0.9987026815700305</v>
      </c>
      <c r="N1673">
        <v>0.99246793571391978</v>
      </c>
      <c r="O1673">
        <v>6.2347458561107238E-3</v>
      </c>
      <c r="P1673">
        <v>638.73353084068685</v>
      </c>
      <c r="Q1673">
        <v>56.137011528218459</v>
      </c>
      <c r="R1673" t="str">
        <f t="shared" si="52"/>
        <v>yes</v>
      </c>
      <c r="S1673" t="str">
        <f t="shared" si="53"/>
        <v>yes</v>
      </c>
    </row>
    <row r="1674" spans="1:19" x14ac:dyDescent="0.35">
      <c r="A1674" s="1">
        <v>1672</v>
      </c>
      <c r="B1674" t="s">
        <v>829</v>
      </c>
      <c r="C1674" t="s">
        <v>549</v>
      </c>
      <c r="D1674" t="s">
        <v>564</v>
      </c>
      <c r="E1674">
        <v>2.6119753086419769E-3</v>
      </c>
      <c r="F1674">
        <v>1.6350463303674569E-3</v>
      </c>
      <c r="G1674">
        <v>27</v>
      </c>
      <c r="H1674" t="s">
        <v>58</v>
      </c>
      <c r="M1674">
        <v>5.8820679693768908E-3</v>
      </c>
      <c r="N1674">
        <v>-6.58117352092937E-4</v>
      </c>
      <c r="O1674">
        <v>6.5401853214698278E-3</v>
      </c>
      <c r="P1674">
        <v>1.5974931475213709</v>
      </c>
      <c r="R1674" t="str">
        <f t="shared" si="52"/>
        <v>yes</v>
      </c>
      <c r="S1674" t="str">
        <f t="shared" si="53"/>
        <v>no</v>
      </c>
    </row>
    <row r="1675" spans="1:19" x14ac:dyDescent="0.35">
      <c r="A1675" s="1">
        <v>1673</v>
      </c>
      <c r="B1675" t="s">
        <v>829</v>
      </c>
      <c r="C1675" t="s">
        <v>549</v>
      </c>
      <c r="D1675" t="s">
        <v>565</v>
      </c>
      <c r="E1675">
        <v>1.4967538271604941</v>
      </c>
      <c r="F1675">
        <v>5.880707863323972E-3</v>
      </c>
      <c r="G1675">
        <v>27</v>
      </c>
      <c r="H1675" t="s">
        <v>58</v>
      </c>
      <c r="I1675">
        <v>1.35</v>
      </c>
      <c r="J1675">
        <v>1.65</v>
      </c>
      <c r="K1675">
        <v>1.5</v>
      </c>
      <c r="L1675">
        <v>0.29999999999999982</v>
      </c>
      <c r="M1675">
        <v>1.508515242887142</v>
      </c>
      <c r="N1675">
        <v>1.484992411433846</v>
      </c>
      <c r="O1675">
        <v>2.3522831453295812E-2</v>
      </c>
      <c r="P1675">
        <v>254.51933031655119</v>
      </c>
      <c r="Q1675">
        <v>12.753566703721219</v>
      </c>
      <c r="R1675" t="str">
        <f t="shared" si="52"/>
        <v>yes</v>
      </c>
      <c r="S1675" t="str">
        <f t="shared" si="53"/>
        <v>yes</v>
      </c>
    </row>
    <row r="1676" spans="1:19" x14ac:dyDescent="0.35">
      <c r="A1676" s="1">
        <v>1674</v>
      </c>
      <c r="B1676" t="s">
        <v>829</v>
      </c>
      <c r="C1676" t="s">
        <v>549</v>
      </c>
      <c r="D1676" t="s">
        <v>566</v>
      </c>
      <c r="E1676">
        <v>2.2630123456790129E-2</v>
      </c>
      <c r="F1676">
        <v>3.513420596591421E-3</v>
      </c>
      <c r="G1676">
        <v>27</v>
      </c>
      <c r="H1676" t="s">
        <v>58</v>
      </c>
      <c r="M1676">
        <v>2.9656964649972969E-2</v>
      </c>
      <c r="N1676">
        <v>1.560328226360729E-2</v>
      </c>
      <c r="O1676">
        <v>1.4053682386365691E-2</v>
      </c>
      <c r="P1676">
        <v>6.4410516289296416</v>
      </c>
      <c r="R1676" t="str">
        <f t="shared" si="52"/>
        <v>yes</v>
      </c>
      <c r="S1676" t="str">
        <f t="shared" si="53"/>
        <v>no</v>
      </c>
    </row>
    <row r="1677" spans="1:19" x14ac:dyDescent="0.35">
      <c r="A1677" s="1">
        <v>1675</v>
      </c>
      <c r="B1677" t="s">
        <v>829</v>
      </c>
      <c r="C1677" t="s">
        <v>549</v>
      </c>
      <c r="D1677" t="s">
        <v>567</v>
      </c>
      <c r="E1677">
        <v>35.94529716049383</v>
      </c>
      <c r="F1677">
        <v>6.7871260548677911E-2</v>
      </c>
      <c r="G1677">
        <v>27</v>
      </c>
      <c r="H1677" t="s">
        <v>58</v>
      </c>
      <c r="I1677">
        <v>34.5</v>
      </c>
      <c r="J1677">
        <v>37</v>
      </c>
      <c r="K1677">
        <v>35.75</v>
      </c>
      <c r="L1677">
        <v>2.5</v>
      </c>
      <c r="M1677">
        <v>36.081039681591193</v>
      </c>
      <c r="N1677">
        <v>35.809554639396467</v>
      </c>
      <c r="O1677">
        <v>0.27148504219471192</v>
      </c>
      <c r="P1677">
        <v>529.60998322277396</v>
      </c>
      <c r="Q1677">
        <v>9.2086104626234757</v>
      </c>
      <c r="R1677" t="str">
        <f t="shared" si="52"/>
        <v>yes</v>
      </c>
      <c r="S1677" t="str">
        <f t="shared" si="53"/>
        <v>yes</v>
      </c>
    </row>
    <row r="1678" spans="1:19" x14ac:dyDescent="0.35">
      <c r="A1678" s="1">
        <v>1676</v>
      </c>
      <c r="B1678" t="s">
        <v>829</v>
      </c>
      <c r="C1678" t="s">
        <v>549</v>
      </c>
      <c r="D1678" t="s">
        <v>568</v>
      </c>
      <c r="E1678">
        <v>1.799947654320988</v>
      </c>
      <c r="F1678">
        <v>6.5136375466318223E-3</v>
      </c>
      <c r="G1678">
        <v>27</v>
      </c>
      <c r="H1678" t="s">
        <v>58</v>
      </c>
      <c r="I1678">
        <v>1.62</v>
      </c>
      <c r="J1678">
        <v>1.98</v>
      </c>
      <c r="K1678">
        <v>1.8</v>
      </c>
      <c r="L1678">
        <v>0.35999999999999988</v>
      </c>
      <c r="M1678">
        <v>1.8129749294142521</v>
      </c>
      <c r="N1678">
        <v>1.786920379227724</v>
      </c>
      <c r="O1678">
        <v>2.6054550186527251E-2</v>
      </c>
      <c r="P1678">
        <v>276.33524914995218</v>
      </c>
      <c r="Q1678">
        <v>13.81716427352314</v>
      </c>
      <c r="R1678" t="str">
        <f t="shared" si="52"/>
        <v>yes</v>
      </c>
      <c r="S1678" t="str">
        <f t="shared" si="53"/>
        <v>yes</v>
      </c>
    </row>
    <row r="1679" spans="1:19" x14ac:dyDescent="0.35">
      <c r="A1679" s="1">
        <v>1677</v>
      </c>
      <c r="B1679" t="s">
        <v>829</v>
      </c>
      <c r="C1679" t="s">
        <v>549</v>
      </c>
      <c r="D1679" t="s">
        <v>569</v>
      </c>
      <c r="E1679">
        <v>3.2916172839506173E-2</v>
      </c>
      <c r="F1679">
        <v>7.9352712462982516E-3</v>
      </c>
      <c r="G1679">
        <v>27</v>
      </c>
      <c r="H1679" t="s">
        <v>58</v>
      </c>
      <c r="M1679">
        <v>4.8786715332102673E-2</v>
      </c>
      <c r="N1679">
        <v>1.704563034690967E-2</v>
      </c>
      <c r="O1679">
        <v>3.1741084985192999E-2</v>
      </c>
      <c r="P1679">
        <v>4.1480841445541436</v>
      </c>
      <c r="R1679" t="str">
        <f t="shared" si="52"/>
        <v>yes</v>
      </c>
      <c r="S1679" t="str">
        <f t="shared" si="53"/>
        <v>no</v>
      </c>
    </row>
    <row r="1680" spans="1:19" x14ac:dyDescent="0.35">
      <c r="A1680" s="1">
        <v>1678</v>
      </c>
      <c r="B1680" t="s">
        <v>829</v>
      </c>
      <c r="C1680" t="s">
        <v>549</v>
      </c>
      <c r="D1680" t="s">
        <v>570</v>
      </c>
      <c r="E1680">
        <v>3.5999506172839507E-2</v>
      </c>
      <c r="F1680">
        <v>1.0422607635500351E-2</v>
      </c>
      <c r="G1680">
        <v>27</v>
      </c>
      <c r="H1680" t="s">
        <v>58</v>
      </c>
      <c r="M1680">
        <v>5.6844721443840208E-2</v>
      </c>
      <c r="N1680">
        <v>1.5154290901838809E-2</v>
      </c>
      <c r="O1680">
        <v>4.1690430542001403E-2</v>
      </c>
      <c r="P1680">
        <v>3.4539826722654232</v>
      </c>
      <c r="R1680" t="str">
        <f t="shared" si="52"/>
        <v>yes</v>
      </c>
      <c r="S1680" t="str">
        <f t="shared" si="53"/>
        <v>no</v>
      </c>
    </row>
    <row r="1681" spans="1:19" x14ac:dyDescent="0.35">
      <c r="A1681" s="1">
        <v>1679</v>
      </c>
      <c r="B1681" t="s">
        <v>829</v>
      </c>
      <c r="C1681" t="s">
        <v>549</v>
      </c>
      <c r="D1681" t="s">
        <v>571</v>
      </c>
      <c r="E1681">
        <v>3.3334691358024693E-2</v>
      </c>
      <c r="F1681">
        <v>9.0997187580994267E-3</v>
      </c>
      <c r="G1681">
        <v>27</v>
      </c>
      <c r="H1681" t="s">
        <v>58</v>
      </c>
      <c r="M1681">
        <v>5.1534128874223553E-2</v>
      </c>
      <c r="N1681">
        <v>1.5135253841825839E-2</v>
      </c>
      <c r="O1681">
        <v>3.6398875032397707E-2</v>
      </c>
      <c r="P1681">
        <v>3.6632661123020238</v>
      </c>
      <c r="R1681" t="str">
        <f t="shared" si="52"/>
        <v>yes</v>
      </c>
      <c r="S1681" t="str">
        <f t="shared" si="53"/>
        <v>no</v>
      </c>
    </row>
    <row r="1682" spans="1:19" x14ac:dyDescent="0.35">
      <c r="A1682" s="1">
        <v>1680</v>
      </c>
      <c r="B1682" t="s">
        <v>829</v>
      </c>
      <c r="C1682" t="s">
        <v>549</v>
      </c>
      <c r="D1682" t="s">
        <v>572</v>
      </c>
      <c r="E1682">
        <v>7.6275308641975306E-2</v>
      </c>
      <c r="F1682">
        <v>8.0004822248534169E-3</v>
      </c>
      <c r="G1682">
        <v>27</v>
      </c>
      <c r="H1682" t="s">
        <v>58</v>
      </c>
      <c r="M1682">
        <v>9.227627309168214E-2</v>
      </c>
      <c r="N1682">
        <v>6.0274344192268473E-2</v>
      </c>
      <c r="O1682">
        <v>3.2001928899413667E-2</v>
      </c>
      <c r="P1682">
        <v>9.5338388984887477</v>
      </c>
      <c r="R1682" t="str">
        <f t="shared" si="52"/>
        <v>yes</v>
      </c>
      <c r="S1682" t="str">
        <f t="shared" si="53"/>
        <v>no</v>
      </c>
    </row>
    <row r="1683" spans="1:19" x14ac:dyDescent="0.35">
      <c r="A1683" s="1">
        <v>1681</v>
      </c>
      <c r="B1683" t="s">
        <v>829</v>
      </c>
      <c r="C1683" t="s">
        <v>549</v>
      </c>
      <c r="D1683" t="s">
        <v>573</v>
      </c>
      <c r="E1683">
        <v>3.9761114814814809</v>
      </c>
      <c r="F1683">
        <v>4.6033921112374528E-3</v>
      </c>
      <c r="G1683">
        <v>27</v>
      </c>
      <c r="H1683" t="s">
        <v>58</v>
      </c>
      <c r="I1683">
        <v>3.6</v>
      </c>
      <c r="J1683">
        <v>4.4000000000000004</v>
      </c>
      <c r="K1683">
        <v>4</v>
      </c>
      <c r="L1683">
        <v>0.80000000000000027</v>
      </c>
      <c r="M1683">
        <v>3.9853182657039561</v>
      </c>
      <c r="N1683">
        <v>3.9669046972590061</v>
      </c>
      <c r="O1683">
        <v>1.8413568444949568E-2</v>
      </c>
      <c r="P1683">
        <v>863.73512953096008</v>
      </c>
      <c r="Q1683">
        <v>43.44622295193534</v>
      </c>
      <c r="R1683" t="str">
        <f t="shared" si="52"/>
        <v>yes</v>
      </c>
      <c r="S1683" t="str">
        <f t="shared" si="53"/>
        <v>yes</v>
      </c>
    </row>
    <row r="1684" spans="1:19" x14ac:dyDescent="0.35">
      <c r="A1684" s="1">
        <v>1682</v>
      </c>
      <c r="B1684" t="s">
        <v>829</v>
      </c>
      <c r="C1684" t="s">
        <v>549</v>
      </c>
      <c r="D1684" t="s">
        <v>574</v>
      </c>
      <c r="E1684">
        <v>4.2539259259259263E-2</v>
      </c>
      <c r="F1684">
        <v>1.071307583398415E-2</v>
      </c>
      <c r="G1684">
        <v>27</v>
      </c>
      <c r="H1684" t="s">
        <v>58</v>
      </c>
      <c r="M1684">
        <v>6.3965410927227559E-2</v>
      </c>
      <c r="N1684">
        <v>2.111310759129096E-2</v>
      </c>
      <c r="O1684">
        <v>4.2852303335936592E-2</v>
      </c>
      <c r="P1684">
        <v>3.9707792531735571</v>
      </c>
      <c r="R1684" t="str">
        <f t="shared" si="52"/>
        <v>yes</v>
      </c>
      <c r="S1684" t="str">
        <f t="shared" si="53"/>
        <v>no</v>
      </c>
    </row>
    <row r="1685" spans="1:19" x14ac:dyDescent="0.35">
      <c r="A1685" s="1">
        <v>1683</v>
      </c>
      <c r="B1685" t="s">
        <v>829</v>
      </c>
      <c r="C1685" t="s">
        <v>549</v>
      </c>
      <c r="D1685" t="s">
        <v>575</v>
      </c>
      <c r="E1685">
        <v>4.718098765432098E-2</v>
      </c>
      <c r="F1685">
        <v>7.2231946549665754E-3</v>
      </c>
      <c r="G1685">
        <v>27</v>
      </c>
      <c r="H1685" t="s">
        <v>58</v>
      </c>
      <c r="M1685">
        <v>6.1627376964254132E-2</v>
      </c>
      <c r="N1685">
        <v>3.2734598344387827E-2</v>
      </c>
      <c r="O1685">
        <v>2.8892778619866308E-2</v>
      </c>
      <c r="P1685">
        <v>6.5318726558033351</v>
      </c>
      <c r="R1685" t="str">
        <f t="shared" si="52"/>
        <v>yes</v>
      </c>
      <c r="S1685" t="str">
        <f t="shared" si="53"/>
        <v>no</v>
      </c>
    </row>
    <row r="1686" spans="1:19" x14ac:dyDescent="0.35">
      <c r="A1686" s="1">
        <v>1684</v>
      </c>
      <c r="B1686" t="s">
        <v>829</v>
      </c>
      <c r="C1686" t="s">
        <v>549</v>
      </c>
      <c r="D1686" t="s">
        <v>576</v>
      </c>
      <c r="E1686">
        <v>4.69479012345679E-2</v>
      </c>
      <c r="F1686">
        <v>1.268446751835093E-2</v>
      </c>
      <c r="G1686">
        <v>27</v>
      </c>
      <c r="H1686" t="s">
        <v>58</v>
      </c>
      <c r="M1686">
        <v>7.2316836271269752E-2</v>
      </c>
      <c r="N1686">
        <v>2.1578966197866041E-2</v>
      </c>
      <c r="O1686">
        <v>5.0737870073403711E-2</v>
      </c>
      <c r="P1686">
        <v>3.7012118298736012</v>
      </c>
      <c r="R1686" t="str">
        <f t="shared" si="52"/>
        <v>yes</v>
      </c>
      <c r="S1686" t="str">
        <f t="shared" si="53"/>
        <v>no</v>
      </c>
    </row>
    <row r="1687" spans="1:19" x14ac:dyDescent="0.35">
      <c r="A1687" s="1">
        <v>1685</v>
      </c>
      <c r="B1687" t="s">
        <v>829</v>
      </c>
      <c r="C1687" t="s">
        <v>549</v>
      </c>
      <c r="D1687" t="s">
        <v>577</v>
      </c>
      <c r="E1687">
        <v>1.800395061728395</v>
      </c>
      <c r="F1687">
        <v>3.2586170248524071E-3</v>
      </c>
      <c r="G1687">
        <v>27</v>
      </c>
      <c r="H1687" t="s">
        <v>58</v>
      </c>
      <c r="I1687">
        <v>1.62</v>
      </c>
      <c r="J1687">
        <v>1.98</v>
      </c>
      <c r="K1687">
        <v>1.8</v>
      </c>
      <c r="L1687">
        <v>0.35999999999999988</v>
      </c>
      <c r="M1687">
        <v>1.8069122957781001</v>
      </c>
      <c r="N1687">
        <v>1.79387782767869</v>
      </c>
      <c r="O1687">
        <v>1.303446809940967E-2</v>
      </c>
      <c r="P1687">
        <v>552.50280962671286</v>
      </c>
      <c r="Q1687">
        <v>27.619078680802041</v>
      </c>
      <c r="R1687" t="str">
        <f t="shared" si="52"/>
        <v>yes</v>
      </c>
      <c r="S1687" t="str">
        <f t="shared" si="53"/>
        <v>yes</v>
      </c>
    </row>
    <row r="1688" spans="1:19" x14ac:dyDescent="0.35">
      <c r="A1688" s="1">
        <v>1686</v>
      </c>
      <c r="B1688" t="s">
        <v>829</v>
      </c>
      <c r="C1688" t="s">
        <v>549</v>
      </c>
      <c r="D1688" t="s">
        <v>578</v>
      </c>
      <c r="E1688">
        <v>3.3527901234567913E-2</v>
      </c>
      <c r="F1688">
        <v>1.24538252054601E-2</v>
      </c>
      <c r="G1688">
        <v>27</v>
      </c>
      <c r="H1688" t="s">
        <v>58</v>
      </c>
      <c r="M1688">
        <v>5.843555164548811E-2</v>
      </c>
      <c r="N1688">
        <v>8.620250823647712E-3</v>
      </c>
      <c r="O1688">
        <v>4.9815300821840387E-2</v>
      </c>
      <c r="P1688">
        <v>2.692176956190806</v>
      </c>
      <c r="R1688" t="str">
        <f t="shared" si="52"/>
        <v>yes</v>
      </c>
      <c r="S1688" t="str">
        <f t="shared" si="53"/>
        <v>no</v>
      </c>
    </row>
    <row r="1689" spans="1:19" x14ac:dyDescent="0.35">
      <c r="A1689" s="1">
        <v>1687</v>
      </c>
      <c r="B1689" t="s">
        <v>829</v>
      </c>
      <c r="C1689" t="s">
        <v>549</v>
      </c>
      <c r="D1689" t="s">
        <v>579</v>
      </c>
      <c r="E1689">
        <v>3.1515185185185188E-2</v>
      </c>
      <c r="F1689">
        <v>1.1393995823694479E-2</v>
      </c>
      <c r="G1689">
        <v>27</v>
      </c>
      <c r="H1689" t="s">
        <v>58</v>
      </c>
      <c r="M1689">
        <v>5.4303176832574143E-2</v>
      </c>
      <c r="N1689">
        <v>8.7271935377962288E-3</v>
      </c>
      <c r="O1689">
        <v>4.5575983294777911E-2</v>
      </c>
      <c r="P1689">
        <v>2.7659467032318479</v>
      </c>
      <c r="R1689" t="str">
        <f t="shared" si="52"/>
        <v>yes</v>
      </c>
      <c r="S1689" t="str">
        <f t="shared" si="53"/>
        <v>no</v>
      </c>
    </row>
    <row r="1690" spans="1:19" x14ac:dyDescent="0.35">
      <c r="A1690" s="1">
        <v>1688</v>
      </c>
      <c r="B1690" t="s">
        <v>829</v>
      </c>
      <c r="C1690" t="s">
        <v>549</v>
      </c>
      <c r="D1690" t="s">
        <v>580</v>
      </c>
      <c r="E1690">
        <v>3.0126543209876538E-2</v>
      </c>
      <c r="F1690">
        <v>9.2910335750879605E-3</v>
      </c>
      <c r="G1690">
        <v>27</v>
      </c>
      <c r="H1690" t="s">
        <v>58</v>
      </c>
      <c r="M1690">
        <v>4.8708610360052459E-2</v>
      </c>
      <c r="N1690">
        <v>1.1544476059700619E-2</v>
      </c>
      <c r="O1690">
        <v>3.7164134300351842E-2</v>
      </c>
      <c r="P1690">
        <v>3.2425394835139558</v>
      </c>
      <c r="R1690" t="str">
        <f t="shared" si="52"/>
        <v>yes</v>
      </c>
      <c r="S1690" t="str">
        <f t="shared" si="53"/>
        <v>no</v>
      </c>
    </row>
    <row r="1691" spans="1:19" x14ac:dyDescent="0.35">
      <c r="A1691" s="1">
        <v>1689</v>
      </c>
      <c r="B1691" t="s">
        <v>829</v>
      </c>
      <c r="C1691" t="s">
        <v>549</v>
      </c>
      <c r="D1691" t="s">
        <v>581</v>
      </c>
      <c r="E1691">
        <v>7.5663456790123457E-2</v>
      </c>
      <c r="F1691">
        <v>5.2286315280903424E-3</v>
      </c>
      <c r="G1691">
        <v>27</v>
      </c>
      <c r="H1691" t="s">
        <v>58</v>
      </c>
      <c r="M1691">
        <v>8.6120719846304136E-2</v>
      </c>
      <c r="N1691">
        <v>6.5206193733942777E-2</v>
      </c>
      <c r="O1691">
        <v>2.0914526112361359E-2</v>
      </c>
      <c r="P1691">
        <v>14.47098660206375</v>
      </c>
      <c r="R1691" t="str">
        <f t="shared" si="52"/>
        <v>yes</v>
      </c>
      <c r="S1691" t="str">
        <f t="shared" si="53"/>
        <v>no</v>
      </c>
    </row>
    <row r="1692" spans="1:19" x14ac:dyDescent="0.35">
      <c r="A1692" s="1">
        <v>1690</v>
      </c>
      <c r="B1692" t="s">
        <v>829</v>
      </c>
      <c r="C1692" t="s">
        <v>549</v>
      </c>
      <c r="D1692" t="s">
        <v>582</v>
      </c>
      <c r="E1692">
        <v>3.9732519753086408</v>
      </c>
      <c r="F1692">
        <v>1.1369659700281859E-2</v>
      </c>
      <c r="G1692">
        <v>27</v>
      </c>
      <c r="H1692" t="s">
        <v>58</v>
      </c>
      <c r="I1692">
        <v>3.6</v>
      </c>
      <c r="J1692">
        <v>4.4000000000000004</v>
      </c>
      <c r="K1692">
        <v>4</v>
      </c>
      <c r="L1692">
        <v>0.80000000000000027</v>
      </c>
      <c r="M1692">
        <v>3.9959912947092051</v>
      </c>
      <c r="N1692">
        <v>3.950512655908077</v>
      </c>
      <c r="O1692">
        <v>4.547863880112768E-2</v>
      </c>
      <c r="P1692">
        <v>349.46094078876803</v>
      </c>
      <c r="Q1692">
        <v>17.590675998424199</v>
      </c>
      <c r="R1692" t="str">
        <f t="shared" si="52"/>
        <v>yes</v>
      </c>
      <c r="S1692" t="str">
        <f t="shared" si="53"/>
        <v>yes</v>
      </c>
    </row>
    <row r="1693" spans="1:19" x14ac:dyDescent="0.35">
      <c r="A1693" s="1">
        <v>1691</v>
      </c>
      <c r="B1693" t="s">
        <v>829</v>
      </c>
      <c r="C1693" t="s">
        <v>549</v>
      </c>
      <c r="D1693" t="s">
        <v>583</v>
      </c>
      <c r="E1693">
        <v>4.2634567901234557E-2</v>
      </c>
      <c r="F1693">
        <v>4.8514371210962217E-3</v>
      </c>
      <c r="G1693">
        <v>27</v>
      </c>
      <c r="H1693" t="s">
        <v>58</v>
      </c>
      <c r="M1693">
        <v>5.2337442143426997E-2</v>
      </c>
      <c r="N1693">
        <v>3.2931693659042111E-2</v>
      </c>
      <c r="O1693">
        <v>1.940574848438489E-2</v>
      </c>
      <c r="P1693">
        <v>8.7880285443338764</v>
      </c>
      <c r="R1693" t="str">
        <f t="shared" si="52"/>
        <v>yes</v>
      </c>
      <c r="S1693" t="str">
        <f t="shared" si="53"/>
        <v>no</v>
      </c>
    </row>
    <row r="1694" spans="1:19" x14ac:dyDescent="0.35">
      <c r="A1694" s="1">
        <v>1692</v>
      </c>
      <c r="B1694" t="s">
        <v>829</v>
      </c>
      <c r="C1694" t="s">
        <v>549</v>
      </c>
      <c r="D1694" t="s">
        <v>584</v>
      </c>
      <c r="E1694">
        <v>4.7647654320987658E-2</v>
      </c>
      <c r="F1694">
        <v>5.466649162595409E-3</v>
      </c>
      <c r="G1694">
        <v>27</v>
      </c>
      <c r="H1694" t="s">
        <v>58</v>
      </c>
      <c r="M1694">
        <v>5.8580952646178477E-2</v>
      </c>
      <c r="N1694">
        <v>3.6714355995796838E-2</v>
      </c>
      <c r="O1694">
        <v>2.1866596650381639E-2</v>
      </c>
      <c r="P1694">
        <v>8.7160622355296553</v>
      </c>
      <c r="R1694" t="str">
        <f t="shared" si="52"/>
        <v>yes</v>
      </c>
      <c r="S1694" t="str">
        <f t="shared" si="53"/>
        <v>no</v>
      </c>
    </row>
    <row r="1695" spans="1:19" x14ac:dyDescent="0.35">
      <c r="A1695" s="1">
        <v>1693</v>
      </c>
      <c r="B1695" t="s">
        <v>829</v>
      </c>
      <c r="C1695" t="s">
        <v>549</v>
      </c>
      <c r="D1695" t="s">
        <v>585</v>
      </c>
      <c r="E1695">
        <v>4.2801604938271599E-2</v>
      </c>
      <c r="F1695">
        <v>6.0145914059739217E-3</v>
      </c>
      <c r="G1695">
        <v>27</v>
      </c>
      <c r="H1695" t="s">
        <v>58</v>
      </c>
      <c r="M1695">
        <v>5.4830787750219441E-2</v>
      </c>
      <c r="N1695">
        <v>3.0772422126323761E-2</v>
      </c>
      <c r="O1695">
        <v>2.405836562389568E-2</v>
      </c>
      <c r="P1695">
        <v>7.116294698881692</v>
      </c>
      <c r="R1695" t="str">
        <f t="shared" si="52"/>
        <v>yes</v>
      </c>
      <c r="S1695" t="str">
        <f t="shared" si="53"/>
        <v>no</v>
      </c>
    </row>
    <row r="1696" spans="1:19" x14ac:dyDescent="0.35">
      <c r="A1696" s="1">
        <v>1694</v>
      </c>
      <c r="B1696" t="s">
        <v>829</v>
      </c>
      <c r="C1696" t="s">
        <v>549</v>
      </c>
      <c r="D1696" t="s">
        <v>586</v>
      </c>
      <c r="E1696">
        <v>1.8020446913580239</v>
      </c>
      <c r="F1696">
        <v>4.2860197251063693E-3</v>
      </c>
      <c r="G1696">
        <v>27</v>
      </c>
      <c r="H1696" t="s">
        <v>58</v>
      </c>
      <c r="I1696">
        <v>1.62</v>
      </c>
      <c r="J1696">
        <v>1.98</v>
      </c>
      <c r="K1696">
        <v>1.8</v>
      </c>
      <c r="L1696">
        <v>0.35999999999999988</v>
      </c>
      <c r="M1696">
        <v>1.810616730808237</v>
      </c>
      <c r="N1696">
        <v>1.793472651907811</v>
      </c>
      <c r="O1696">
        <v>1.7144078900425349E-2</v>
      </c>
      <c r="P1696">
        <v>420.44712972320752</v>
      </c>
      <c r="Q1696">
        <v>20.99850345363658</v>
      </c>
      <c r="R1696" t="str">
        <f t="shared" si="52"/>
        <v>yes</v>
      </c>
      <c r="S1696" t="str">
        <f t="shared" si="53"/>
        <v>yes</v>
      </c>
    </row>
    <row r="1697" spans="1:19" x14ac:dyDescent="0.35">
      <c r="A1697" s="1">
        <v>1695</v>
      </c>
      <c r="B1697" t="s">
        <v>829</v>
      </c>
      <c r="C1697" t="s">
        <v>549</v>
      </c>
      <c r="D1697" t="s">
        <v>587</v>
      </c>
      <c r="E1697">
        <v>3.667666666666667E-2</v>
      </c>
      <c r="F1697">
        <v>8.2122493212115552E-3</v>
      </c>
      <c r="G1697">
        <v>27</v>
      </c>
      <c r="H1697" t="s">
        <v>58</v>
      </c>
      <c r="M1697">
        <v>5.310116530908978E-2</v>
      </c>
      <c r="N1697">
        <v>2.0252168024243559E-2</v>
      </c>
      <c r="O1697">
        <v>3.2848997284846221E-2</v>
      </c>
      <c r="P1697">
        <v>4.466092690577951</v>
      </c>
      <c r="R1697" t="str">
        <f t="shared" si="52"/>
        <v>yes</v>
      </c>
      <c r="S1697" t="str">
        <f t="shared" si="53"/>
        <v>no</v>
      </c>
    </row>
    <row r="1698" spans="1:19" x14ac:dyDescent="0.35">
      <c r="A1698" s="1">
        <v>1696</v>
      </c>
      <c r="B1698" t="s">
        <v>829</v>
      </c>
      <c r="C1698" t="s">
        <v>549</v>
      </c>
      <c r="D1698" t="s">
        <v>588</v>
      </c>
      <c r="E1698">
        <v>4.0724938271604942E-2</v>
      </c>
      <c r="F1698">
        <v>9.0419752243955931E-3</v>
      </c>
      <c r="G1698">
        <v>27</v>
      </c>
      <c r="H1698" t="s">
        <v>58</v>
      </c>
      <c r="M1698">
        <v>5.8808888720396128E-2</v>
      </c>
      <c r="N1698">
        <v>2.2640987822813759E-2</v>
      </c>
      <c r="O1698">
        <v>3.6167900897582372E-2</v>
      </c>
      <c r="P1698">
        <v>4.5039869343733114</v>
      </c>
      <c r="R1698" t="str">
        <f t="shared" si="52"/>
        <v>yes</v>
      </c>
      <c r="S1698" t="str">
        <f t="shared" si="53"/>
        <v>no</v>
      </c>
    </row>
    <row r="1699" spans="1:19" x14ac:dyDescent="0.35">
      <c r="A1699" s="1">
        <v>1697</v>
      </c>
      <c r="B1699" t="s">
        <v>829</v>
      </c>
      <c r="C1699" t="s">
        <v>549</v>
      </c>
      <c r="D1699" t="s">
        <v>589</v>
      </c>
      <c r="E1699">
        <v>3.5900987654320989E-2</v>
      </c>
      <c r="F1699">
        <v>8.110308071633994E-3</v>
      </c>
      <c r="G1699">
        <v>27</v>
      </c>
      <c r="H1699" t="s">
        <v>58</v>
      </c>
      <c r="M1699">
        <v>5.2121603797588983E-2</v>
      </c>
      <c r="N1699">
        <v>1.9680371511053001E-2</v>
      </c>
      <c r="O1699">
        <v>3.2441232286535983E-2</v>
      </c>
      <c r="P1699">
        <v>4.4265874165601176</v>
      </c>
      <c r="R1699" t="str">
        <f t="shared" si="52"/>
        <v>yes</v>
      </c>
      <c r="S1699" t="str">
        <f t="shared" si="53"/>
        <v>no</v>
      </c>
    </row>
    <row r="1700" spans="1:19" x14ac:dyDescent="0.35">
      <c r="A1700" s="1">
        <v>1698</v>
      </c>
      <c r="B1700" t="s">
        <v>829</v>
      </c>
      <c r="C1700" t="s">
        <v>549</v>
      </c>
      <c r="D1700" t="s">
        <v>590</v>
      </c>
      <c r="E1700">
        <v>7.4074320987654332E-2</v>
      </c>
      <c r="F1700">
        <v>6.6692044092886349E-3</v>
      </c>
      <c r="G1700">
        <v>27</v>
      </c>
      <c r="H1700" t="s">
        <v>58</v>
      </c>
      <c r="M1700">
        <v>8.7412729806231604E-2</v>
      </c>
      <c r="N1700">
        <v>6.0735912169077061E-2</v>
      </c>
      <c r="O1700">
        <v>2.6676817637154539E-2</v>
      </c>
      <c r="P1700">
        <v>11.106920172440089</v>
      </c>
      <c r="R1700" t="str">
        <f t="shared" si="52"/>
        <v>yes</v>
      </c>
      <c r="S1700" t="str">
        <f t="shared" si="53"/>
        <v>no</v>
      </c>
    </row>
    <row r="1701" spans="1:19" x14ac:dyDescent="0.35">
      <c r="A1701" s="1">
        <v>1699</v>
      </c>
      <c r="B1701" t="s">
        <v>829</v>
      </c>
      <c r="C1701" t="s">
        <v>549</v>
      </c>
      <c r="D1701" t="s">
        <v>591</v>
      </c>
      <c r="E1701">
        <v>3.9671164197530859</v>
      </c>
      <c r="F1701">
        <v>1.209730910158819E-2</v>
      </c>
      <c r="G1701">
        <v>27</v>
      </c>
      <c r="H1701" t="s">
        <v>58</v>
      </c>
      <c r="I1701">
        <v>3.6</v>
      </c>
      <c r="J1701">
        <v>4.4000000000000004</v>
      </c>
      <c r="K1701">
        <v>4</v>
      </c>
      <c r="L1701">
        <v>0.80000000000000027</v>
      </c>
      <c r="M1701">
        <v>3.9913110379562622</v>
      </c>
      <c r="N1701">
        <v>3.9429218015499101</v>
      </c>
      <c r="O1701">
        <v>4.8389236406352509E-2</v>
      </c>
      <c r="P1701">
        <v>327.93378977414608</v>
      </c>
      <c r="Q1701">
        <v>16.53260227712493</v>
      </c>
      <c r="R1701" t="str">
        <f t="shared" si="52"/>
        <v>yes</v>
      </c>
      <c r="S1701" t="str">
        <f t="shared" si="53"/>
        <v>yes</v>
      </c>
    </row>
    <row r="1702" spans="1:19" x14ac:dyDescent="0.35">
      <c r="A1702" s="1">
        <v>1700</v>
      </c>
      <c r="B1702" t="s">
        <v>829</v>
      </c>
      <c r="C1702" t="s">
        <v>549</v>
      </c>
      <c r="D1702" t="s">
        <v>592</v>
      </c>
      <c r="E1702">
        <v>4.0876419753086417E-2</v>
      </c>
      <c r="F1702">
        <v>6.0567917665836054E-3</v>
      </c>
      <c r="G1702">
        <v>27</v>
      </c>
      <c r="H1702" t="s">
        <v>58</v>
      </c>
      <c r="M1702">
        <v>5.2990003286253633E-2</v>
      </c>
      <c r="N1702">
        <v>2.8762836219919211E-2</v>
      </c>
      <c r="O1702">
        <v>2.4227167066334421E-2</v>
      </c>
      <c r="P1702">
        <v>6.748856709687276</v>
      </c>
      <c r="R1702" t="str">
        <f t="shared" si="52"/>
        <v>yes</v>
      </c>
      <c r="S1702" t="str">
        <f t="shared" si="53"/>
        <v>no</v>
      </c>
    </row>
    <row r="1703" spans="1:19" x14ac:dyDescent="0.35">
      <c r="A1703" s="1">
        <v>1701</v>
      </c>
      <c r="B1703" t="s">
        <v>829</v>
      </c>
      <c r="C1703" t="s">
        <v>549</v>
      </c>
      <c r="D1703" t="s">
        <v>593</v>
      </c>
      <c r="E1703">
        <v>4.1708641975308637E-2</v>
      </c>
      <c r="F1703">
        <v>7.0838247147738641E-3</v>
      </c>
      <c r="G1703">
        <v>27</v>
      </c>
      <c r="H1703" t="s">
        <v>58</v>
      </c>
      <c r="M1703">
        <v>5.5876291404856372E-2</v>
      </c>
      <c r="N1703">
        <v>2.7540992545760909E-2</v>
      </c>
      <c r="O1703">
        <v>2.833529885909546E-2</v>
      </c>
      <c r="P1703">
        <v>5.8878704167145806</v>
      </c>
      <c r="R1703" t="str">
        <f t="shared" si="52"/>
        <v>yes</v>
      </c>
      <c r="S1703" t="str">
        <f t="shared" si="53"/>
        <v>no</v>
      </c>
    </row>
    <row r="1704" spans="1:19" x14ac:dyDescent="0.35">
      <c r="A1704" s="1">
        <v>1702</v>
      </c>
      <c r="B1704" t="s">
        <v>829</v>
      </c>
      <c r="C1704" t="s">
        <v>549</v>
      </c>
      <c r="D1704" t="s">
        <v>594</v>
      </c>
      <c r="E1704">
        <v>3.8595555555555557E-2</v>
      </c>
      <c r="F1704">
        <v>8.5576322690981751E-3</v>
      </c>
      <c r="G1704">
        <v>27</v>
      </c>
      <c r="H1704" t="s">
        <v>58</v>
      </c>
      <c r="M1704">
        <v>5.5710820093751903E-2</v>
      </c>
      <c r="N1704">
        <v>2.148029101735921E-2</v>
      </c>
      <c r="O1704">
        <v>3.4230529076392693E-2</v>
      </c>
      <c r="P1704">
        <v>4.5100740884748083</v>
      </c>
      <c r="R1704" t="str">
        <f t="shared" si="52"/>
        <v>yes</v>
      </c>
      <c r="S1704" t="str">
        <f t="shared" si="53"/>
        <v>no</v>
      </c>
    </row>
    <row r="1705" spans="1:19" x14ac:dyDescent="0.35">
      <c r="A1705" s="1">
        <v>1703</v>
      </c>
      <c r="B1705" t="s">
        <v>829</v>
      </c>
      <c r="C1705" t="s">
        <v>549</v>
      </c>
      <c r="D1705" t="s">
        <v>595</v>
      </c>
      <c r="E1705">
        <v>4.0469135802469148E-3</v>
      </c>
      <c r="F1705">
        <v>1.8223572305863501E-3</v>
      </c>
      <c r="G1705">
        <v>27</v>
      </c>
      <c r="H1705" t="s">
        <v>58</v>
      </c>
      <c r="M1705">
        <v>7.691628041419615E-3</v>
      </c>
      <c r="N1705">
        <v>4.0219911907421468E-4</v>
      </c>
      <c r="O1705">
        <v>7.2894289223454003E-3</v>
      </c>
      <c r="P1705">
        <v>2.220702676908636</v>
      </c>
      <c r="R1705" t="str">
        <f t="shared" si="52"/>
        <v>yes</v>
      </c>
      <c r="S1705" t="str">
        <f t="shared" si="53"/>
        <v>no</v>
      </c>
    </row>
    <row r="1706" spans="1:19" x14ac:dyDescent="0.35">
      <c r="A1706" s="1">
        <v>1704</v>
      </c>
      <c r="B1706" t="s">
        <v>829</v>
      </c>
      <c r="C1706" t="s">
        <v>549</v>
      </c>
      <c r="D1706" t="s">
        <v>596</v>
      </c>
      <c r="E1706">
        <v>0.9974518518518517</v>
      </c>
      <c r="F1706">
        <v>1.412828434517948E-3</v>
      </c>
      <c r="G1706">
        <v>27</v>
      </c>
      <c r="H1706" t="s">
        <v>58</v>
      </c>
      <c r="I1706">
        <v>0.85</v>
      </c>
      <c r="J1706">
        <v>1.2</v>
      </c>
      <c r="K1706">
        <v>1.0249999999999999</v>
      </c>
      <c r="L1706">
        <v>0.35</v>
      </c>
      <c r="M1706">
        <v>1.0002775087208871</v>
      </c>
      <c r="N1706">
        <v>0.99462619498281579</v>
      </c>
      <c r="O1706">
        <v>5.651313738071706E-3</v>
      </c>
      <c r="P1706">
        <v>705.99644477864626</v>
      </c>
      <c r="Q1706">
        <v>61.932502108690933</v>
      </c>
      <c r="R1706" t="str">
        <f t="shared" si="52"/>
        <v>yes</v>
      </c>
      <c r="S1706" t="str">
        <f t="shared" si="53"/>
        <v>yes</v>
      </c>
    </row>
    <row r="1707" spans="1:19" x14ac:dyDescent="0.35">
      <c r="A1707" s="1">
        <v>1705</v>
      </c>
      <c r="B1707" t="s">
        <v>829</v>
      </c>
      <c r="C1707" t="s">
        <v>549</v>
      </c>
      <c r="D1707" t="s">
        <v>597</v>
      </c>
      <c r="E1707">
        <v>2.6583950617283959E-3</v>
      </c>
      <c r="F1707">
        <v>1.5968625331720381E-3</v>
      </c>
      <c r="G1707">
        <v>27</v>
      </c>
      <c r="H1707" t="s">
        <v>58</v>
      </c>
      <c r="M1707">
        <v>5.8521201280724716E-3</v>
      </c>
      <c r="N1707">
        <v>-5.3533000461568033E-4</v>
      </c>
      <c r="O1707">
        <v>6.3874501326881524E-3</v>
      </c>
      <c r="P1707">
        <v>1.664761372068583</v>
      </c>
      <c r="R1707" t="str">
        <f t="shared" si="52"/>
        <v>yes</v>
      </c>
      <c r="S1707" t="str">
        <f t="shared" si="53"/>
        <v>no</v>
      </c>
    </row>
    <row r="1708" spans="1:19" x14ac:dyDescent="0.35">
      <c r="A1708" s="1">
        <v>1706</v>
      </c>
      <c r="B1708" t="s">
        <v>829</v>
      </c>
      <c r="C1708" t="s">
        <v>549</v>
      </c>
      <c r="D1708" t="s">
        <v>598</v>
      </c>
      <c r="E1708">
        <v>1.5006543209876539</v>
      </c>
      <c r="F1708">
        <v>4.0023803250270936E-3</v>
      </c>
      <c r="G1708">
        <v>27</v>
      </c>
      <c r="H1708" t="s">
        <v>58</v>
      </c>
      <c r="I1708">
        <v>1.35</v>
      </c>
      <c r="J1708">
        <v>1.65</v>
      </c>
      <c r="K1708">
        <v>1.5</v>
      </c>
      <c r="L1708">
        <v>0.29999999999999982</v>
      </c>
      <c r="M1708">
        <v>1.5086590816377079</v>
      </c>
      <c r="N1708">
        <v>1.4926495603376</v>
      </c>
      <c r="O1708">
        <v>1.600952130010835E-2</v>
      </c>
      <c r="P1708">
        <v>374.94046020663848</v>
      </c>
      <c r="Q1708">
        <v>18.738848862268568</v>
      </c>
      <c r="R1708" t="str">
        <f t="shared" si="52"/>
        <v>yes</v>
      </c>
      <c r="S1708" t="str">
        <f t="shared" si="53"/>
        <v>yes</v>
      </c>
    </row>
    <row r="1709" spans="1:19" x14ac:dyDescent="0.35">
      <c r="A1709" s="1">
        <v>1707</v>
      </c>
      <c r="B1709" t="s">
        <v>829</v>
      </c>
      <c r="C1709" t="s">
        <v>549</v>
      </c>
      <c r="D1709" t="s">
        <v>599</v>
      </c>
      <c r="E1709">
        <v>2.0639876543209871E-2</v>
      </c>
      <c r="F1709">
        <v>3.598848100880118E-3</v>
      </c>
      <c r="G1709">
        <v>27</v>
      </c>
      <c r="H1709" t="s">
        <v>58</v>
      </c>
      <c r="M1709">
        <v>2.7837572744970111E-2</v>
      </c>
      <c r="N1709">
        <v>1.344218034144963E-2</v>
      </c>
      <c r="O1709">
        <v>1.439539240352047E-2</v>
      </c>
      <c r="P1709">
        <v>5.7351341219881649</v>
      </c>
      <c r="R1709" t="str">
        <f t="shared" si="52"/>
        <v>yes</v>
      </c>
      <c r="S1709" t="str">
        <f t="shared" si="53"/>
        <v>no</v>
      </c>
    </row>
    <row r="1710" spans="1:19" x14ac:dyDescent="0.35">
      <c r="A1710" s="1">
        <v>1708</v>
      </c>
      <c r="B1710" t="s">
        <v>829</v>
      </c>
      <c r="C1710" t="s">
        <v>549</v>
      </c>
      <c r="D1710" t="s">
        <v>600</v>
      </c>
      <c r="E1710">
        <v>35.868230370370377</v>
      </c>
      <c r="F1710">
        <v>6.9430197378496136E-2</v>
      </c>
      <c r="G1710">
        <v>27</v>
      </c>
      <c r="H1710" t="s">
        <v>58</v>
      </c>
      <c r="I1710">
        <v>34.5</v>
      </c>
      <c r="J1710">
        <v>37</v>
      </c>
      <c r="K1710">
        <v>35.75</v>
      </c>
      <c r="L1710">
        <v>2.5</v>
      </c>
      <c r="M1710">
        <v>36.007090765127373</v>
      </c>
      <c r="N1710">
        <v>35.729369975613388</v>
      </c>
      <c r="O1710">
        <v>0.27772078951397822</v>
      </c>
      <c r="P1710">
        <v>516.60850357137906</v>
      </c>
      <c r="Q1710">
        <v>9.0018467986321582</v>
      </c>
      <c r="R1710" t="str">
        <f t="shared" si="52"/>
        <v>yes</v>
      </c>
      <c r="S1710" t="str">
        <f t="shared" si="53"/>
        <v>yes</v>
      </c>
    </row>
    <row r="1711" spans="1:19" x14ac:dyDescent="0.35">
      <c r="A1711" s="1">
        <v>1709</v>
      </c>
      <c r="B1711" t="s">
        <v>829</v>
      </c>
      <c r="C1711" t="s">
        <v>549</v>
      </c>
      <c r="D1711" t="s">
        <v>601</v>
      </c>
      <c r="E1711">
        <v>3.6408641975308651E-3</v>
      </c>
      <c r="F1711">
        <v>1.2424291702844671E-3</v>
      </c>
      <c r="G1711">
        <v>27</v>
      </c>
      <c r="H1711" t="s">
        <v>58</v>
      </c>
      <c r="M1711">
        <v>6.1257225380997992E-3</v>
      </c>
      <c r="N1711">
        <v>1.156005856961931E-3</v>
      </c>
      <c r="O1711">
        <v>4.9697166811378682E-3</v>
      </c>
      <c r="P1711">
        <v>2.930440048101294</v>
      </c>
      <c r="R1711" t="str">
        <f t="shared" si="52"/>
        <v>yes</v>
      </c>
      <c r="S1711" t="str">
        <f t="shared" si="53"/>
        <v>no</v>
      </c>
    </row>
    <row r="1712" spans="1:19" x14ac:dyDescent="0.35">
      <c r="A1712" s="1">
        <v>1710</v>
      </c>
      <c r="B1712" t="s">
        <v>829</v>
      </c>
      <c r="C1712" t="s">
        <v>549</v>
      </c>
      <c r="D1712" t="s">
        <v>602</v>
      </c>
      <c r="E1712">
        <v>0.99686024691358033</v>
      </c>
      <c r="F1712">
        <v>1.8905065745510709E-3</v>
      </c>
      <c r="G1712">
        <v>27</v>
      </c>
      <c r="H1712" t="s">
        <v>58</v>
      </c>
      <c r="I1712">
        <v>0.85</v>
      </c>
      <c r="J1712">
        <v>1.2</v>
      </c>
      <c r="K1712">
        <v>1.0249999999999999</v>
      </c>
      <c r="L1712">
        <v>0.35</v>
      </c>
      <c r="M1712">
        <v>1.0006412600626819</v>
      </c>
      <c r="N1712">
        <v>0.99307923376447815</v>
      </c>
      <c r="O1712">
        <v>7.5620262982042394E-3</v>
      </c>
      <c r="P1712">
        <v>527.29795301045158</v>
      </c>
      <c r="Q1712">
        <v>46.283890877649398</v>
      </c>
      <c r="R1712" t="str">
        <f t="shared" si="52"/>
        <v>yes</v>
      </c>
      <c r="S1712" t="str">
        <f t="shared" si="53"/>
        <v>yes</v>
      </c>
    </row>
    <row r="1713" spans="1:19" x14ac:dyDescent="0.35">
      <c r="A1713" s="1">
        <v>1711</v>
      </c>
      <c r="B1713" t="s">
        <v>829</v>
      </c>
      <c r="C1713" t="s">
        <v>549</v>
      </c>
      <c r="D1713" t="s">
        <v>603</v>
      </c>
      <c r="E1713">
        <v>2.6862962962962969E-3</v>
      </c>
      <c r="F1713">
        <v>1.9987284302047281E-3</v>
      </c>
      <c r="G1713">
        <v>27</v>
      </c>
      <c r="H1713" t="s">
        <v>58</v>
      </c>
      <c r="M1713">
        <v>6.6837531567057532E-3</v>
      </c>
      <c r="N1713">
        <v>-1.311160564113159E-3</v>
      </c>
      <c r="O1713">
        <v>7.9949137208189126E-3</v>
      </c>
      <c r="P1713">
        <v>1.3440026447320521</v>
      </c>
      <c r="R1713" t="str">
        <f t="shared" si="52"/>
        <v>yes</v>
      </c>
      <c r="S1713" t="str">
        <f t="shared" si="53"/>
        <v>no</v>
      </c>
    </row>
    <row r="1714" spans="1:19" x14ac:dyDescent="0.35">
      <c r="A1714" s="1">
        <v>1712</v>
      </c>
      <c r="B1714" t="s">
        <v>829</v>
      </c>
      <c r="C1714" t="s">
        <v>549</v>
      </c>
      <c r="D1714" t="s">
        <v>604</v>
      </c>
      <c r="E1714">
        <v>1.503118888888888</v>
      </c>
      <c r="F1714">
        <v>3.6783462870456081E-3</v>
      </c>
      <c r="G1714">
        <v>27</v>
      </c>
      <c r="H1714" t="s">
        <v>58</v>
      </c>
      <c r="I1714">
        <v>1.35</v>
      </c>
      <c r="J1714">
        <v>1.65</v>
      </c>
      <c r="K1714">
        <v>1.5</v>
      </c>
      <c r="L1714">
        <v>0.29999999999999982</v>
      </c>
      <c r="M1714">
        <v>1.5104755814629789</v>
      </c>
      <c r="N1714">
        <v>1.4957621963147969</v>
      </c>
      <c r="O1714">
        <v>1.471338514818221E-2</v>
      </c>
      <c r="P1714">
        <v>408.63985377955538</v>
      </c>
      <c r="Q1714">
        <v>20.38959742972974</v>
      </c>
      <c r="R1714" t="str">
        <f t="shared" si="52"/>
        <v>yes</v>
      </c>
      <c r="S1714" t="str">
        <f t="shared" si="53"/>
        <v>yes</v>
      </c>
    </row>
    <row r="1715" spans="1:19" x14ac:dyDescent="0.35">
      <c r="A1715" s="1">
        <v>1713</v>
      </c>
      <c r="B1715" t="s">
        <v>829</v>
      </c>
      <c r="C1715" t="s">
        <v>549</v>
      </c>
      <c r="D1715" t="s">
        <v>605</v>
      </c>
      <c r="E1715">
        <v>2.0771481481481481E-2</v>
      </c>
      <c r="F1715">
        <v>2.914616110418902E-3</v>
      </c>
      <c r="G1715">
        <v>27</v>
      </c>
      <c r="H1715" t="s">
        <v>58</v>
      </c>
      <c r="M1715">
        <v>2.6600713702319281E-2</v>
      </c>
      <c r="N1715">
        <v>1.494224926064368E-2</v>
      </c>
      <c r="O1715">
        <v>1.165846444167561E-2</v>
      </c>
      <c r="P1715">
        <v>7.1266611775147668</v>
      </c>
      <c r="R1715" t="str">
        <f t="shared" si="52"/>
        <v>yes</v>
      </c>
      <c r="S1715" t="str">
        <f t="shared" si="53"/>
        <v>no</v>
      </c>
    </row>
    <row r="1716" spans="1:19" x14ac:dyDescent="0.35">
      <c r="A1716" s="1">
        <v>1714</v>
      </c>
      <c r="B1716" t="s">
        <v>829</v>
      </c>
      <c r="C1716" t="s">
        <v>549</v>
      </c>
      <c r="D1716" t="s">
        <v>606</v>
      </c>
      <c r="E1716">
        <v>35.901233086419751</v>
      </c>
      <c r="F1716">
        <v>0.1022905074949224</v>
      </c>
      <c r="G1716">
        <v>27</v>
      </c>
      <c r="H1716" t="s">
        <v>58</v>
      </c>
      <c r="I1716">
        <v>34.5</v>
      </c>
      <c r="J1716">
        <v>37</v>
      </c>
      <c r="K1716">
        <v>35.75</v>
      </c>
      <c r="L1716">
        <v>2.5</v>
      </c>
      <c r="M1716">
        <v>36.105814101409592</v>
      </c>
      <c r="N1716">
        <v>35.696652071429909</v>
      </c>
      <c r="O1716">
        <v>0.40916202997968298</v>
      </c>
      <c r="P1716">
        <v>350.97326199307258</v>
      </c>
      <c r="Q1716">
        <v>6.1100488726291093</v>
      </c>
      <c r="R1716" t="str">
        <f t="shared" si="52"/>
        <v>yes</v>
      </c>
      <c r="S1716" t="str">
        <f t="shared" si="53"/>
        <v>yes</v>
      </c>
    </row>
    <row r="1717" spans="1:19" x14ac:dyDescent="0.35">
      <c r="A1717" s="1">
        <v>1715</v>
      </c>
      <c r="B1717" t="s">
        <v>829</v>
      </c>
      <c r="C1717" t="s">
        <v>549</v>
      </c>
      <c r="D1717" t="s">
        <v>607</v>
      </c>
      <c r="E1717">
        <v>2.948024691358026E-3</v>
      </c>
      <c r="F1717">
        <v>1.2296666248018181E-3</v>
      </c>
      <c r="G1717">
        <v>27</v>
      </c>
      <c r="H1717" t="s">
        <v>58</v>
      </c>
      <c r="M1717">
        <v>5.4073579409616634E-3</v>
      </c>
      <c r="N1717">
        <v>4.8869144175438988E-4</v>
      </c>
      <c r="O1717">
        <v>4.9186664992072731E-3</v>
      </c>
      <c r="P1717">
        <v>2.3974178300831341</v>
      </c>
      <c r="R1717" t="str">
        <f t="shared" si="52"/>
        <v>yes</v>
      </c>
      <c r="S1717" t="str">
        <f t="shared" si="53"/>
        <v>no</v>
      </c>
    </row>
    <row r="1718" spans="1:19" x14ac:dyDescent="0.35">
      <c r="A1718" s="1">
        <v>1716</v>
      </c>
      <c r="B1718" t="s">
        <v>829</v>
      </c>
      <c r="C1718" t="s">
        <v>549</v>
      </c>
      <c r="D1718" t="s">
        <v>608</v>
      </c>
      <c r="E1718">
        <v>0.99771728395061721</v>
      </c>
      <c r="F1718">
        <v>2.5892977953418041E-3</v>
      </c>
      <c r="G1718">
        <v>27</v>
      </c>
      <c r="H1718" t="s">
        <v>58</v>
      </c>
      <c r="I1718">
        <v>0.85</v>
      </c>
      <c r="J1718">
        <v>1.2</v>
      </c>
      <c r="K1718">
        <v>1.0249999999999999</v>
      </c>
      <c r="L1718">
        <v>0.35</v>
      </c>
      <c r="M1718">
        <v>1.002895879541301</v>
      </c>
      <c r="N1718">
        <v>0.99253868835993364</v>
      </c>
      <c r="O1718">
        <v>1.035719118136713E-2</v>
      </c>
      <c r="P1718">
        <v>385.32349803314611</v>
      </c>
      <c r="Q1718">
        <v>33.792945777582972</v>
      </c>
      <c r="R1718" t="str">
        <f t="shared" si="52"/>
        <v>yes</v>
      </c>
      <c r="S1718" t="str">
        <f t="shared" si="53"/>
        <v>yes</v>
      </c>
    </row>
    <row r="1719" spans="1:19" x14ac:dyDescent="0.35">
      <c r="A1719" s="1">
        <v>1717</v>
      </c>
      <c r="B1719" t="s">
        <v>829</v>
      </c>
      <c r="C1719" t="s">
        <v>549</v>
      </c>
      <c r="D1719" t="s">
        <v>609</v>
      </c>
      <c r="E1719">
        <v>2.3750617283950629E-3</v>
      </c>
      <c r="F1719">
        <v>1.188681209045802E-3</v>
      </c>
      <c r="G1719">
        <v>27</v>
      </c>
      <c r="H1719" t="s">
        <v>58</v>
      </c>
      <c r="M1719">
        <v>4.7524241464866664E-3</v>
      </c>
      <c r="N1719">
        <v>-2.3006896965409832E-6</v>
      </c>
      <c r="O1719">
        <v>4.7547248361832078E-3</v>
      </c>
      <c r="P1719">
        <v>1.9980645023417269</v>
      </c>
      <c r="R1719" t="str">
        <f t="shared" si="52"/>
        <v>yes</v>
      </c>
      <c r="S1719" t="str">
        <f t="shared" si="53"/>
        <v>no</v>
      </c>
    </row>
    <row r="1720" spans="1:19" x14ac:dyDescent="0.35">
      <c r="A1720" s="1">
        <v>1718</v>
      </c>
      <c r="B1720" t="s">
        <v>829</v>
      </c>
      <c r="C1720" t="s">
        <v>549</v>
      </c>
      <c r="D1720" t="s">
        <v>610</v>
      </c>
      <c r="E1720">
        <v>1.5008838271604941</v>
      </c>
      <c r="F1720">
        <v>2.9116046227212092E-3</v>
      </c>
      <c r="G1720">
        <v>27</v>
      </c>
      <c r="H1720" t="s">
        <v>58</v>
      </c>
      <c r="I1720">
        <v>1.35</v>
      </c>
      <c r="J1720">
        <v>1.65</v>
      </c>
      <c r="K1720">
        <v>1.5</v>
      </c>
      <c r="L1720">
        <v>0.29999999999999982</v>
      </c>
      <c r="M1720">
        <v>1.506707036405937</v>
      </c>
      <c r="N1720">
        <v>1.4950606179150521</v>
      </c>
      <c r="O1720">
        <v>1.164641849088488E-2</v>
      </c>
      <c r="P1720">
        <v>515.4833920265437</v>
      </c>
      <c r="Q1720">
        <v>25.758991936859911</v>
      </c>
      <c r="R1720" t="str">
        <f t="shared" si="52"/>
        <v>yes</v>
      </c>
      <c r="S1720" t="str">
        <f t="shared" si="53"/>
        <v>yes</v>
      </c>
    </row>
    <row r="1721" spans="1:19" x14ac:dyDescent="0.35">
      <c r="A1721" s="1">
        <v>1719</v>
      </c>
      <c r="B1721" t="s">
        <v>829</v>
      </c>
      <c r="C1721" t="s">
        <v>549</v>
      </c>
      <c r="D1721" t="s">
        <v>611</v>
      </c>
      <c r="E1721">
        <v>2.1942469135802469E-2</v>
      </c>
      <c r="F1721">
        <v>3.1136241085679291E-3</v>
      </c>
      <c r="G1721">
        <v>27</v>
      </c>
      <c r="H1721" t="s">
        <v>58</v>
      </c>
      <c r="M1721">
        <v>2.8169717352938332E-2</v>
      </c>
      <c r="N1721">
        <v>1.571522091866661E-2</v>
      </c>
      <c r="O1721">
        <v>1.245449643427172E-2</v>
      </c>
      <c r="P1721">
        <v>7.0472441022736758</v>
      </c>
      <c r="R1721" t="str">
        <f t="shared" si="52"/>
        <v>yes</v>
      </c>
      <c r="S1721" t="str">
        <f t="shared" si="53"/>
        <v>no</v>
      </c>
    </row>
    <row r="1722" spans="1:19" x14ac:dyDescent="0.35">
      <c r="A1722" s="1">
        <v>1720</v>
      </c>
      <c r="B1722" t="s">
        <v>829</v>
      </c>
      <c r="C1722" t="s">
        <v>549</v>
      </c>
      <c r="D1722" t="s">
        <v>612</v>
      </c>
      <c r="E1722">
        <v>35.927605679012338</v>
      </c>
      <c r="F1722">
        <v>6.3208408834077537E-2</v>
      </c>
      <c r="G1722">
        <v>27</v>
      </c>
      <c r="H1722" t="s">
        <v>58</v>
      </c>
      <c r="I1722">
        <v>34.5</v>
      </c>
      <c r="J1722">
        <v>37</v>
      </c>
      <c r="K1722">
        <v>35.75</v>
      </c>
      <c r="L1722">
        <v>2.5</v>
      </c>
      <c r="M1722">
        <v>36.054022496680503</v>
      </c>
      <c r="N1722">
        <v>35.80118886134418</v>
      </c>
      <c r="O1722">
        <v>0.25283363533631592</v>
      </c>
      <c r="P1722">
        <v>568.39914722932713</v>
      </c>
      <c r="Q1722">
        <v>9.8879249063303387</v>
      </c>
      <c r="R1722" t="str">
        <f t="shared" si="52"/>
        <v>yes</v>
      </c>
      <c r="S1722" t="str">
        <f t="shared" si="53"/>
        <v>yes</v>
      </c>
    </row>
    <row r="1723" spans="1:19" x14ac:dyDescent="0.35">
      <c r="A1723" s="1">
        <v>1721</v>
      </c>
      <c r="B1723" t="s">
        <v>829</v>
      </c>
      <c r="C1723" t="s">
        <v>549</v>
      </c>
      <c r="D1723" t="s">
        <v>613</v>
      </c>
      <c r="E1723">
        <v>1.807033703703703</v>
      </c>
      <c r="F1723">
        <v>5.4886431794932402E-3</v>
      </c>
      <c r="G1723">
        <v>27</v>
      </c>
      <c r="H1723" t="s">
        <v>58</v>
      </c>
      <c r="I1723">
        <v>1.62</v>
      </c>
      <c r="J1723">
        <v>1.98</v>
      </c>
      <c r="K1723">
        <v>1.8</v>
      </c>
      <c r="L1723">
        <v>0.35999999999999988</v>
      </c>
      <c r="M1723">
        <v>1.81801099006269</v>
      </c>
      <c r="N1723">
        <v>1.796056417344716</v>
      </c>
      <c r="O1723">
        <v>2.1954572717973079E-2</v>
      </c>
      <c r="P1723">
        <v>329.23140466758201</v>
      </c>
      <c r="Q1723">
        <v>16.397495165336849</v>
      </c>
      <c r="R1723" t="str">
        <f t="shared" si="52"/>
        <v>yes</v>
      </c>
      <c r="S1723" t="str">
        <f t="shared" si="53"/>
        <v>yes</v>
      </c>
    </row>
    <row r="1724" spans="1:19" x14ac:dyDescent="0.35">
      <c r="A1724" s="1">
        <v>1722</v>
      </c>
      <c r="B1724" t="s">
        <v>829</v>
      </c>
      <c r="C1724" t="s">
        <v>549</v>
      </c>
      <c r="D1724" t="s">
        <v>614</v>
      </c>
      <c r="E1724">
        <v>3.0390617283950611E-2</v>
      </c>
      <c r="F1724">
        <v>6.8893267664819078E-3</v>
      </c>
      <c r="G1724">
        <v>27</v>
      </c>
      <c r="H1724" t="s">
        <v>58</v>
      </c>
      <c r="M1724">
        <v>4.4169270816914429E-2</v>
      </c>
      <c r="N1724">
        <v>1.6611963750986791E-2</v>
      </c>
      <c r="O1724">
        <v>2.7557307065927631E-2</v>
      </c>
      <c r="P1724">
        <v>4.4112608262113007</v>
      </c>
      <c r="R1724" t="str">
        <f t="shared" si="52"/>
        <v>yes</v>
      </c>
      <c r="S1724" t="str">
        <f t="shared" si="53"/>
        <v>no</v>
      </c>
    </row>
    <row r="1725" spans="1:19" x14ac:dyDescent="0.35">
      <c r="A1725" s="1">
        <v>1723</v>
      </c>
      <c r="B1725" t="s">
        <v>829</v>
      </c>
      <c r="C1725" t="s">
        <v>549</v>
      </c>
      <c r="D1725" t="s">
        <v>615</v>
      </c>
      <c r="E1725">
        <v>3.4752962962962958E-2</v>
      </c>
      <c r="F1725">
        <v>9.4855255433589115E-3</v>
      </c>
      <c r="G1725">
        <v>27</v>
      </c>
      <c r="H1725" t="s">
        <v>58</v>
      </c>
      <c r="M1725">
        <v>5.3724014049680781E-2</v>
      </c>
      <c r="N1725">
        <v>1.5781911876245131E-2</v>
      </c>
      <c r="O1725">
        <v>3.7942102173435653E-2</v>
      </c>
      <c r="P1725">
        <v>3.663788875387564</v>
      </c>
      <c r="R1725" t="str">
        <f t="shared" si="52"/>
        <v>yes</v>
      </c>
      <c r="S1725" t="str">
        <f t="shared" si="53"/>
        <v>no</v>
      </c>
    </row>
    <row r="1726" spans="1:19" x14ac:dyDescent="0.35">
      <c r="A1726" s="1">
        <v>1724</v>
      </c>
      <c r="B1726" t="s">
        <v>829</v>
      </c>
      <c r="C1726" t="s">
        <v>549</v>
      </c>
      <c r="D1726" t="s">
        <v>616</v>
      </c>
      <c r="E1726">
        <v>3.131493827160494E-2</v>
      </c>
      <c r="F1726">
        <v>8.7140761365570845E-3</v>
      </c>
      <c r="G1726">
        <v>27</v>
      </c>
      <c r="H1726" t="s">
        <v>58</v>
      </c>
      <c r="M1726">
        <v>4.8743090544719113E-2</v>
      </c>
      <c r="N1726">
        <v>1.388678599849077E-2</v>
      </c>
      <c r="O1726">
        <v>3.4856304546228331E-2</v>
      </c>
      <c r="P1726">
        <v>3.593603932404636</v>
      </c>
      <c r="R1726" t="str">
        <f t="shared" si="52"/>
        <v>yes</v>
      </c>
      <c r="S1726" t="str">
        <f t="shared" si="53"/>
        <v>no</v>
      </c>
    </row>
    <row r="1727" spans="1:19" x14ac:dyDescent="0.35">
      <c r="A1727" s="1">
        <v>1725</v>
      </c>
      <c r="B1727" t="s">
        <v>829</v>
      </c>
      <c r="C1727" t="s">
        <v>549</v>
      </c>
      <c r="D1727" t="s">
        <v>617</v>
      </c>
      <c r="E1727">
        <v>7.4118518518518514E-2</v>
      </c>
      <c r="F1727">
        <v>5.5317024092300321E-3</v>
      </c>
      <c r="G1727">
        <v>27</v>
      </c>
      <c r="H1727" t="s">
        <v>58</v>
      </c>
      <c r="M1727">
        <v>8.5181923336978577E-2</v>
      </c>
      <c r="N1727">
        <v>6.3055113700058452E-2</v>
      </c>
      <c r="O1727">
        <v>2.2126809636920129E-2</v>
      </c>
      <c r="P1727">
        <v>13.39886223721048</v>
      </c>
      <c r="R1727" t="str">
        <f t="shared" si="52"/>
        <v>yes</v>
      </c>
      <c r="S1727" t="str">
        <f t="shared" si="53"/>
        <v>no</v>
      </c>
    </row>
    <row r="1728" spans="1:19" x14ac:dyDescent="0.35">
      <c r="A1728" s="1">
        <v>1726</v>
      </c>
      <c r="B1728" t="s">
        <v>829</v>
      </c>
      <c r="C1728" t="s">
        <v>549</v>
      </c>
      <c r="D1728" t="s">
        <v>618</v>
      </c>
      <c r="E1728">
        <v>3.981052345679013</v>
      </c>
      <c r="F1728">
        <v>1.3721538567181229E-2</v>
      </c>
      <c r="G1728">
        <v>27</v>
      </c>
      <c r="H1728" t="s">
        <v>58</v>
      </c>
      <c r="I1728">
        <v>3.6</v>
      </c>
      <c r="J1728">
        <v>4.4000000000000004</v>
      </c>
      <c r="K1728">
        <v>4</v>
      </c>
      <c r="L1728">
        <v>0.80000000000000027</v>
      </c>
      <c r="M1728">
        <v>4.0084954228133753</v>
      </c>
      <c r="N1728">
        <v>3.9536092685446511</v>
      </c>
      <c r="O1728">
        <v>5.4886154268724667E-2</v>
      </c>
      <c r="P1728">
        <v>290.13162964106488</v>
      </c>
      <c r="Q1728">
        <v>14.575624957856769</v>
      </c>
      <c r="R1728" t="str">
        <f t="shared" si="52"/>
        <v>yes</v>
      </c>
      <c r="S1728" t="str">
        <f t="shared" si="53"/>
        <v>yes</v>
      </c>
    </row>
    <row r="1729" spans="1:19" x14ac:dyDescent="0.35">
      <c r="A1729" s="1">
        <v>1727</v>
      </c>
      <c r="B1729" t="s">
        <v>829</v>
      </c>
      <c r="C1729" t="s">
        <v>549</v>
      </c>
      <c r="D1729" t="s">
        <v>619</v>
      </c>
      <c r="E1729">
        <v>4.0701975308641967E-2</v>
      </c>
      <c r="F1729">
        <v>5.1643713398811988E-3</v>
      </c>
      <c r="G1729">
        <v>27</v>
      </c>
      <c r="H1729" t="s">
        <v>58</v>
      </c>
      <c r="M1729">
        <v>5.1030717988404362E-2</v>
      </c>
      <c r="N1729">
        <v>3.037323262887957E-2</v>
      </c>
      <c r="O1729">
        <v>2.0657485359524792E-2</v>
      </c>
      <c r="P1729">
        <v>7.8813029950666316</v>
      </c>
      <c r="R1729" t="str">
        <f t="shared" si="52"/>
        <v>yes</v>
      </c>
      <c r="S1729" t="str">
        <f t="shared" si="53"/>
        <v>no</v>
      </c>
    </row>
    <row r="1730" spans="1:19" x14ac:dyDescent="0.35">
      <c r="A1730" s="1">
        <v>1728</v>
      </c>
      <c r="B1730" t="s">
        <v>829</v>
      </c>
      <c r="C1730" t="s">
        <v>549</v>
      </c>
      <c r="D1730" t="s">
        <v>620</v>
      </c>
      <c r="E1730">
        <v>4.2556913580246908E-2</v>
      </c>
      <c r="F1730">
        <v>6.0487718360555161E-3</v>
      </c>
      <c r="G1730">
        <v>27</v>
      </c>
      <c r="H1730" t="s">
        <v>58</v>
      </c>
      <c r="M1730">
        <v>5.4654457252357937E-2</v>
      </c>
      <c r="N1730">
        <v>3.0459369908135879E-2</v>
      </c>
      <c r="O1730">
        <v>2.4195087344222072E-2</v>
      </c>
      <c r="P1730">
        <v>7.0356288406472336</v>
      </c>
      <c r="R1730" t="str">
        <f t="shared" si="52"/>
        <v>yes</v>
      </c>
      <c r="S1730" t="str">
        <f t="shared" si="53"/>
        <v>no</v>
      </c>
    </row>
    <row r="1731" spans="1:19" x14ac:dyDescent="0.35">
      <c r="A1731" s="1">
        <v>1729</v>
      </c>
      <c r="B1731" t="s">
        <v>829</v>
      </c>
      <c r="C1731" t="s">
        <v>549</v>
      </c>
      <c r="D1731" t="s">
        <v>621</v>
      </c>
      <c r="E1731">
        <v>4.2071975308641971E-2</v>
      </c>
      <c r="F1731">
        <v>7.883371223462771E-3</v>
      </c>
      <c r="G1731">
        <v>27</v>
      </c>
      <c r="H1731" t="s">
        <v>58</v>
      </c>
      <c r="M1731">
        <v>5.7838717755567509E-2</v>
      </c>
      <c r="N1731">
        <v>2.6305232861716429E-2</v>
      </c>
      <c r="O1731">
        <v>3.1533484893851077E-2</v>
      </c>
      <c r="P1731">
        <v>5.3367999699704427</v>
      </c>
      <c r="R1731" t="str">
        <f t="shared" ref="R1731:R1794" si="54">IF(H1731="yes","yes","no")</f>
        <v>yes</v>
      </c>
      <c r="S1731" t="str">
        <f t="shared" ref="S1731:S1794" si="55">IF(I1731,"yes","no")</f>
        <v>no</v>
      </c>
    </row>
    <row r="1732" spans="1:19" x14ac:dyDescent="0.35">
      <c r="A1732" s="1">
        <v>1730</v>
      </c>
      <c r="B1732" t="s">
        <v>829</v>
      </c>
      <c r="C1732" t="s">
        <v>549</v>
      </c>
      <c r="D1732" t="s">
        <v>622</v>
      </c>
      <c r="E1732">
        <v>1.805436296296296</v>
      </c>
      <c r="F1732">
        <v>5.9682071489826211E-3</v>
      </c>
      <c r="G1732">
        <v>27</v>
      </c>
      <c r="H1732" t="s">
        <v>58</v>
      </c>
      <c r="I1732">
        <v>1.62</v>
      </c>
      <c r="J1732">
        <v>1.98</v>
      </c>
      <c r="K1732">
        <v>1.8</v>
      </c>
      <c r="L1732">
        <v>0.35999999999999988</v>
      </c>
      <c r="M1732">
        <v>1.817372710594261</v>
      </c>
      <c r="N1732">
        <v>1.793499881998331</v>
      </c>
      <c r="O1732">
        <v>2.3872828595930429E-2</v>
      </c>
      <c r="P1732">
        <v>302.50898657297148</v>
      </c>
      <c r="Q1732">
        <v>15.079905531654029</v>
      </c>
      <c r="R1732" t="str">
        <f t="shared" si="54"/>
        <v>yes</v>
      </c>
      <c r="S1732" t="str">
        <f t="shared" si="55"/>
        <v>yes</v>
      </c>
    </row>
    <row r="1733" spans="1:19" x14ac:dyDescent="0.35">
      <c r="A1733" s="1">
        <v>1731</v>
      </c>
      <c r="B1733" t="s">
        <v>829</v>
      </c>
      <c r="C1733" t="s">
        <v>549</v>
      </c>
      <c r="D1733" t="s">
        <v>623</v>
      </c>
      <c r="E1733">
        <v>3.5857407407407407E-2</v>
      </c>
      <c r="F1733">
        <v>8.1104659757255011E-3</v>
      </c>
      <c r="G1733">
        <v>27</v>
      </c>
      <c r="H1733" t="s">
        <v>58</v>
      </c>
      <c r="M1733">
        <v>5.207833935885841E-2</v>
      </c>
      <c r="N1733">
        <v>1.9636475455956409E-2</v>
      </c>
      <c r="O1733">
        <v>3.2441863902901998E-2</v>
      </c>
      <c r="P1733">
        <v>4.4211279000156178</v>
      </c>
      <c r="R1733" t="str">
        <f t="shared" si="54"/>
        <v>yes</v>
      </c>
      <c r="S1733" t="str">
        <f t="shared" si="55"/>
        <v>no</v>
      </c>
    </row>
    <row r="1734" spans="1:19" x14ac:dyDescent="0.35">
      <c r="A1734" s="1">
        <v>1732</v>
      </c>
      <c r="B1734" t="s">
        <v>829</v>
      </c>
      <c r="C1734" t="s">
        <v>549</v>
      </c>
      <c r="D1734" t="s">
        <v>624</v>
      </c>
      <c r="E1734">
        <v>3.8006296296296288E-2</v>
      </c>
      <c r="F1734">
        <v>1.3958936317903641E-2</v>
      </c>
      <c r="G1734">
        <v>27</v>
      </c>
      <c r="H1734" t="s">
        <v>58</v>
      </c>
      <c r="M1734">
        <v>6.5924168932103566E-2</v>
      </c>
      <c r="N1734">
        <v>1.008842366048901E-2</v>
      </c>
      <c r="O1734">
        <v>5.5835745271614563E-2</v>
      </c>
      <c r="P1734">
        <v>2.722721519085209</v>
      </c>
      <c r="R1734" t="str">
        <f t="shared" si="54"/>
        <v>yes</v>
      </c>
      <c r="S1734" t="str">
        <f t="shared" si="55"/>
        <v>no</v>
      </c>
    </row>
    <row r="1735" spans="1:19" x14ac:dyDescent="0.35">
      <c r="A1735" s="1">
        <v>1733</v>
      </c>
      <c r="B1735" t="s">
        <v>829</v>
      </c>
      <c r="C1735" t="s">
        <v>549</v>
      </c>
      <c r="D1735" t="s">
        <v>625</v>
      </c>
      <c r="E1735">
        <v>3.5210493827160488E-2</v>
      </c>
      <c r="F1735">
        <v>1.135474243457847E-2</v>
      </c>
      <c r="G1735">
        <v>27</v>
      </c>
      <c r="H1735" t="s">
        <v>58</v>
      </c>
      <c r="M1735">
        <v>5.7919978696317431E-2</v>
      </c>
      <c r="N1735">
        <v>1.2501008958003551E-2</v>
      </c>
      <c r="O1735">
        <v>4.5418969738313893E-2</v>
      </c>
      <c r="P1735">
        <v>3.10095046453316</v>
      </c>
      <c r="R1735" t="str">
        <f t="shared" si="54"/>
        <v>yes</v>
      </c>
      <c r="S1735" t="str">
        <f t="shared" si="55"/>
        <v>no</v>
      </c>
    </row>
    <row r="1736" spans="1:19" x14ac:dyDescent="0.35">
      <c r="A1736" s="1">
        <v>1734</v>
      </c>
      <c r="B1736" t="s">
        <v>829</v>
      </c>
      <c r="C1736" t="s">
        <v>549</v>
      </c>
      <c r="D1736" t="s">
        <v>626</v>
      </c>
      <c r="E1736">
        <v>7.7334197530864193E-2</v>
      </c>
      <c r="F1736">
        <v>6.8799598174537901E-3</v>
      </c>
      <c r="G1736">
        <v>27</v>
      </c>
      <c r="H1736" t="s">
        <v>58</v>
      </c>
      <c r="M1736">
        <v>9.1094117165771774E-2</v>
      </c>
      <c r="N1736">
        <v>6.3574277895956613E-2</v>
      </c>
      <c r="O1736">
        <v>2.7519839269815161E-2</v>
      </c>
      <c r="P1736">
        <v>11.24050133762044</v>
      </c>
      <c r="R1736" t="str">
        <f t="shared" si="54"/>
        <v>yes</v>
      </c>
      <c r="S1736" t="str">
        <f t="shared" si="55"/>
        <v>no</v>
      </c>
    </row>
    <row r="1737" spans="1:19" x14ac:dyDescent="0.35">
      <c r="A1737" s="1">
        <v>1735</v>
      </c>
      <c r="B1737" t="s">
        <v>829</v>
      </c>
      <c r="C1737" t="s">
        <v>549</v>
      </c>
      <c r="D1737" t="s">
        <v>627</v>
      </c>
      <c r="E1737">
        <v>3.9755804938271608</v>
      </c>
      <c r="F1737">
        <v>9.8846700779517561E-3</v>
      </c>
      <c r="G1737">
        <v>27</v>
      </c>
      <c r="H1737" t="s">
        <v>58</v>
      </c>
      <c r="I1737">
        <v>3.6</v>
      </c>
      <c r="J1737">
        <v>4.4000000000000004</v>
      </c>
      <c r="K1737">
        <v>4</v>
      </c>
      <c r="L1737">
        <v>0.80000000000000027</v>
      </c>
      <c r="M1737">
        <v>3.995349833983064</v>
      </c>
      <c r="N1737">
        <v>3.9558111536712568</v>
      </c>
      <c r="O1737">
        <v>3.9538680311807177E-2</v>
      </c>
      <c r="P1737">
        <v>402.19657939771702</v>
      </c>
      <c r="Q1737">
        <v>20.23335108028634</v>
      </c>
      <c r="R1737" t="str">
        <f t="shared" si="54"/>
        <v>yes</v>
      </c>
      <c r="S1737" t="str">
        <f t="shared" si="55"/>
        <v>yes</v>
      </c>
    </row>
    <row r="1738" spans="1:19" x14ac:dyDescent="0.35">
      <c r="A1738" s="1">
        <v>1736</v>
      </c>
      <c r="B1738" t="s">
        <v>829</v>
      </c>
      <c r="C1738" t="s">
        <v>549</v>
      </c>
      <c r="D1738" t="s">
        <v>628</v>
      </c>
      <c r="E1738">
        <v>4.3471234567901237E-2</v>
      </c>
      <c r="F1738">
        <v>7.5330383405706799E-3</v>
      </c>
      <c r="G1738">
        <v>27</v>
      </c>
      <c r="H1738" t="s">
        <v>58</v>
      </c>
      <c r="M1738">
        <v>5.8537311249042601E-2</v>
      </c>
      <c r="N1738">
        <v>2.8405157886759881E-2</v>
      </c>
      <c r="O1738">
        <v>3.013215336228272E-2</v>
      </c>
      <c r="P1738">
        <v>5.7707438356948533</v>
      </c>
      <c r="R1738" t="str">
        <f t="shared" si="54"/>
        <v>yes</v>
      </c>
      <c r="S1738" t="str">
        <f t="shared" si="55"/>
        <v>no</v>
      </c>
    </row>
    <row r="1739" spans="1:19" x14ac:dyDescent="0.35">
      <c r="A1739" s="1">
        <v>1737</v>
      </c>
      <c r="B1739" t="s">
        <v>829</v>
      </c>
      <c r="C1739" t="s">
        <v>549</v>
      </c>
      <c r="D1739" t="s">
        <v>629</v>
      </c>
      <c r="E1739">
        <v>4.6341728395061732E-2</v>
      </c>
      <c r="F1739">
        <v>6.7606316018905049E-3</v>
      </c>
      <c r="G1739">
        <v>27</v>
      </c>
      <c r="H1739" t="s">
        <v>58</v>
      </c>
      <c r="M1739">
        <v>5.9862991598842737E-2</v>
      </c>
      <c r="N1739">
        <v>3.282046519128072E-2</v>
      </c>
      <c r="O1739">
        <v>2.704252640756202E-2</v>
      </c>
      <c r="P1739">
        <v>6.8546448207742889</v>
      </c>
      <c r="R1739" t="str">
        <f t="shared" si="54"/>
        <v>yes</v>
      </c>
      <c r="S1739" t="str">
        <f t="shared" si="55"/>
        <v>no</v>
      </c>
    </row>
    <row r="1740" spans="1:19" x14ac:dyDescent="0.35">
      <c r="A1740" s="1">
        <v>1738</v>
      </c>
      <c r="B1740" t="s">
        <v>829</v>
      </c>
      <c r="C1740" t="s">
        <v>549</v>
      </c>
      <c r="D1740" t="s">
        <v>630</v>
      </c>
      <c r="E1740">
        <v>4.5855432098765428E-2</v>
      </c>
      <c r="F1740">
        <v>7.6665599200959793E-3</v>
      </c>
      <c r="G1740">
        <v>27</v>
      </c>
      <c r="H1740" t="s">
        <v>58</v>
      </c>
      <c r="M1740">
        <v>6.1188551938957378E-2</v>
      </c>
      <c r="N1740">
        <v>3.0522312258573471E-2</v>
      </c>
      <c r="O1740">
        <v>3.066623968038391E-2</v>
      </c>
      <c r="P1740">
        <v>5.9812265966338858</v>
      </c>
      <c r="R1740" t="str">
        <f t="shared" si="54"/>
        <v>yes</v>
      </c>
      <c r="S1740" t="str">
        <f t="shared" si="55"/>
        <v>no</v>
      </c>
    </row>
    <row r="1741" spans="1:19" x14ac:dyDescent="0.35">
      <c r="A1741" s="1">
        <v>1739</v>
      </c>
      <c r="B1741" t="s">
        <v>829</v>
      </c>
      <c r="C1741" t="s">
        <v>549</v>
      </c>
      <c r="D1741" t="s">
        <v>631</v>
      </c>
      <c r="E1741">
        <v>1.802168518518519</v>
      </c>
      <c r="F1741">
        <v>4.0303118133450978E-3</v>
      </c>
      <c r="G1741">
        <v>27</v>
      </c>
      <c r="H1741" t="s">
        <v>58</v>
      </c>
      <c r="I1741">
        <v>1.62</v>
      </c>
      <c r="J1741">
        <v>1.98</v>
      </c>
      <c r="K1741">
        <v>1.8</v>
      </c>
      <c r="L1741">
        <v>0.35999999999999988</v>
      </c>
      <c r="M1741">
        <v>1.810229142145209</v>
      </c>
      <c r="N1741">
        <v>1.794107894891829</v>
      </c>
      <c r="O1741">
        <v>1.6121247253380488E-2</v>
      </c>
      <c r="P1741">
        <v>447.15362036039249</v>
      </c>
      <c r="Q1741">
        <v>22.330778403296989</v>
      </c>
      <c r="R1741" t="str">
        <f t="shared" si="54"/>
        <v>yes</v>
      </c>
      <c r="S1741" t="str">
        <f t="shared" si="55"/>
        <v>yes</v>
      </c>
    </row>
    <row r="1742" spans="1:19" x14ac:dyDescent="0.35">
      <c r="A1742" s="1">
        <v>1740</v>
      </c>
      <c r="B1742" t="s">
        <v>829</v>
      </c>
      <c r="C1742" t="s">
        <v>549</v>
      </c>
      <c r="D1742" t="s">
        <v>632</v>
      </c>
      <c r="E1742">
        <v>3.3891851851851847E-2</v>
      </c>
      <c r="F1742">
        <v>7.4338145140249532E-3</v>
      </c>
      <c r="G1742">
        <v>27</v>
      </c>
      <c r="H1742" t="s">
        <v>58</v>
      </c>
      <c r="M1742">
        <v>4.8759480879901763E-2</v>
      </c>
      <c r="N1742">
        <v>1.902422282380194E-2</v>
      </c>
      <c r="O1742">
        <v>2.973525805609982E-2</v>
      </c>
      <c r="P1742">
        <v>4.5591468266944277</v>
      </c>
      <c r="R1742" t="str">
        <f t="shared" si="54"/>
        <v>yes</v>
      </c>
      <c r="S1742" t="str">
        <f t="shared" si="55"/>
        <v>no</v>
      </c>
    </row>
    <row r="1743" spans="1:19" x14ac:dyDescent="0.35">
      <c r="A1743" s="1">
        <v>1741</v>
      </c>
      <c r="B1743" t="s">
        <v>829</v>
      </c>
      <c r="C1743" t="s">
        <v>549</v>
      </c>
      <c r="D1743" t="s">
        <v>633</v>
      </c>
      <c r="E1743">
        <v>3.85037037037037E-2</v>
      </c>
      <c r="F1743">
        <v>1.3453932863592911E-2</v>
      </c>
      <c r="G1743">
        <v>27</v>
      </c>
      <c r="H1743" t="s">
        <v>58</v>
      </c>
      <c r="M1743">
        <v>6.5411569430889521E-2</v>
      </c>
      <c r="N1743">
        <v>1.159583797651788E-2</v>
      </c>
      <c r="O1743">
        <v>5.3815731454371643E-2</v>
      </c>
      <c r="P1743">
        <v>2.8618920648769448</v>
      </c>
      <c r="R1743" t="str">
        <f t="shared" si="54"/>
        <v>yes</v>
      </c>
      <c r="S1743" t="str">
        <f t="shared" si="55"/>
        <v>no</v>
      </c>
    </row>
    <row r="1744" spans="1:19" x14ac:dyDescent="0.35">
      <c r="A1744" s="1">
        <v>1742</v>
      </c>
      <c r="B1744" t="s">
        <v>829</v>
      </c>
      <c r="C1744" t="s">
        <v>549</v>
      </c>
      <c r="D1744" t="s">
        <v>634</v>
      </c>
      <c r="E1744">
        <v>3.3242345679012339E-2</v>
      </c>
      <c r="F1744">
        <v>1.078382232405614E-2</v>
      </c>
      <c r="G1744">
        <v>27</v>
      </c>
      <c r="H1744" t="s">
        <v>58</v>
      </c>
      <c r="M1744">
        <v>5.4809990327124622E-2</v>
      </c>
      <c r="N1744">
        <v>1.1674701030900059E-2</v>
      </c>
      <c r="O1744">
        <v>4.3135289296224573E-2</v>
      </c>
      <c r="P1744">
        <v>3.082612517164399</v>
      </c>
      <c r="R1744" t="str">
        <f t="shared" si="54"/>
        <v>yes</v>
      </c>
      <c r="S1744" t="str">
        <f t="shared" si="55"/>
        <v>no</v>
      </c>
    </row>
    <row r="1745" spans="1:19" x14ac:dyDescent="0.35">
      <c r="A1745" s="1">
        <v>1743</v>
      </c>
      <c r="B1745" t="s">
        <v>829</v>
      </c>
      <c r="C1745" t="s">
        <v>549</v>
      </c>
      <c r="D1745" t="s">
        <v>635</v>
      </c>
      <c r="E1745">
        <v>7.325098765432099E-2</v>
      </c>
      <c r="F1745">
        <v>5.4360236300414573E-3</v>
      </c>
      <c r="G1745">
        <v>27</v>
      </c>
      <c r="H1745" t="s">
        <v>58</v>
      </c>
      <c r="M1745">
        <v>8.4123034914403899E-2</v>
      </c>
      <c r="N1745">
        <v>6.2378940394238067E-2</v>
      </c>
      <c r="O1745">
        <v>2.1744094520165829E-2</v>
      </c>
      <c r="P1745">
        <v>13.475104716158549</v>
      </c>
      <c r="R1745" t="str">
        <f t="shared" si="54"/>
        <v>yes</v>
      </c>
      <c r="S1745" t="str">
        <f t="shared" si="55"/>
        <v>no</v>
      </c>
    </row>
    <row r="1746" spans="1:19" x14ac:dyDescent="0.35">
      <c r="A1746" s="1">
        <v>1744</v>
      </c>
      <c r="B1746" t="s">
        <v>829</v>
      </c>
      <c r="C1746" t="s">
        <v>549</v>
      </c>
      <c r="D1746" t="s">
        <v>636</v>
      </c>
      <c r="E1746">
        <v>3.972071481481481</v>
      </c>
      <c r="F1746">
        <v>8.1843392628627078E-3</v>
      </c>
      <c r="G1746">
        <v>27</v>
      </c>
      <c r="H1746" t="s">
        <v>58</v>
      </c>
      <c r="I1746">
        <v>3.6</v>
      </c>
      <c r="J1746">
        <v>4.4000000000000004</v>
      </c>
      <c r="K1746">
        <v>4</v>
      </c>
      <c r="L1746">
        <v>0.80000000000000027</v>
      </c>
      <c r="M1746">
        <v>3.9884401600072059</v>
      </c>
      <c r="N1746">
        <v>3.9557028029557562</v>
      </c>
      <c r="O1746">
        <v>3.2737357051450637E-2</v>
      </c>
      <c r="P1746">
        <v>485.32585880269772</v>
      </c>
      <c r="Q1746">
        <v>24.43691464594119</v>
      </c>
      <c r="R1746" t="str">
        <f t="shared" si="54"/>
        <v>yes</v>
      </c>
      <c r="S1746" t="str">
        <f t="shared" si="55"/>
        <v>yes</v>
      </c>
    </row>
    <row r="1747" spans="1:19" x14ac:dyDescent="0.35">
      <c r="A1747" s="1">
        <v>1745</v>
      </c>
      <c r="B1747" t="s">
        <v>829</v>
      </c>
      <c r="C1747" t="s">
        <v>549</v>
      </c>
      <c r="D1747" t="s">
        <v>637</v>
      </c>
      <c r="E1747">
        <v>3.7637530864197542E-2</v>
      </c>
      <c r="F1747">
        <v>2.4542840529136328E-3</v>
      </c>
      <c r="G1747">
        <v>27</v>
      </c>
      <c r="H1747" t="s">
        <v>58</v>
      </c>
      <c r="M1747">
        <v>4.2546098970024808E-2</v>
      </c>
      <c r="N1747">
        <v>3.2728962758370277E-2</v>
      </c>
      <c r="O1747">
        <v>9.8171362116545313E-3</v>
      </c>
      <c r="P1747">
        <v>15.335442048574491</v>
      </c>
      <c r="R1747" t="str">
        <f t="shared" si="54"/>
        <v>yes</v>
      </c>
      <c r="S1747" t="str">
        <f t="shared" si="55"/>
        <v>no</v>
      </c>
    </row>
    <row r="1748" spans="1:19" x14ac:dyDescent="0.35">
      <c r="A1748" s="1">
        <v>1746</v>
      </c>
      <c r="B1748" t="s">
        <v>829</v>
      </c>
      <c r="C1748" t="s">
        <v>549</v>
      </c>
      <c r="D1748" t="s">
        <v>638</v>
      </c>
      <c r="E1748">
        <v>4.258864197530865E-2</v>
      </c>
      <c r="F1748">
        <v>6.3624864309529006E-3</v>
      </c>
      <c r="G1748">
        <v>27</v>
      </c>
      <c r="H1748" t="s">
        <v>58</v>
      </c>
      <c r="M1748">
        <v>5.5313614837214448E-2</v>
      </c>
      <c r="N1748">
        <v>2.9863669113402849E-2</v>
      </c>
      <c r="O1748">
        <v>2.5449945723811599E-2</v>
      </c>
      <c r="P1748">
        <v>6.6937104601306334</v>
      </c>
      <c r="R1748" t="str">
        <f t="shared" si="54"/>
        <v>yes</v>
      </c>
      <c r="S1748" t="str">
        <f t="shared" si="55"/>
        <v>no</v>
      </c>
    </row>
    <row r="1749" spans="1:19" x14ac:dyDescent="0.35">
      <c r="A1749" s="1">
        <v>1747</v>
      </c>
      <c r="B1749" t="s">
        <v>829</v>
      </c>
      <c r="C1749" t="s">
        <v>549</v>
      </c>
      <c r="D1749" t="s">
        <v>639</v>
      </c>
      <c r="E1749">
        <v>3.759666666666666E-2</v>
      </c>
      <c r="F1749">
        <v>5.2276907615672408E-3</v>
      </c>
      <c r="G1749">
        <v>27</v>
      </c>
      <c r="H1749" t="s">
        <v>58</v>
      </c>
      <c r="M1749">
        <v>4.805204818980114E-2</v>
      </c>
      <c r="N1749">
        <v>2.714128514353218E-2</v>
      </c>
      <c r="O1749">
        <v>2.091076304626896E-2</v>
      </c>
      <c r="P1749">
        <v>7.1918306536164218</v>
      </c>
      <c r="R1749" t="str">
        <f t="shared" si="54"/>
        <v>yes</v>
      </c>
      <c r="S1749" t="str">
        <f t="shared" si="55"/>
        <v>no</v>
      </c>
    </row>
    <row r="1750" spans="1:19" x14ac:dyDescent="0.35">
      <c r="A1750" s="1">
        <v>1748</v>
      </c>
      <c r="B1750" t="s">
        <v>829</v>
      </c>
      <c r="C1750" t="s">
        <v>549</v>
      </c>
      <c r="D1750" t="s">
        <v>640</v>
      </c>
      <c r="E1750">
        <v>3.6374074074074082E-3</v>
      </c>
      <c r="F1750">
        <v>1.702360276821634E-3</v>
      </c>
      <c r="G1750">
        <v>27</v>
      </c>
      <c r="H1750" t="s">
        <v>58</v>
      </c>
      <c r="M1750">
        <v>7.0421279610506761E-3</v>
      </c>
      <c r="N1750">
        <v>2.3268685376414029E-4</v>
      </c>
      <c r="O1750">
        <v>6.8094411072865358E-3</v>
      </c>
      <c r="P1750">
        <v>2.1366848468754069</v>
      </c>
      <c r="R1750" t="str">
        <f t="shared" si="54"/>
        <v>yes</v>
      </c>
      <c r="S1750" t="str">
        <f t="shared" si="55"/>
        <v>no</v>
      </c>
    </row>
    <row r="1751" spans="1:19" x14ac:dyDescent="0.35">
      <c r="A1751" s="1">
        <v>1749</v>
      </c>
      <c r="B1751" t="s">
        <v>829</v>
      </c>
      <c r="C1751" t="s">
        <v>549</v>
      </c>
      <c r="D1751" t="s">
        <v>641</v>
      </c>
      <c r="E1751">
        <v>0.99626691358024688</v>
      </c>
      <c r="F1751">
        <v>1.695569188437275E-3</v>
      </c>
      <c r="G1751">
        <v>27</v>
      </c>
      <c r="H1751" t="s">
        <v>58</v>
      </c>
      <c r="I1751">
        <v>0.85</v>
      </c>
      <c r="J1751">
        <v>1.2</v>
      </c>
      <c r="K1751">
        <v>1.0249999999999999</v>
      </c>
      <c r="L1751">
        <v>0.35</v>
      </c>
      <c r="M1751">
        <v>0.99965805195712143</v>
      </c>
      <c r="N1751">
        <v>0.99287577520337233</v>
      </c>
      <c r="O1751">
        <v>6.7822767537490947E-3</v>
      </c>
      <c r="P1751">
        <v>587.57078176117273</v>
      </c>
      <c r="Q1751">
        <v>51.605089663515663</v>
      </c>
      <c r="R1751" t="str">
        <f t="shared" si="54"/>
        <v>yes</v>
      </c>
      <c r="S1751" t="str">
        <f t="shared" si="55"/>
        <v>yes</v>
      </c>
    </row>
    <row r="1752" spans="1:19" x14ac:dyDescent="0.35">
      <c r="A1752" s="1">
        <v>1750</v>
      </c>
      <c r="B1752" t="s">
        <v>829</v>
      </c>
      <c r="C1752" t="s">
        <v>549</v>
      </c>
      <c r="D1752" t="s">
        <v>642</v>
      </c>
      <c r="E1752">
        <v>2.1462962962962981E-3</v>
      </c>
      <c r="F1752">
        <v>1.3384703474967031E-3</v>
      </c>
      <c r="G1752">
        <v>27</v>
      </c>
      <c r="H1752" t="s">
        <v>58</v>
      </c>
      <c r="M1752">
        <v>4.8232369912897047E-3</v>
      </c>
      <c r="N1752">
        <v>-5.3064439869710813E-4</v>
      </c>
      <c r="O1752">
        <v>5.3538813899868132E-3</v>
      </c>
      <c r="P1752">
        <v>1.603544150462836</v>
      </c>
      <c r="R1752" t="str">
        <f t="shared" si="54"/>
        <v>yes</v>
      </c>
      <c r="S1752" t="str">
        <f t="shared" si="55"/>
        <v>no</v>
      </c>
    </row>
    <row r="1753" spans="1:19" x14ac:dyDescent="0.35">
      <c r="A1753" s="1">
        <v>1751</v>
      </c>
      <c r="B1753" t="s">
        <v>829</v>
      </c>
      <c r="C1753" t="s">
        <v>549</v>
      </c>
      <c r="D1753" t="s">
        <v>643</v>
      </c>
      <c r="E1753">
        <v>1.499985308641975</v>
      </c>
      <c r="F1753">
        <v>3.087286291633158E-3</v>
      </c>
      <c r="G1753">
        <v>27</v>
      </c>
      <c r="H1753" t="s">
        <v>58</v>
      </c>
      <c r="I1753">
        <v>1.35</v>
      </c>
      <c r="J1753">
        <v>1.65</v>
      </c>
      <c r="K1753">
        <v>1.5</v>
      </c>
      <c r="L1753">
        <v>0.29999999999999982</v>
      </c>
      <c r="M1753">
        <v>1.506159881225241</v>
      </c>
      <c r="N1753">
        <v>1.493810736058709</v>
      </c>
      <c r="O1753">
        <v>1.2349145166532519E-2</v>
      </c>
      <c r="P1753">
        <v>485.85883100866897</v>
      </c>
      <c r="Q1753">
        <v>24.29317948363191</v>
      </c>
      <c r="R1753" t="str">
        <f t="shared" si="54"/>
        <v>yes</v>
      </c>
      <c r="S1753" t="str">
        <f t="shared" si="55"/>
        <v>yes</v>
      </c>
    </row>
    <row r="1754" spans="1:19" x14ac:dyDescent="0.35">
      <c r="A1754" s="1">
        <v>1752</v>
      </c>
      <c r="B1754" t="s">
        <v>829</v>
      </c>
      <c r="C1754" t="s">
        <v>549</v>
      </c>
      <c r="D1754" t="s">
        <v>644</v>
      </c>
      <c r="E1754">
        <v>2.1674074074074071E-2</v>
      </c>
      <c r="F1754">
        <v>3.513417674383811E-3</v>
      </c>
      <c r="G1754">
        <v>27</v>
      </c>
      <c r="H1754" t="s">
        <v>58</v>
      </c>
      <c r="M1754">
        <v>2.8700909422841689E-2</v>
      </c>
      <c r="N1754">
        <v>1.464723872530645E-2</v>
      </c>
      <c r="O1754">
        <v>1.405367069753524E-2</v>
      </c>
      <c r="P1754">
        <v>6.1689432008323086</v>
      </c>
      <c r="R1754" t="str">
        <f t="shared" si="54"/>
        <v>yes</v>
      </c>
      <c r="S1754" t="str">
        <f t="shared" si="55"/>
        <v>no</v>
      </c>
    </row>
    <row r="1755" spans="1:19" x14ac:dyDescent="0.35">
      <c r="A1755" s="1">
        <v>1753</v>
      </c>
      <c r="B1755" t="s">
        <v>829</v>
      </c>
      <c r="C1755" t="s">
        <v>549</v>
      </c>
      <c r="D1755" t="s">
        <v>645</v>
      </c>
      <c r="E1755">
        <v>35.83708037037038</v>
      </c>
      <c r="F1755">
        <v>0.1059490486297669</v>
      </c>
      <c r="G1755">
        <v>27</v>
      </c>
      <c r="H1755" t="s">
        <v>58</v>
      </c>
      <c r="I1755">
        <v>34.5</v>
      </c>
      <c r="J1755">
        <v>37</v>
      </c>
      <c r="K1755">
        <v>35.75</v>
      </c>
      <c r="L1755">
        <v>2.5</v>
      </c>
      <c r="M1755">
        <v>36.048978467629922</v>
      </c>
      <c r="N1755">
        <v>35.625182273110838</v>
      </c>
      <c r="O1755">
        <v>0.42379619451907052</v>
      </c>
      <c r="P1755">
        <v>338.24825077572029</v>
      </c>
      <c r="Q1755">
        <v>5.8990619366864134</v>
      </c>
      <c r="R1755" t="str">
        <f t="shared" si="54"/>
        <v>yes</v>
      </c>
      <c r="S1755" t="str">
        <f t="shared" si="55"/>
        <v>yes</v>
      </c>
    </row>
    <row r="1756" spans="1:19" x14ac:dyDescent="0.35">
      <c r="A1756" s="1">
        <v>1754</v>
      </c>
      <c r="B1756" t="s">
        <v>829</v>
      </c>
      <c r="C1756" t="s">
        <v>549</v>
      </c>
      <c r="D1756" t="s">
        <v>646</v>
      </c>
      <c r="E1756">
        <v>3.2253086419753081E-3</v>
      </c>
      <c r="F1756">
        <v>1.7998535259884231E-3</v>
      </c>
      <c r="G1756">
        <v>27</v>
      </c>
      <c r="H1756" t="s">
        <v>58</v>
      </c>
      <c r="M1756">
        <v>6.8250156939521547E-3</v>
      </c>
      <c r="N1756">
        <v>-3.7439841000153811E-4</v>
      </c>
      <c r="O1756">
        <v>7.1994141039536923E-3</v>
      </c>
      <c r="P1756">
        <v>1.7919839561411359</v>
      </c>
      <c r="R1756" t="str">
        <f t="shared" si="54"/>
        <v>yes</v>
      </c>
      <c r="S1756" t="str">
        <f t="shared" si="55"/>
        <v>no</v>
      </c>
    </row>
    <row r="1757" spans="1:19" x14ac:dyDescent="0.35">
      <c r="A1757" s="1">
        <v>1755</v>
      </c>
      <c r="B1757" t="s">
        <v>829</v>
      </c>
      <c r="C1757" t="s">
        <v>549</v>
      </c>
      <c r="D1757" t="s">
        <v>647</v>
      </c>
      <c r="E1757">
        <v>0.99738037037037031</v>
      </c>
      <c r="F1757">
        <v>1.1952187209498619E-3</v>
      </c>
      <c r="G1757">
        <v>27</v>
      </c>
      <c r="H1757" t="s">
        <v>58</v>
      </c>
      <c r="I1757">
        <v>0.85</v>
      </c>
      <c r="J1757">
        <v>1.2</v>
      </c>
      <c r="K1757">
        <v>1.0249999999999999</v>
      </c>
      <c r="L1757">
        <v>0.35</v>
      </c>
      <c r="M1757">
        <v>0.99977080781227001</v>
      </c>
      <c r="N1757">
        <v>0.9949899329284706</v>
      </c>
      <c r="O1757">
        <v>4.7808748837994131E-3</v>
      </c>
      <c r="P1757">
        <v>834.47519093219535</v>
      </c>
      <c r="Q1757">
        <v>73.208357990295525</v>
      </c>
      <c r="R1757" t="str">
        <f t="shared" si="54"/>
        <v>yes</v>
      </c>
      <c r="S1757" t="str">
        <f t="shared" si="55"/>
        <v>yes</v>
      </c>
    </row>
    <row r="1758" spans="1:19" x14ac:dyDescent="0.35">
      <c r="A1758" s="1">
        <v>1756</v>
      </c>
      <c r="B1758" t="s">
        <v>829</v>
      </c>
      <c r="C1758" t="s">
        <v>549</v>
      </c>
      <c r="D1758" t="s">
        <v>648</v>
      </c>
      <c r="E1758">
        <v>1.944814814814815E-3</v>
      </c>
      <c r="F1758">
        <v>1.3204654586688621E-3</v>
      </c>
      <c r="G1758">
        <v>27</v>
      </c>
      <c r="H1758" t="s">
        <v>58</v>
      </c>
      <c r="M1758">
        <v>4.5857457321525387E-3</v>
      </c>
      <c r="N1758">
        <v>-6.9611610252290909E-4</v>
      </c>
      <c r="O1758">
        <v>5.2818618346754474E-3</v>
      </c>
      <c r="P1758">
        <v>1.47282520875279</v>
      </c>
      <c r="R1758" t="str">
        <f t="shared" si="54"/>
        <v>yes</v>
      </c>
      <c r="S1758" t="str">
        <f t="shared" si="55"/>
        <v>no</v>
      </c>
    </row>
    <row r="1759" spans="1:19" x14ac:dyDescent="0.35">
      <c r="A1759" s="1">
        <v>1757</v>
      </c>
      <c r="B1759" t="s">
        <v>829</v>
      </c>
      <c r="C1759" t="s">
        <v>549</v>
      </c>
      <c r="D1759" t="s">
        <v>649</v>
      </c>
      <c r="E1759">
        <v>1.501698765432099</v>
      </c>
      <c r="F1759">
        <v>2.8201116648276579E-3</v>
      </c>
      <c r="G1759">
        <v>27</v>
      </c>
      <c r="H1759" t="s">
        <v>58</v>
      </c>
      <c r="I1759">
        <v>1.35</v>
      </c>
      <c r="J1759">
        <v>1.65</v>
      </c>
      <c r="K1759">
        <v>1.5</v>
      </c>
      <c r="L1759">
        <v>0.29999999999999982</v>
      </c>
      <c r="M1759">
        <v>1.5073389887617541</v>
      </c>
      <c r="N1759">
        <v>1.4960585421024439</v>
      </c>
      <c r="O1759">
        <v>1.1280446659310611E-2</v>
      </c>
      <c r="P1759">
        <v>532.49620721095471</v>
      </c>
      <c r="Q1759">
        <v>26.594691598704301</v>
      </c>
      <c r="R1759" t="str">
        <f t="shared" si="54"/>
        <v>yes</v>
      </c>
      <c r="S1759" t="str">
        <f t="shared" si="55"/>
        <v>yes</v>
      </c>
    </row>
    <row r="1760" spans="1:19" x14ac:dyDescent="0.35">
      <c r="A1760" s="1">
        <v>1758</v>
      </c>
      <c r="B1760" t="s">
        <v>829</v>
      </c>
      <c r="C1760" t="s">
        <v>549</v>
      </c>
      <c r="D1760" t="s">
        <v>650</v>
      </c>
      <c r="E1760">
        <v>2.2871975308641979E-2</v>
      </c>
      <c r="F1760">
        <v>2.526346695812589E-3</v>
      </c>
      <c r="G1760">
        <v>27</v>
      </c>
      <c r="H1760" t="s">
        <v>58</v>
      </c>
      <c r="M1760">
        <v>2.792466870026716E-2</v>
      </c>
      <c r="N1760">
        <v>1.7819281917016799E-2</v>
      </c>
      <c r="O1760">
        <v>1.0105386783250349E-2</v>
      </c>
      <c r="P1760">
        <v>9.0533794694735281</v>
      </c>
      <c r="R1760" t="str">
        <f t="shared" si="54"/>
        <v>yes</v>
      </c>
      <c r="S1760" t="str">
        <f t="shared" si="55"/>
        <v>no</v>
      </c>
    </row>
    <row r="1761" spans="1:19" x14ac:dyDescent="0.35">
      <c r="A1761" s="1">
        <v>1759</v>
      </c>
      <c r="B1761" t="s">
        <v>829</v>
      </c>
      <c r="C1761" t="s">
        <v>549</v>
      </c>
      <c r="D1761" t="s">
        <v>651</v>
      </c>
      <c r="E1761">
        <v>35.929459135802468</v>
      </c>
      <c r="F1761">
        <v>8.1653310808986232E-2</v>
      </c>
      <c r="G1761">
        <v>27</v>
      </c>
      <c r="H1761" t="s">
        <v>58</v>
      </c>
      <c r="I1761">
        <v>34.5</v>
      </c>
      <c r="J1761">
        <v>37</v>
      </c>
      <c r="K1761">
        <v>35.75</v>
      </c>
      <c r="L1761">
        <v>2.5</v>
      </c>
      <c r="M1761">
        <v>36.092765757420437</v>
      </c>
      <c r="N1761">
        <v>35.766152514184498</v>
      </c>
      <c r="O1761">
        <v>0.32661324323593988</v>
      </c>
      <c r="P1761">
        <v>440.02452294743091</v>
      </c>
      <c r="Q1761">
        <v>7.6543130193714841</v>
      </c>
      <c r="R1761" t="str">
        <f t="shared" si="54"/>
        <v>yes</v>
      </c>
      <c r="S1761" t="str">
        <f t="shared" si="55"/>
        <v>yes</v>
      </c>
    </row>
    <row r="1762" spans="1:19" x14ac:dyDescent="0.35">
      <c r="A1762" s="1">
        <v>1760</v>
      </c>
      <c r="B1762" t="s">
        <v>829</v>
      </c>
      <c r="C1762" t="s">
        <v>549</v>
      </c>
      <c r="D1762" t="s">
        <v>652</v>
      </c>
      <c r="E1762">
        <v>3.289382716049383E-3</v>
      </c>
      <c r="F1762">
        <v>1.9462562013364581E-3</v>
      </c>
      <c r="G1762">
        <v>27</v>
      </c>
      <c r="H1762" t="s">
        <v>58</v>
      </c>
      <c r="M1762">
        <v>7.1818951187222991E-3</v>
      </c>
      <c r="N1762">
        <v>-6.031296866235332E-4</v>
      </c>
      <c r="O1762">
        <v>7.7850248053458323E-3</v>
      </c>
      <c r="P1762">
        <v>1.6901077637109769</v>
      </c>
      <c r="R1762" t="str">
        <f t="shared" si="54"/>
        <v>yes</v>
      </c>
      <c r="S1762" t="str">
        <f t="shared" si="55"/>
        <v>no</v>
      </c>
    </row>
    <row r="1763" spans="1:19" x14ac:dyDescent="0.35">
      <c r="A1763" s="1">
        <v>1761</v>
      </c>
      <c r="B1763" t="s">
        <v>829</v>
      </c>
      <c r="C1763" t="s">
        <v>549</v>
      </c>
      <c r="D1763" t="s">
        <v>653</v>
      </c>
      <c r="E1763">
        <v>0.99525888888888903</v>
      </c>
      <c r="F1763">
        <v>2.3795019180319851E-3</v>
      </c>
      <c r="G1763">
        <v>27</v>
      </c>
      <c r="H1763" t="s">
        <v>58</v>
      </c>
      <c r="I1763">
        <v>0.85</v>
      </c>
      <c r="J1763">
        <v>1.2</v>
      </c>
      <c r="K1763">
        <v>1.0249999999999999</v>
      </c>
      <c r="L1763">
        <v>0.35</v>
      </c>
      <c r="M1763">
        <v>1.000017892724953</v>
      </c>
      <c r="N1763">
        <v>0.99049988505282505</v>
      </c>
      <c r="O1763">
        <v>9.5180076721279594E-3</v>
      </c>
      <c r="P1763">
        <v>418.26353714900051</v>
      </c>
      <c r="Q1763">
        <v>36.77240154207081</v>
      </c>
      <c r="R1763" t="str">
        <f t="shared" si="54"/>
        <v>yes</v>
      </c>
      <c r="S1763" t="str">
        <f t="shared" si="55"/>
        <v>yes</v>
      </c>
    </row>
    <row r="1764" spans="1:19" x14ac:dyDescent="0.35">
      <c r="A1764" s="1">
        <v>1762</v>
      </c>
      <c r="B1764" t="s">
        <v>829</v>
      </c>
      <c r="C1764" t="s">
        <v>549</v>
      </c>
      <c r="D1764" t="s">
        <v>654</v>
      </c>
      <c r="E1764">
        <v>3.0592592592592598E-3</v>
      </c>
      <c r="F1764">
        <v>1.3458925423131211E-3</v>
      </c>
      <c r="G1764">
        <v>27</v>
      </c>
      <c r="H1764" t="s">
        <v>58</v>
      </c>
      <c r="M1764">
        <v>5.751044343885502E-3</v>
      </c>
      <c r="N1764">
        <v>3.6747417463301769E-4</v>
      </c>
      <c r="O1764">
        <v>5.3835701692524843E-3</v>
      </c>
      <c r="P1764">
        <v>2.2730338144243349</v>
      </c>
      <c r="R1764" t="str">
        <f t="shared" si="54"/>
        <v>yes</v>
      </c>
      <c r="S1764" t="str">
        <f t="shared" si="55"/>
        <v>no</v>
      </c>
    </row>
    <row r="1765" spans="1:19" x14ac:dyDescent="0.35">
      <c r="A1765" s="1">
        <v>1763</v>
      </c>
      <c r="B1765" t="s">
        <v>829</v>
      </c>
      <c r="C1765" t="s">
        <v>549</v>
      </c>
      <c r="D1765" t="s">
        <v>655</v>
      </c>
      <c r="E1765">
        <v>1.502216296296297</v>
      </c>
      <c r="F1765">
        <v>3.9825507394544444E-3</v>
      </c>
      <c r="G1765">
        <v>27</v>
      </c>
      <c r="H1765" t="s">
        <v>58</v>
      </c>
      <c r="I1765">
        <v>1.35</v>
      </c>
      <c r="J1765">
        <v>1.65</v>
      </c>
      <c r="K1765">
        <v>1.5</v>
      </c>
      <c r="L1765">
        <v>0.29999999999999982</v>
      </c>
      <c r="M1765">
        <v>1.5101813977752061</v>
      </c>
      <c r="N1765">
        <v>1.494251194817388</v>
      </c>
      <c r="O1765">
        <v>1.5930202957817659E-2</v>
      </c>
      <c r="P1765">
        <v>377.19953732518678</v>
      </c>
      <c r="Q1765">
        <v>18.832151780764121</v>
      </c>
      <c r="R1765" t="str">
        <f t="shared" si="54"/>
        <v>yes</v>
      </c>
      <c r="S1765" t="str">
        <f t="shared" si="55"/>
        <v>yes</v>
      </c>
    </row>
    <row r="1766" spans="1:19" x14ac:dyDescent="0.35">
      <c r="A1766" s="1">
        <v>1764</v>
      </c>
      <c r="B1766" t="s">
        <v>829</v>
      </c>
      <c r="C1766" t="s">
        <v>549</v>
      </c>
      <c r="D1766" t="s">
        <v>656</v>
      </c>
      <c r="E1766">
        <v>2.2525925925925921E-2</v>
      </c>
      <c r="F1766">
        <v>3.3311514503996378E-3</v>
      </c>
      <c r="G1766">
        <v>27</v>
      </c>
      <c r="H1766" t="s">
        <v>58</v>
      </c>
      <c r="M1766">
        <v>2.9188228826725199E-2</v>
      </c>
      <c r="N1766">
        <v>1.5863623025126641E-2</v>
      </c>
      <c r="O1766">
        <v>1.3324605801598549E-2</v>
      </c>
      <c r="P1766">
        <v>6.7622040790800702</v>
      </c>
      <c r="R1766" t="str">
        <f t="shared" si="54"/>
        <v>yes</v>
      </c>
      <c r="S1766" t="str">
        <f t="shared" si="55"/>
        <v>no</v>
      </c>
    </row>
    <row r="1767" spans="1:19" x14ac:dyDescent="0.35">
      <c r="A1767" s="1">
        <v>1765</v>
      </c>
      <c r="B1767" t="s">
        <v>829</v>
      </c>
      <c r="C1767" t="s">
        <v>549</v>
      </c>
      <c r="D1767" t="s">
        <v>657</v>
      </c>
      <c r="E1767">
        <v>35.87713049382716</v>
      </c>
      <c r="F1767">
        <v>0.1293140540739991</v>
      </c>
      <c r="G1767">
        <v>27</v>
      </c>
      <c r="H1767" t="s">
        <v>58</v>
      </c>
      <c r="I1767">
        <v>34.5</v>
      </c>
      <c r="J1767">
        <v>37</v>
      </c>
      <c r="K1767">
        <v>35.75</v>
      </c>
      <c r="L1767">
        <v>2.5</v>
      </c>
      <c r="M1767">
        <v>36.135758601975162</v>
      </c>
      <c r="N1767">
        <v>35.618502385679157</v>
      </c>
      <c r="O1767">
        <v>0.51725621629599061</v>
      </c>
      <c r="P1767">
        <v>277.44185077746238</v>
      </c>
      <c r="Q1767">
        <v>4.8331946939220929</v>
      </c>
      <c r="R1767" t="str">
        <f t="shared" si="54"/>
        <v>yes</v>
      </c>
      <c r="S1767" t="str">
        <f t="shared" si="55"/>
        <v>yes</v>
      </c>
    </row>
    <row r="1768" spans="1:19" x14ac:dyDescent="0.35">
      <c r="A1768" s="1">
        <v>1766</v>
      </c>
      <c r="B1768" t="s">
        <v>829</v>
      </c>
      <c r="C1768" t="s">
        <v>549</v>
      </c>
      <c r="D1768" t="s">
        <v>658</v>
      </c>
      <c r="E1768">
        <v>1.803112222222222</v>
      </c>
      <c r="F1768">
        <v>3.6064915586428992E-3</v>
      </c>
      <c r="G1768">
        <v>27</v>
      </c>
      <c r="H1768" t="s">
        <v>58</v>
      </c>
      <c r="I1768">
        <v>1.62</v>
      </c>
      <c r="J1768">
        <v>1.98</v>
      </c>
      <c r="K1768">
        <v>1.8</v>
      </c>
      <c r="L1768">
        <v>0.35999999999999988</v>
      </c>
      <c r="M1768">
        <v>1.810325205339508</v>
      </c>
      <c r="N1768">
        <v>1.795899239104936</v>
      </c>
      <c r="O1768">
        <v>1.44259662345716E-2</v>
      </c>
      <c r="P1768">
        <v>499.96296758302191</v>
      </c>
      <c r="Q1768">
        <v>24.95500087455256</v>
      </c>
      <c r="R1768" t="str">
        <f t="shared" si="54"/>
        <v>yes</v>
      </c>
      <c r="S1768" t="str">
        <f t="shared" si="55"/>
        <v>yes</v>
      </c>
    </row>
    <row r="1769" spans="1:19" x14ac:dyDescent="0.35">
      <c r="A1769" s="1">
        <v>1767</v>
      </c>
      <c r="B1769" t="s">
        <v>829</v>
      </c>
      <c r="C1769" t="s">
        <v>549</v>
      </c>
      <c r="D1769" t="s">
        <v>659</v>
      </c>
      <c r="E1769">
        <v>3.5189135802469143E-2</v>
      </c>
      <c r="F1769">
        <v>5.4453695417449903E-3</v>
      </c>
      <c r="G1769">
        <v>27</v>
      </c>
      <c r="H1769" t="s">
        <v>58</v>
      </c>
      <c r="M1769">
        <v>4.6079874885959132E-2</v>
      </c>
      <c r="N1769">
        <v>2.4298396718979161E-2</v>
      </c>
      <c r="O1769">
        <v>2.1781478166979961E-2</v>
      </c>
      <c r="P1769">
        <v>6.4622126253698928</v>
      </c>
      <c r="R1769" t="str">
        <f t="shared" si="54"/>
        <v>yes</v>
      </c>
      <c r="S1769" t="str">
        <f t="shared" si="55"/>
        <v>no</v>
      </c>
    </row>
    <row r="1770" spans="1:19" x14ac:dyDescent="0.35">
      <c r="A1770" s="1">
        <v>1768</v>
      </c>
      <c r="B1770" t="s">
        <v>829</v>
      </c>
      <c r="C1770" t="s">
        <v>549</v>
      </c>
      <c r="D1770" t="s">
        <v>660</v>
      </c>
      <c r="E1770">
        <v>3.4660246913580252E-2</v>
      </c>
      <c r="F1770">
        <v>5.5669053813910581E-3</v>
      </c>
      <c r="G1770">
        <v>27</v>
      </c>
      <c r="H1770" t="s">
        <v>58</v>
      </c>
      <c r="M1770">
        <v>4.5794057676362368E-2</v>
      </c>
      <c r="N1770">
        <v>2.3526436150798139E-2</v>
      </c>
      <c r="O1770">
        <v>2.2267621525564229E-2</v>
      </c>
      <c r="P1770">
        <v>6.2261246669364718</v>
      </c>
      <c r="R1770" t="str">
        <f t="shared" si="54"/>
        <v>yes</v>
      </c>
      <c r="S1770" t="str">
        <f t="shared" si="55"/>
        <v>no</v>
      </c>
    </row>
    <row r="1771" spans="1:19" x14ac:dyDescent="0.35">
      <c r="A1771" s="1">
        <v>1769</v>
      </c>
      <c r="B1771" t="s">
        <v>829</v>
      </c>
      <c r="C1771" t="s">
        <v>549</v>
      </c>
      <c r="D1771" t="s">
        <v>661</v>
      </c>
      <c r="E1771">
        <v>3.5852592592592603E-2</v>
      </c>
      <c r="F1771">
        <v>5.6081918190691686E-3</v>
      </c>
      <c r="G1771">
        <v>27</v>
      </c>
      <c r="H1771" t="s">
        <v>58</v>
      </c>
      <c r="M1771">
        <v>4.706897623073094E-2</v>
      </c>
      <c r="N1771">
        <v>2.4636208954454269E-2</v>
      </c>
      <c r="O1771">
        <v>2.2432767276276671E-2</v>
      </c>
      <c r="P1771">
        <v>6.3928969887737024</v>
      </c>
      <c r="R1771" t="str">
        <f t="shared" si="54"/>
        <v>yes</v>
      </c>
      <c r="S1771" t="str">
        <f t="shared" si="55"/>
        <v>no</v>
      </c>
    </row>
    <row r="1772" spans="1:19" x14ac:dyDescent="0.35">
      <c r="A1772" s="1">
        <v>1770</v>
      </c>
      <c r="B1772" t="s">
        <v>829</v>
      </c>
      <c r="C1772" t="s">
        <v>549</v>
      </c>
      <c r="D1772" t="s">
        <v>662</v>
      </c>
      <c r="E1772">
        <v>7.5230987654320985E-2</v>
      </c>
      <c r="F1772">
        <v>5.8511610726408826E-3</v>
      </c>
      <c r="G1772">
        <v>27</v>
      </c>
      <c r="H1772" t="s">
        <v>58</v>
      </c>
      <c r="M1772">
        <v>8.6933309799602745E-2</v>
      </c>
      <c r="N1772">
        <v>6.3528665509039225E-2</v>
      </c>
      <c r="O1772">
        <v>2.340464429056352E-2</v>
      </c>
      <c r="P1772">
        <v>12.85744602145536</v>
      </c>
      <c r="R1772" t="str">
        <f t="shared" si="54"/>
        <v>yes</v>
      </c>
      <c r="S1772" t="str">
        <f t="shared" si="55"/>
        <v>no</v>
      </c>
    </row>
    <row r="1773" spans="1:19" x14ac:dyDescent="0.35">
      <c r="A1773" s="1">
        <v>1771</v>
      </c>
      <c r="B1773" t="s">
        <v>829</v>
      </c>
      <c r="C1773" t="s">
        <v>549</v>
      </c>
      <c r="D1773" t="s">
        <v>663</v>
      </c>
      <c r="E1773">
        <v>3.982198395061729</v>
      </c>
      <c r="F1773">
        <v>1.0474769364809421E-2</v>
      </c>
      <c r="G1773">
        <v>27</v>
      </c>
      <c r="H1773" t="s">
        <v>58</v>
      </c>
      <c r="I1773">
        <v>3.6</v>
      </c>
      <c r="J1773">
        <v>4.4000000000000004</v>
      </c>
      <c r="K1773">
        <v>4</v>
      </c>
      <c r="L1773">
        <v>0.80000000000000027</v>
      </c>
      <c r="M1773">
        <v>4.0031479337913476</v>
      </c>
      <c r="N1773">
        <v>3.96124885633211</v>
      </c>
      <c r="O1773">
        <v>4.1899077459237599E-2</v>
      </c>
      <c r="P1773">
        <v>380.17050842571763</v>
      </c>
      <c r="Q1773">
        <v>19.093499153490839</v>
      </c>
      <c r="R1773" t="str">
        <f t="shared" si="54"/>
        <v>yes</v>
      </c>
      <c r="S1773" t="str">
        <f t="shared" si="55"/>
        <v>yes</v>
      </c>
    </row>
    <row r="1774" spans="1:19" x14ac:dyDescent="0.35">
      <c r="A1774" s="1">
        <v>1772</v>
      </c>
      <c r="B1774" t="s">
        <v>829</v>
      </c>
      <c r="C1774" t="s">
        <v>549</v>
      </c>
      <c r="D1774" t="s">
        <v>664</v>
      </c>
      <c r="E1774">
        <v>4.0143827160493827E-2</v>
      </c>
      <c r="F1774">
        <v>6.5877669342178976E-3</v>
      </c>
      <c r="G1774">
        <v>27</v>
      </c>
      <c r="H1774" t="s">
        <v>58</v>
      </c>
      <c r="M1774">
        <v>5.3319361028929618E-2</v>
      </c>
      <c r="N1774">
        <v>2.6968293292058031E-2</v>
      </c>
      <c r="O1774">
        <v>2.635106773687159E-2</v>
      </c>
      <c r="P1774">
        <v>6.0936926824141997</v>
      </c>
      <c r="R1774" t="str">
        <f t="shared" si="54"/>
        <v>yes</v>
      </c>
      <c r="S1774" t="str">
        <f t="shared" si="55"/>
        <v>no</v>
      </c>
    </row>
    <row r="1775" spans="1:19" x14ac:dyDescent="0.35">
      <c r="A1775" s="1">
        <v>1773</v>
      </c>
      <c r="B1775" t="s">
        <v>829</v>
      </c>
      <c r="C1775" t="s">
        <v>549</v>
      </c>
      <c r="D1775" t="s">
        <v>665</v>
      </c>
      <c r="E1775">
        <v>4.4425432098765441E-2</v>
      </c>
      <c r="F1775">
        <v>5.5400531102547607E-3</v>
      </c>
      <c r="G1775">
        <v>27</v>
      </c>
      <c r="H1775" t="s">
        <v>58</v>
      </c>
      <c r="M1775">
        <v>5.5505538319274961E-2</v>
      </c>
      <c r="N1775">
        <v>3.3345325878255921E-2</v>
      </c>
      <c r="O1775">
        <v>2.2160212441019039E-2</v>
      </c>
      <c r="P1775">
        <v>8.0189541895425123</v>
      </c>
      <c r="R1775" t="str">
        <f t="shared" si="54"/>
        <v>yes</v>
      </c>
      <c r="S1775" t="str">
        <f t="shared" si="55"/>
        <v>no</v>
      </c>
    </row>
    <row r="1776" spans="1:19" x14ac:dyDescent="0.35">
      <c r="A1776" s="1">
        <v>1774</v>
      </c>
      <c r="B1776" t="s">
        <v>829</v>
      </c>
      <c r="C1776" t="s">
        <v>549</v>
      </c>
      <c r="D1776" t="s">
        <v>666</v>
      </c>
      <c r="E1776">
        <v>4.1670123456790123E-2</v>
      </c>
      <c r="F1776">
        <v>6.3893553571869131E-3</v>
      </c>
      <c r="G1776">
        <v>27</v>
      </c>
      <c r="H1776" t="s">
        <v>58</v>
      </c>
      <c r="M1776">
        <v>5.4448834171163953E-2</v>
      </c>
      <c r="N1776">
        <v>2.88914127424163E-2</v>
      </c>
      <c r="O1776">
        <v>2.5557421428747649E-2</v>
      </c>
      <c r="P1776">
        <v>6.5218040204820484</v>
      </c>
      <c r="R1776" t="str">
        <f t="shared" si="54"/>
        <v>yes</v>
      </c>
      <c r="S1776" t="str">
        <f t="shared" si="55"/>
        <v>no</v>
      </c>
    </row>
    <row r="1777" spans="1:19" x14ac:dyDescent="0.35">
      <c r="A1777" s="1">
        <v>1775</v>
      </c>
      <c r="B1777" t="s">
        <v>829</v>
      </c>
      <c r="C1777" t="s">
        <v>549</v>
      </c>
      <c r="D1777" t="s">
        <v>667</v>
      </c>
      <c r="E1777">
        <v>1.7998422222222219</v>
      </c>
      <c r="F1777">
        <v>5.9654366848561251E-3</v>
      </c>
      <c r="G1777">
        <v>27</v>
      </c>
      <c r="H1777" t="s">
        <v>58</v>
      </c>
      <c r="I1777">
        <v>1.62</v>
      </c>
      <c r="J1777">
        <v>1.98</v>
      </c>
      <c r="K1777">
        <v>1.8</v>
      </c>
      <c r="L1777">
        <v>0.35999999999999988</v>
      </c>
      <c r="M1777">
        <v>1.811773095591934</v>
      </c>
      <c r="N1777">
        <v>1.78791134885251</v>
      </c>
      <c r="O1777">
        <v>2.386174673942465E-2</v>
      </c>
      <c r="P1777">
        <v>301.71172997130401</v>
      </c>
      <c r="Q1777">
        <v>15.086908931323279</v>
      </c>
      <c r="R1777" t="str">
        <f t="shared" si="54"/>
        <v>yes</v>
      </c>
      <c r="S1777" t="str">
        <f t="shared" si="55"/>
        <v>yes</v>
      </c>
    </row>
    <row r="1778" spans="1:19" x14ac:dyDescent="0.35">
      <c r="A1778" s="1">
        <v>1776</v>
      </c>
      <c r="B1778" t="s">
        <v>829</v>
      </c>
      <c r="C1778" t="s">
        <v>549</v>
      </c>
      <c r="D1778" t="s">
        <v>668</v>
      </c>
      <c r="E1778">
        <v>3.9235432098765427E-2</v>
      </c>
      <c r="F1778">
        <v>8.8094775679420523E-3</v>
      </c>
      <c r="G1778">
        <v>27</v>
      </c>
      <c r="H1778" t="s">
        <v>58</v>
      </c>
      <c r="M1778">
        <v>5.6854387234649528E-2</v>
      </c>
      <c r="N1778">
        <v>2.1616476962881319E-2</v>
      </c>
      <c r="O1778">
        <v>3.5237910271768202E-2</v>
      </c>
      <c r="P1778">
        <v>4.4537751298152246</v>
      </c>
      <c r="R1778" t="str">
        <f t="shared" si="54"/>
        <v>yes</v>
      </c>
      <c r="S1778" t="str">
        <f t="shared" si="55"/>
        <v>no</v>
      </c>
    </row>
    <row r="1779" spans="1:19" x14ac:dyDescent="0.35">
      <c r="A1779" s="1">
        <v>1777</v>
      </c>
      <c r="B1779" t="s">
        <v>829</v>
      </c>
      <c r="C1779" t="s">
        <v>549</v>
      </c>
      <c r="D1779" t="s">
        <v>669</v>
      </c>
      <c r="E1779">
        <v>3.8480246913580249E-2</v>
      </c>
      <c r="F1779">
        <v>9.0921823190708764E-3</v>
      </c>
      <c r="G1779">
        <v>27</v>
      </c>
      <c r="H1779" t="s">
        <v>58</v>
      </c>
      <c r="M1779">
        <v>5.6664611551722012E-2</v>
      </c>
      <c r="N1779">
        <v>2.02958822754385E-2</v>
      </c>
      <c r="O1779">
        <v>3.6368729276283512E-2</v>
      </c>
      <c r="P1779">
        <v>4.2322344144890094</v>
      </c>
      <c r="R1779" t="str">
        <f t="shared" si="54"/>
        <v>yes</v>
      </c>
      <c r="S1779" t="str">
        <f t="shared" si="55"/>
        <v>no</v>
      </c>
    </row>
    <row r="1780" spans="1:19" x14ac:dyDescent="0.35">
      <c r="A1780" s="1">
        <v>1778</v>
      </c>
      <c r="B1780" t="s">
        <v>829</v>
      </c>
      <c r="C1780" t="s">
        <v>549</v>
      </c>
      <c r="D1780" t="s">
        <v>670</v>
      </c>
      <c r="E1780">
        <v>3.4513456790123458E-2</v>
      </c>
      <c r="F1780">
        <v>1.2276012979763549E-2</v>
      </c>
      <c r="G1780">
        <v>27</v>
      </c>
      <c r="H1780" t="s">
        <v>58</v>
      </c>
      <c r="M1780">
        <v>5.9065482749650552E-2</v>
      </c>
      <c r="N1780">
        <v>9.9614308305963593E-3</v>
      </c>
      <c r="O1780">
        <v>4.910405191905419E-2</v>
      </c>
      <c r="P1780">
        <v>2.8114548955770351</v>
      </c>
      <c r="R1780" t="str">
        <f t="shared" si="54"/>
        <v>yes</v>
      </c>
      <c r="S1780" t="str">
        <f t="shared" si="55"/>
        <v>no</v>
      </c>
    </row>
    <row r="1781" spans="1:19" x14ac:dyDescent="0.35">
      <c r="A1781" s="1">
        <v>1779</v>
      </c>
      <c r="B1781" t="s">
        <v>829</v>
      </c>
      <c r="C1781" t="s">
        <v>549</v>
      </c>
      <c r="D1781" t="s">
        <v>671</v>
      </c>
      <c r="E1781">
        <v>7.5673580246913577E-2</v>
      </c>
      <c r="F1781">
        <v>5.7492927718309928E-3</v>
      </c>
      <c r="G1781">
        <v>27</v>
      </c>
      <c r="H1781" t="s">
        <v>58</v>
      </c>
      <c r="M1781">
        <v>8.7172165790575559E-2</v>
      </c>
      <c r="N1781">
        <v>6.4174994703251595E-2</v>
      </c>
      <c r="O1781">
        <v>2.2997171087323961E-2</v>
      </c>
      <c r="P1781">
        <v>13.16224155737569</v>
      </c>
      <c r="R1781" t="str">
        <f t="shared" si="54"/>
        <v>yes</v>
      </c>
      <c r="S1781" t="str">
        <f t="shared" si="55"/>
        <v>no</v>
      </c>
    </row>
    <row r="1782" spans="1:19" x14ac:dyDescent="0.35">
      <c r="A1782" s="1">
        <v>1780</v>
      </c>
      <c r="B1782" t="s">
        <v>829</v>
      </c>
      <c r="C1782" t="s">
        <v>549</v>
      </c>
      <c r="D1782" t="s">
        <v>672</v>
      </c>
      <c r="E1782">
        <v>3.971753333333333</v>
      </c>
      <c r="F1782">
        <v>1.5927551184885289E-2</v>
      </c>
      <c r="G1782">
        <v>27</v>
      </c>
      <c r="H1782" t="s">
        <v>58</v>
      </c>
      <c r="I1782">
        <v>3.6</v>
      </c>
      <c r="J1782">
        <v>4.4000000000000004</v>
      </c>
      <c r="K1782">
        <v>4</v>
      </c>
      <c r="L1782">
        <v>0.80000000000000027</v>
      </c>
      <c r="M1782">
        <v>4.0036084357031037</v>
      </c>
      <c r="N1782">
        <v>3.939898230963562</v>
      </c>
      <c r="O1782">
        <v>6.3710204739541254E-2</v>
      </c>
      <c r="P1782">
        <v>249.3637149383261</v>
      </c>
      <c r="Q1782">
        <v>12.55685809315076</v>
      </c>
      <c r="R1782" t="str">
        <f t="shared" si="54"/>
        <v>yes</v>
      </c>
      <c r="S1782" t="str">
        <f t="shared" si="55"/>
        <v>yes</v>
      </c>
    </row>
    <row r="1783" spans="1:19" x14ac:dyDescent="0.35">
      <c r="A1783" s="1">
        <v>1781</v>
      </c>
      <c r="B1783" t="s">
        <v>829</v>
      </c>
      <c r="C1783" t="s">
        <v>549</v>
      </c>
      <c r="D1783" t="s">
        <v>673</v>
      </c>
      <c r="E1783">
        <v>4.1895432098765437E-2</v>
      </c>
      <c r="F1783">
        <v>3.4767125226853272E-3</v>
      </c>
      <c r="G1783">
        <v>27</v>
      </c>
      <c r="H1783" t="s">
        <v>58</v>
      </c>
      <c r="M1783">
        <v>4.8848857144136087E-2</v>
      </c>
      <c r="N1783">
        <v>3.4942007053394793E-2</v>
      </c>
      <c r="O1783">
        <v>1.39068500907413E-2</v>
      </c>
      <c r="P1783">
        <v>12.050300916570009</v>
      </c>
      <c r="R1783" t="str">
        <f t="shared" si="54"/>
        <v>yes</v>
      </c>
      <c r="S1783" t="str">
        <f t="shared" si="55"/>
        <v>no</v>
      </c>
    </row>
    <row r="1784" spans="1:19" x14ac:dyDescent="0.35">
      <c r="A1784" s="1">
        <v>1782</v>
      </c>
      <c r="B1784" t="s">
        <v>829</v>
      </c>
      <c r="C1784" t="s">
        <v>549</v>
      </c>
      <c r="D1784" t="s">
        <v>674</v>
      </c>
      <c r="E1784">
        <v>4.3353580246913583E-2</v>
      </c>
      <c r="F1784">
        <v>8.1030830369622567E-3</v>
      </c>
      <c r="G1784">
        <v>27</v>
      </c>
      <c r="H1784" t="s">
        <v>58</v>
      </c>
      <c r="M1784">
        <v>5.9559746320838103E-2</v>
      </c>
      <c r="N1784">
        <v>2.7147414172989069E-2</v>
      </c>
      <c r="O1784">
        <v>3.2412332147849027E-2</v>
      </c>
      <c r="P1784">
        <v>5.350257432776635</v>
      </c>
      <c r="R1784" t="str">
        <f t="shared" si="54"/>
        <v>yes</v>
      </c>
      <c r="S1784" t="str">
        <f t="shared" si="55"/>
        <v>no</v>
      </c>
    </row>
    <row r="1785" spans="1:19" x14ac:dyDescent="0.35">
      <c r="A1785" s="1">
        <v>1783</v>
      </c>
      <c r="B1785" t="s">
        <v>829</v>
      </c>
      <c r="C1785" t="s">
        <v>549</v>
      </c>
      <c r="D1785" t="s">
        <v>675</v>
      </c>
      <c r="E1785">
        <v>4.2378518518518517E-2</v>
      </c>
      <c r="F1785">
        <v>7.3898619626726709E-3</v>
      </c>
      <c r="G1785">
        <v>27</v>
      </c>
      <c r="H1785" t="s">
        <v>58</v>
      </c>
      <c r="M1785">
        <v>5.715824244386386E-2</v>
      </c>
      <c r="N1785">
        <v>2.759879459317317E-2</v>
      </c>
      <c r="O1785">
        <v>2.9559447850690691E-2</v>
      </c>
      <c r="P1785">
        <v>5.7346833719735129</v>
      </c>
      <c r="R1785" t="str">
        <f t="shared" si="54"/>
        <v>yes</v>
      </c>
      <c r="S1785" t="str">
        <f t="shared" si="55"/>
        <v>no</v>
      </c>
    </row>
    <row r="1786" spans="1:19" x14ac:dyDescent="0.35">
      <c r="A1786" s="1">
        <v>1784</v>
      </c>
      <c r="B1786" t="s">
        <v>829</v>
      </c>
      <c r="C1786" t="s">
        <v>549</v>
      </c>
      <c r="D1786" t="s">
        <v>676</v>
      </c>
      <c r="E1786">
        <v>1.803731111111111</v>
      </c>
      <c r="F1786">
        <v>6.6603210734496442E-3</v>
      </c>
      <c r="G1786">
        <v>27</v>
      </c>
      <c r="H1786" t="s">
        <v>58</v>
      </c>
      <c r="I1786">
        <v>1.62</v>
      </c>
      <c r="J1786">
        <v>1.98</v>
      </c>
      <c r="K1786">
        <v>1.8</v>
      </c>
      <c r="L1786">
        <v>0.35999999999999988</v>
      </c>
      <c r="M1786">
        <v>1.8170517532580099</v>
      </c>
      <c r="N1786">
        <v>1.790410468964212</v>
      </c>
      <c r="O1786">
        <v>2.6641284293798421E-2</v>
      </c>
      <c r="P1786">
        <v>270.81744126441748</v>
      </c>
      <c r="Q1786">
        <v>13.512862068883109</v>
      </c>
      <c r="R1786" t="str">
        <f t="shared" si="54"/>
        <v>yes</v>
      </c>
      <c r="S1786" t="str">
        <f t="shared" si="55"/>
        <v>yes</v>
      </c>
    </row>
    <row r="1787" spans="1:19" x14ac:dyDescent="0.35">
      <c r="A1787" s="1">
        <v>1785</v>
      </c>
      <c r="B1787" t="s">
        <v>829</v>
      </c>
      <c r="C1787" t="s">
        <v>549</v>
      </c>
      <c r="D1787" t="s">
        <v>677</v>
      </c>
      <c r="E1787">
        <v>3.6676543209876553E-2</v>
      </c>
      <c r="F1787">
        <v>6.928925507550034E-3</v>
      </c>
      <c r="G1787">
        <v>27</v>
      </c>
      <c r="H1787" t="s">
        <v>58</v>
      </c>
      <c r="M1787">
        <v>5.0534394224976617E-2</v>
      </c>
      <c r="N1787">
        <v>2.2818692194776481E-2</v>
      </c>
      <c r="O1787">
        <v>2.7715702030200129E-2</v>
      </c>
      <c r="P1787">
        <v>5.2932511931196728</v>
      </c>
      <c r="R1787" t="str">
        <f t="shared" si="54"/>
        <v>yes</v>
      </c>
      <c r="S1787" t="str">
        <f t="shared" si="55"/>
        <v>no</v>
      </c>
    </row>
    <row r="1788" spans="1:19" x14ac:dyDescent="0.35">
      <c r="A1788" s="1">
        <v>1786</v>
      </c>
      <c r="B1788" t="s">
        <v>829</v>
      </c>
      <c r="C1788" t="s">
        <v>549</v>
      </c>
      <c r="D1788" t="s">
        <v>678</v>
      </c>
      <c r="E1788">
        <v>3.0221481481481471E-2</v>
      </c>
      <c r="F1788">
        <v>6.2069519665217086E-3</v>
      </c>
      <c r="G1788">
        <v>27</v>
      </c>
      <c r="H1788" t="s">
        <v>58</v>
      </c>
      <c r="M1788">
        <v>4.2635385414524878E-2</v>
      </c>
      <c r="N1788">
        <v>1.780757754843805E-2</v>
      </c>
      <c r="O1788">
        <v>2.4827807866086831E-2</v>
      </c>
      <c r="P1788">
        <v>4.868972991008528</v>
      </c>
      <c r="R1788" t="str">
        <f t="shared" si="54"/>
        <v>yes</v>
      </c>
      <c r="S1788" t="str">
        <f t="shared" si="55"/>
        <v>no</v>
      </c>
    </row>
    <row r="1789" spans="1:19" x14ac:dyDescent="0.35">
      <c r="A1789" s="1">
        <v>1787</v>
      </c>
      <c r="B1789" t="s">
        <v>829</v>
      </c>
      <c r="C1789" t="s">
        <v>549</v>
      </c>
      <c r="D1789" t="s">
        <v>679</v>
      </c>
      <c r="E1789">
        <v>3.16941975308642E-2</v>
      </c>
      <c r="F1789">
        <v>7.564449158785202E-3</v>
      </c>
      <c r="G1789">
        <v>27</v>
      </c>
      <c r="H1789" t="s">
        <v>58</v>
      </c>
      <c r="M1789">
        <v>4.6823095848434602E-2</v>
      </c>
      <c r="N1789">
        <v>1.6565299213293801E-2</v>
      </c>
      <c r="O1789">
        <v>3.0257796635140801E-2</v>
      </c>
      <c r="P1789">
        <v>4.1898883666968896</v>
      </c>
      <c r="R1789" t="str">
        <f t="shared" si="54"/>
        <v>yes</v>
      </c>
      <c r="S1789" t="str">
        <f t="shared" si="55"/>
        <v>no</v>
      </c>
    </row>
    <row r="1790" spans="1:19" x14ac:dyDescent="0.35">
      <c r="A1790" s="1">
        <v>1788</v>
      </c>
      <c r="B1790" t="s">
        <v>829</v>
      </c>
      <c r="C1790" t="s">
        <v>549</v>
      </c>
      <c r="D1790" t="s">
        <v>680</v>
      </c>
      <c r="E1790">
        <v>7.6740000000000003E-2</v>
      </c>
      <c r="F1790">
        <v>6.1425409091012432E-3</v>
      </c>
      <c r="G1790">
        <v>27</v>
      </c>
      <c r="H1790" t="s">
        <v>58</v>
      </c>
      <c r="M1790">
        <v>8.9025081818202484E-2</v>
      </c>
      <c r="N1790">
        <v>6.4454918181797521E-2</v>
      </c>
      <c r="O1790">
        <v>2.4570163636404959E-2</v>
      </c>
      <c r="P1790">
        <v>12.493201288459691</v>
      </c>
      <c r="R1790" t="str">
        <f t="shared" si="54"/>
        <v>yes</v>
      </c>
      <c r="S1790" t="str">
        <f t="shared" si="55"/>
        <v>no</v>
      </c>
    </row>
    <row r="1791" spans="1:19" x14ac:dyDescent="0.35">
      <c r="A1791" s="1">
        <v>1789</v>
      </c>
      <c r="B1791" t="s">
        <v>829</v>
      </c>
      <c r="C1791" t="s">
        <v>549</v>
      </c>
      <c r="D1791" t="s">
        <v>681</v>
      </c>
      <c r="E1791">
        <v>3.9830762962962969</v>
      </c>
      <c r="F1791">
        <v>1.5975083384188529E-2</v>
      </c>
      <c r="G1791">
        <v>27</v>
      </c>
      <c r="H1791" t="s">
        <v>58</v>
      </c>
      <c r="I1791">
        <v>3.6</v>
      </c>
      <c r="J1791">
        <v>4.4000000000000004</v>
      </c>
      <c r="K1791">
        <v>4</v>
      </c>
      <c r="L1791">
        <v>0.80000000000000027</v>
      </c>
      <c r="M1791">
        <v>4.0150264630646744</v>
      </c>
      <c r="N1791">
        <v>3.9511261295279199</v>
      </c>
      <c r="O1791">
        <v>6.3900333536754506E-2</v>
      </c>
      <c r="P1791">
        <v>249.33054811085239</v>
      </c>
      <c r="Q1791">
        <v>12.519496467727389</v>
      </c>
      <c r="R1791" t="str">
        <f t="shared" si="54"/>
        <v>yes</v>
      </c>
      <c r="S1791" t="str">
        <f t="shared" si="55"/>
        <v>yes</v>
      </c>
    </row>
    <row r="1792" spans="1:19" x14ac:dyDescent="0.35">
      <c r="A1792" s="1">
        <v>1790</v>
      </c>
      <c r="B1792" t="s">
        <v>829</v>
      </c>
      <c r="C1792" t="s">
        <v>549</v>
      </c>
      <c r="D1792" t="s">
        <v>682</v>
      </c>
      <c r="E1792">
        <v>4.5996296296296299E-2</v>
      </c>
      <c r="F1792">
        <v>1.4652867089416729E-2</v>
      </c>
      <c r="G1792">
        <v>27</v>
      </c>
      <c r="H1792" t="s">
        <v>58</v>
      </c>
      <c r="M1792">
        <v>7.5302030475129761E-2</v>
      </c>
      <c r="N1792">
        <v>1.6690562117462841E-2</v>
      </c>
      <c r="O1792">
        <v>5.8611468357666917E-2</v>
      </c>
      <c r="P1792">
        <v>3.1390645950455571</v>
      </c>
      <c r="R1792" t="str">
        <f t="shared" si="54"/>
        <v>yes</v>
      </c>
      <c r="S1792" t="str">
        <f t="shared" si="55"/>
        <v>no</v>
      </c>
    </row>
    <row r="1793" spans="1:19" x14ac:dyDescent="0.35">
      <c r="A1793" s="1">
        <v>1791</v>
      </c>
      <c r="B1793" t="s">
        <v>829</v>
      </c>
      <c r="C1793" t="s">
        <v>549</v>
      </c>
      <c r="D1793" t="s">
        <v>683</v>
      </c>
      <c r="E1793">
        <v>4.5701358024691358E-2</v>
      </c>
      <c r="F1793">
        <v>8.313547449516949E-3</v>
      </c>
      <c r="G1793">
        <v>27</v>
      </c>
      <c r="H1793" t="s">
        <v>58</v>
      </c>
      <c r="M1793">
        <v>6.2328452923725262E-2</v>
      </c>
      <c r="N1793">
        <v>2.907426312565746E-2</v>
      </c>
      <c r="O1793">
        <v>3.3254189798067803E-2</v>
      </c>
      <c r="P1793">
        <v>5.4972150339199413</v>
      </c>
      <c r="R1793" t="str">
        <f t="shared" si="54"/>
        <v>yes</v>
      </c>
      <c r="S1793" t="str">
        <f t="shared" si="55"/>
        <v>no</v>
      </c>
    </row>
    <row r="1794" spans="1:19" x14ac:dyDescent="0.35">
      <c r="A1794" s="1">
        <v>1792</v>
      </c>
      <c r="B1794" t="s">
        <v>829</v>
      </c>
      <c r="C1794" t="s">
        <v>549</v>
      </c>
      <c r="D1794" t="s">
        <v>684</v>
      </c>
      <c r="E1794">
        <v>4.4570000000000012E-2</v>
      </c>
      <c r="F1794">
        <v>9.1494608245514027E-3</v>
      </c>
      <c r="G1794">
        <v>27</v>
      </c>
      <c r="H1794" t="s">
        <v>58</v>
      </c>
      <c r="M1794">
        <v>6.2868921649102821E-2</v>
      </c>
      <c r="N1794">
        <v>2.627107835089721E-2</v>
      </c>
      <c r="O1794">
        <v>3.6597843298205618E-2</v>
      </c>
      <c r="P1794">
        <v>4.8713253004376096</v>
      </c>
      <c r="R1794" t="str">
        <f t="shared" si="54"/>
        <v>yes</v>
      </c>
      <c r="S1794" t="str">
        <f t="shared" si="55"/>
        <v>no</v>
      </c>
    </row>
    <row r="1795" spans="1:19" x14ac:dyDescent="0.35">
      <c r="A1795" s="1">
        <v>1793</v>
      </c>
      <c r="B1795" t="s">
        <v>829</v>
      </c>
      <c r="C1795" t="s">
        <v>549</v>
      </c>
      <c r="D1795" t="s">
        <v>685</v>
      </c>
      <c r="E1795">
        <v>5.1253086419753091E-3</v>
      </c>
      <c r="F1795">
        <v>1.9794602160301922E-3</v>
      </c>
      <c r="G1795">
        <v>27</v>
      </c>
      <c r="H1795" t="s">
        <v>58</v>
      </c>
      <c r="M1795">
        <v>9.0842290740356935E-3</v>
      </c>
      <c r="N1795">
        <v>1.166388209914925E-3</v>
      </c>
      <c r="O1795">
        <v>7.9178408641207686E-3</v>
      </c>
      <c r="P1795">
        <v>2.5892455935558618</v>
      </c>
      <c r="R1795" t="str">
        <f t="shared" ref="R1795:R1858" si="56">IF(H1795="yes","yes","no")</f>
        <v>yes</v>
      </c>
      <c r="S1795" t="str">
        <f t="shared" ref="S1795:S1858" si="57">IF(I1795,"yes","no")</f>
        <v>no</v>
      </c>
    </row>
    <row r="1796" spans="1:19" x14ac:dyDescent="0.35">
      <c r="A1796" s="1">
        <v>1794</v>
      </c>
      <c r="B1796" t="s">
        <v>829</v>
      </c>
      <c r="C1796" t="s">
        <v>549</v>
      </c>
      <c r="D1796" t="s">
        <v>686</v>
      </c>
      <c r="E1796">
        <v>0.9949306172839506</v>
      </c>
      <c r="F1796">
        <v>2.0900270524224292E-3</v>
      </c>
      <c r="G1796">
        <v>27</v>
      </c>
      <c r="H1796" t="s">
        <v>58</v>
      </c>
      <c r="I1796">
        <v>0.85</v>
      </c>
      <c r="J1796">
        <v>1.2</v>
      </c>
      <c r="K1796">
        <v>1.0249999999999999</v>
      </c>
      <c r="L1796">
        <v>0.35</v>
      </c>
      <c r="M1796">
        <v>0.9991106713887955</v>
      </c>
      <c r="N1796">
        <v>0.9907505631791057</v>
      </c>
      <c r="O1796">
        <v>8.3601082096897983E-3</v>
      </c>
      <c r="P1796">
        <v>476.03719584910829</v>
      </c>
      <c r="Q1796">
        <v>41.865486812040523</v>
      </c>
      <c r="R1796" t="str">
        <f t="shared" si="56"/>
        <v>yes</v>
      </c>
      <c r="S1796" t="str">
        <f t="shared" si="57"/>
        <v>yes</v>
      </c>
    </row>
    <row r="1797" spans="1:19" x14ac:dyDescent="0.35">
      <c r="A1797" s="1">
        <v>1795</v>
      </c>
      <c r="B1797" t="s">
        <v>829</v>
      </c>
      <c r="C1797" t="s">
        <v>549</v>
      </c>
      <c r="D1797" t="s">
        <v>687</v>
      </c>
      <c r="E1797">
        <v>2.4820987654320999E-3</v>
      </c>
      <c r="F1797">
        <v>1.2193586006268809E-3</v>
      </c>
      <c r="G1797">
        <v>27</v>
      </c>
      <c r="H1797" t="s">
        <v>58</v>
      </c>
      <c r="M1797">
        <v>4.9208159666858618E-3</v>
      </c>
      <c r="N1797">
        <v>4.338156417833805E-5</v>
      </c>
      <c r="O1797">
        <v>4.8774344025075238E-3</v>
      </c>
      <c r="P1797">
        <v>2.0355773635057282</v>
      </c>
      <c r="R1797" t="str">
        <f t="shared" si="56"/>
        <v>yes</v>
      </c>
      <c r="S1797" t="str">
        <f t="shared" si="57"/>
        <v>no</v>
      </c>
    </row>
    <row r="1798" spans="1:19" x14ac:dyDescent="0.35">
      <c r="A1798" s="1">
        <v>1796</v>
      </c>
      <c r="B1798" t="s">
        <v>829</v>
      </c>
      <c r="C1798" t="s">
        <v>549</v>
      </c>
      <c r="D1798" t="s">
        <v>688</v>
      </c>
      <c r="E1798">
        <v>1.4987365432098769</v>
      </c>
      <c r="F1798">
        <v>4.0142116166770351E-3</v>
      </c>
      <c r="G1798">
        <v>27</v>
      </c>
      <c r="H1798" t="s">
        <v>58</v>
      </c>
      <c r="I1798">
        <v>1.35</v>
      </c>
      <c r="J1798">
        <v>1.65</v>
      </c>
      <c r="K1798">
        <v>1.5</v>
      </c>
      <c r="L1798">
        <v>0.29999999999999982</v>
      </c>
      <c r="M1798">
        <v>1.506764966443231</v>
      </c>
      <c r="N1798">
        <v>1.4907081199765231</v>
      </c>
      <c r="O1798">
        <v>1.605684646670813E-2</v>
      </c>
      <c r="P1798">
        <v>373.35763191541241</v>
      </c>
      <c r="Q1798">
        <v>18.683618892539851</v>
      </c>
      <c r="R1798" t="str">
        <f t="shared" si="56"/>
        <v>yes</v>
      </c>
      <c r="S1798" t="str">
        <f t="shared" si="57"/>
        <v>yes</v>
      </c>
    </row>
    <row r="1799" spans="1:19" x14ac:dyDescent="0.35">
      <c r="A1799" s="1">
        <v>1797</v>
      </c>
      <c r="B1799" t="s">
        <v>829</v>
      </c>
      <c r="C1799" t="s">
        <v>549</v>
      </c>
      <c r="D1799" t="s">
        <v>689</v>
      </c>
      <c r="E1799">
        <v>2.100765432098765E-2</v>
      </c>
      <c r="F1799">
        <v>2.79485085550104E-3</v>
      </c>
      <c r="G1799">
        <v>27</v>
      </c>
      <c r="H1799" t="s">
        <v>58</v>
      </c>
      <c r="M1799">
        <v>2.6597356031989729E-2</v>
      </c>
      <c r="N1799">
        <v>1.5417952609985569E-2</v>
      </c>
      <c r="O1799">
        <v>1.117940342200416E-2</v>
      </c>
      <c r="P1799">
        <v>7.516556484450243</v>
      </c>
      <c r="R1799" t="str">
        <f t="shared" si="56"/>
        <v>yes</v>
      </c>
      <c r="S1799" t="str">
        <f t="shared" si="57"/>
        <v>no</v>
      </c>
    </row>
    <row r="1800" spans="1:19" x14ac:dyDescent="0.35">
      <c r="A1800" s="1">
        <v>1798</v>
      </c>
      <c r="B1800" t="s">
        <v>829</v>
      </c>
      <c r="C1800" t="s">
        <v>549</v>
      </c>
      <c r="D1800" t="s">
        <v>690</v>
      </c>
      <c r="E1800">
        <v>35.77528518518519</v>
      </c>
      <c r="F1800">
        <v>0.19757791335827779</v>
      </c>
      <c r="G1800">
        <v>27</v>
      </c>
      <c r="H1800" t="s">
        <v>58</v>
      </c>
      <c r="I1800">
        <v>34.5</v>
      </c>
      <c r="J1800">
        <v>37</v>
      </c>
      <c r="K1800">
        <v>35.75</v>
      </c>
      <c r="L1800">
        <v>2.5</v>
      </c>
      <c r="M1800">
        <v>36.170441011901737</v>
      </c>
      <c r="N1800">
        <v>35.380129358468643</v>
      </c>
      <c r="O1800">
        <v>0.79031165343310761</v>
      </c>
      <c r="P1800">
        <v>181.06925302076701</v>
      </c>
      <c r="Q1800">
        <v>3.1633090428820321</v>
      </c>
      <c r="R1800" t="str">
        <f t="shared" si="56"/>
        <v>yes</v>
      </c>
      <c r="S1800" t="str">
        <f t="shared" si="57"/>
        <v>yes</v>
      </c>
    </row>
    <row r="1801" spans="1:19" x14ac:dyDescent="0.35">
      <c r="A1801" s="1">
        <v>1799</v>
      </c>
      <c r="B1801" t="s">
        <v>829</v>
      </c>
      <c r="C1801" t="s">
        <v>549</v>
      </c>
      <c r="D1801" t="s">
        <v>691</v>
      </c>
      <c r="E1801">
        <v>2.4632098765432109E-3</v>
      </c>
      <c r="F1801">
        <v>1.0697377305398689E-3</v>
      </c>
      <c r="G1801">
        <v>27</v>
      </c>
      <c r="H1801" t="s">
        <v>58</v>
      </c>
      <c r="M1801">
        <v>4.6026853376229492E-3</v>
      </c>
      <c r="N1801">
        <v>3.2373441546347309E-4</v>
      </c>
      <c r="O1801">
        <v>4.2789509221594756E-3</v>
      </c>
      <c r="P1801">
        <v>2.3026297065357251</v>
      </c>
      <c r="R1801" t="str">
        <f t="shared" si="56"/>
        <v>yes</v>
      </c>
      <c r="S1801" t="str">
        <f t="shared" si="57"/>
        <v>no</v>
      </c>
    </row>
    <row r="1802" spans="1:19" x14ac:dyDescent="0.35">
      <c r="A1802" s="1">
        <v>1800</v>
      </c>
      <c r="B1802" t="s">
        <v>829</v>
      </c>
      <c r="C1802" t="s">
        <v>549</v>
      </c>
      <c r="D1802" t="s">
        <v>692</v>
      </c>
      <c r="E1802">
        <v>0.99775444444444439</v>
      </c>
      <c r="F1802">
        <v>2.7887551910855909E-3</v>
      </c>
      <c r="G1802">
        <v>27</v>
      </c>
      <c r="H1802" t="s">
        <v>58</v>
      </c>
      <c r="I1802">
        <v>0.85</v>
      </c>
      <c r="J1802">
        <v>1.2</v>
      </c>
      <c r="K1802">
        <v>1.0249999999999999</v>
      </c>
      <c r="L1802">
        <v>0.35</v>
      </c>
      <c r="M1802">
        <v>1.003331954826616</v>
      </c>
      <c r="N1802">
        <v>0.99217693406227325</v>
      </c>
      <c r="O1802">
        <v>1.115502076434227E-2</v>
      </c>
      <c r="P1802">
        <v>357.77770943603127</v>
      </c>
      <c r="Q1802">
        <v>31.376006140553059</v>
      </c>
      <c r="R1802" t="str">
        <f t="shared" si="56"/>
        <v>yes</v>
      </c>
      <c r="S1802" t="str">
        <f t="shared" si="57"/>
        <v>yes</v>
      </c>
    </row>
    <row r="1803" spans="1:19" x14ac:dyDescent="0.35">
      <c r="A1803" s="1">
        <v>1801</v>
      </c>
      <c r="B1803" t="s">
        <v>829</v>
      </c>
      <c r="C1803" t="s">
        <v>549</v>
      </c>
      <c r="D1803" t="s">
        <v>693</v>
      </c>
      <c r="E1803">
        <v>1.737037037037038E-3</v>
      </c>
      <c r="F1803">
        <v>1.345623946890433E-3</v>
      </c>
      <c r="G1803">
        <v>27</v>
      </c>
      <c r="H1803" t="s">
        <v>58</v>
      </c>
      <c r="M1803">
        <v>4.4282849308179039E-3</v>
      </c>
      <c r="N1803">
        <v>-9.5421085674382805E-4</v>
      </c>
      <c r="O1803">
        <v>5.3824957875617321E-3</v>
      </c>
      <c r="P1803">
        <v>1.2908785110811321</v>
      </c>
      <c r="R1803" t="str">
        <f t="shared" si="56"/>
        <v>yes</v>
      </c>
      <c r="S1803" t="str">
        <f t="shared" si="57"/>
        <v>no</v>
      </c>
    </row>
    <row r="1804" spans="1:19" x14ac:dyDescent="0.35">
      <c r="A1804" s="1">
        <v>1802</v>
      </c>
      <c r="B1804" t="s">
        <v>829</v>
      </c>
      <c r="C1804" t="s">
        <v>549</v>
      </c>
      <c r="D1804" t="s">
        <v>694</v>
      </c>
      <c r="E1804">
        <v>1.5024840740740739</v>
      </c>
      <c r="F1804">
        <v>2.7057054846589242E-3</v>
      </c>
      <c r="G1804">
        <v>27</v>
      </c>
      <c r="H1804" t="s">
        <v>58</v>
      </c>
      <c r="I1804">
        <v>1.35</v>
      </c>
      <c r="J1804">
        <v>1.65</v>
      </c>
      <c r="K1804">
        <v>1.5</v>
      </c>
      <c r="L1804">
        <v>0.29999999999999982</v>
      </c>
      <c r="M1804">
        <v>1.5078954850433921</v>
      </c>
      <c r="N1804">
        <v>1.497072663104756</v>
      </c>
      <c r="O1804">
        <v>1.082282193863549E-2</v>
      </c>
      <c r="P1804">
        <v>555.30215043470412</v>
      </c>
      <c r="Q1804">
        <v>27.71920315246571</v>
      </c>
      <c r="R1804" t="str">
        <f t="shared" si="56"/>
        <v>yes</v>
      </c>
      <c r="S1804" t="str">
        <f t="shared" si="57"/>
        <v>yes</v>
      </c>
    </row>
    <row r="1805" spans="1:19" x14ac:dyDescent="0.35">
      <c r="A1805" s="1">
        <v>1803</v>
      </c>
      <c r="B1805" t="s">
        <v>829</v>
      </c>
      <c r="C1805" t="s">
        <v>549</v>
      </c>
      <c r="D1805" t="s">
        <v>695</v>
      </c>
      <c r="E1805">
        <v>2.2375432098765431E-2</v>
      </c>
      <c r="F1805">
        <v>2.9466360448889332E-3</v>
      </c>
      <c r="G1805">
        <v>27</v>
      </c>
      <c r="H1805" t="s">
        <v>58</v>
      </c>
      <c r="M1805">
        <v>2.8268704188543301E-2</v>
      </c>
      <c r="N1805">
        <v>1.648216000898756E-2</v>
      </c>
      <c r="O1805">
        <v>1.1786544179555729E-2</v>
      </c>
      <c r="P1805">
        <v>7.5935513439389908</v>
      </c>
      <c r="R1805" t="str">
        <f t="shared" si="56"/>
        <v>yes</v>
      </c>
      <c r="S1805" t="str">
        <f t="shared" si="57"/>
        <v>no</v>
      </c>
    </row>
    <row r="1806" spans="1:19" x14ac:dyDescent="0.35">
      <c r="A1806" s="1">
        <v>1804</v>
      </c>
      <c r="B1806" t="s">
        <v>829</v>
      </c>
      <c r="C1806" t="s">
        <v>549</v>
      </c>
      <c r="D1806" t="s">
        <v>696</v>
      </c>
      <c r="E1806">
        <v>35.940137530864199</v>
      </c>
      <c r="F1806">
        <v>7.695296543022738E-2</v>
      </c>
      <c r="G1806">
        <v>27</v>
      </c>
      <c r="H1806" t="s">
        <v>58</v>
      </c>
      <c r="I1806">
        <v>34.5</v>
      </c>
      <c r="J1806">
        <v>37</v>
      </c>
      <c r="K1806">
        <v>35.75</v>
      </c>
      <c r="L1806">
        <v>2.5</v>
      </c>
      <c r="M1806">
        <v>36.094043461724652</v>
      </c>
      <c r="N1806">
        <v>35.786231600003752</v>
      </c>
      <c r="O1806">
        <v>0.30781186172090708</v>
      </c>
      <c r="P1806">
        <v>467.04031910831071</v>
      </c>
      <c r="Q1806">
        <v>8.1218442525998196</v>
      </c>
      <c r="R1806" t="str">
        <f t="shared" si="56"/>
        <v>yes</v>
      </c>
      <c r="S1806" t="str">
        <f t="shared" si="57"/>
        <v>yes</v>
      </c>
    </row>
    <row r="1807" spans="1:19" x14ac:dyDescent="0.35">
      <c r="A1807" s="1">
        <v>1805</v>
      </c>
      <c r="B1807" t="s">
        <v>829</v>
      </c>
      <c r="C1807" t="s">
        <v>549</v>
      </c>
      <c r="D1807" t="s">
        <v>697</v>
      </c>
      <c r="E1807">
        <v>3.299382716049383E-3</v>
      </c>
      <c r="F1807">
        <v>2.1059835406161552E-3</v>
      </c>
      <c r="G1807">
        <v>27</v>
      </c>
      <c r="H1807" t="s">
        <v>58</v>
      </c>
      <c r="M1807">
        <v>7.5113497972816934E-3</v>
      </c>
      <c r="N1807">
        <v>-9.1258436518292744E-4</v>
      </c>
      <c r="O1807">
        <v>8.4239341624646209E-3</v>
      </c>
      <c r="P1807">
        <v>1.566670703933456</v>
      </c>
      <c r="R1807" t="str">
        <f t="shared" si="56"/>
        <v>yes</v>
      </c>
      <c r="S1807" t="str">
        <f t="shared" si="57"/>
        <v>no</v>
      </c>
    </row>
    <row r="1808" spans="1:19" x14ac:dyDescent="0.35">
      <c r="A1808" s="1">
        <v>1806</v>
      </c>
      <c r="B1808" t="s">
        <v>829</v>
      </c>
      <c r="C1808" t="s">
        <v>549</v>
      </c>
      <c r="D1808" t="s">
        <v>698</v>
      </c>
      <c r="E1808">
        <v>0.99366950617283956</v>
      </c>
      <c r="F1808">
        <v>5.4874983886365452E-3</v>
      </c>
      <c r="G1808">
        <v>27</v>
      </c>
      <c r="H1808" t="s">
        <v>58</v>
      </c>
      <c r="I1808">
        <v>0.85</v>
      </c>
      <c r="J1808">
        <v>1.2</v>
      </c>
      <c r="K1808">
        <v>1.0249999999999999</v>
      </c>
      <c r="L1808">
        <v>0.35</v>
      </c>
      <c r="M1808">
        <v>1.004644502950113</v>
      </c>
      <c r="N1808">
        <v>0.98269450939556646</v>
      </c>
      <c r="O1808">
        <v>2.194999355454608E-2</v>
      </c>
      <c r="P1808">
        <v>181.07877867090039</v>
      </c>
      <c r="Q1808">
        <v>15.94533497835635</v>
      </c>
      <c r="R1808" t="str">
        <f t="shared" si="56"/>
        <v>yes</v>
      </c>
      <c r="S1808" t="str">
        <f t="shared" si="57"/>
        <v>yes</v>
      </c>
    </row>
    <row r="1809" spans="1:19" x14ac:dyDescent="0.35">
      <c r="A1809" s="1">
        <v>1807</v>
      </c>
      <c r="B1809" t="s">
        <v>829</v>
      </c>
      <c r="C1809" t="s">
        <v>549</v>
      </c>
      <c r="D1809" t="s">
        <v>699</v>
      </c>
      <c r="E1809">
        <v>1.977654320987655E-3</v>
      </c>
      <c r="F1809">
        <v>2.2623854497872838E-3</v>
      </c>
      <c r="G1809">
        <v>27</v>
      </c>
      <c r="H1809" t="s">
        <v>58</v>
      </c>
      <c r="M1809">
        <v>6.5024252205622222E-3</v>
      </c>
      <c r="N1809">
        <v>-2.5471165785869131E-3</v>
      </c>
      <c r="O1809">
        <v>9.0495417991491352E-3</v>
      </c>
      <c r="P1809">
        <v>0.87414561527241075</v>
      </c>
      <c r="R1809" t="str">
        <f t="shared" si="56"/>
        <v>yes</v>
      </c>
      <c r="S1809" t="str">
        <f t="shared" si="57"/>
        <v>no</v>
      </c>
    </row>
    <row r="1810" spans="1:19" x14ac:dyDescent="0.35">
      <c r="A1810" s="1">
        <v>1808</v>
      </c>
      <c r="B1810" t="s">
        <v>829</v>
      </c>
      <c r="C1810" t="s">
        <v>549</v>
      </c>
      <c r="D1810" t="s">
        <v>700</v>
      </c>
      <c r="E1810">
        <v>1.499257160493827</v>
      </c>
      <c r="F1810">
        <v>4.5969273603758756E-3</v>
      </c>
      <c r="G1810">
        <v>27</v>
      </c>
      <c r="H1810" t="s">
        <v>58</v>
      </c>
      <c r="I1810">
        <v>1.35</v>
      </c>
      <c r="J1810">
        <v>1.65</v>
      </c>
      <c r="K1810">
        <v>1.5</v>
      </c>
      <c r="L1810">
        <v>0.29999999999999982</v>
      </c>
      <c r="M1810">
        <v>1.5084510152145789</v>
      </c>
      <c r="N1810">
        <v>1.490063305773075</v>
      </c>
      <c r="O1810">
        <v>1.8387709441503471E-2</v>
      </c>
      <c r="P1810">
        <v>326.14332204092898</v>
      </c>
      <c r="Q1810">
        <v>16.315245841489119</v>
      </c>
      <c r="R1810" t="str">
        <f t="shared" si="56"/>
        <v>yes</v>
      </c>
      <c r="S1810" t="str">
        <f t="shared" si="57"/>
        <v>yes</v>
      </c>
    </row>
    <row r="1811" spans="1:19" x14ac:dyDescent="0.35">
      <c r="A1811" s="1">
        <v>1809</v>
      </c>
      <c r="B1811" t="s">
        <v>829</v>
      </c>
      <c r="C1811" t="s">
        <v>549</v>
      </c>
      <c r="D1811" t="s">
        <v>701</v>
      </c>
      <c r="E1811">
        <v>2.3967160493827151E-2</v>
      </c>
      <c r="F1811">
        <v>1.7680543277693529E-3</v>
      </c>
      <c r="G1811">
        <v>27</v>
      </c>
      <c r="H1811" t="s">
        <v>58</v>
      </c>
      <c r="M1811">
        <v>2.750326914936586E-2</v>
      </c>
      <c r="N1811">
        <v>2.0431051838288441E-2</v>
      </c>
      <c r="O1811">
        <v>7.0722173110774134E-3</v>
      </c>
      <c r="P1811">
        <v>13.55566970844446</v>
      </c>
      <c r="R1811" t="str">
        <f t="shared" si="56"/>
        <v>yes</v>
      </c>
      <c r="S1811" t="str">
        <f t="shared" si="57"/>
        <v>no</v>
      </c>
    </row>
    <row r="1812" spans="1:19" x14ac:dyDescent="0.35">
      <c r="A1812" s="1">
        <v>1810</v>
      </c>
      <c r="B1812" t="s">
        <v>829</v>
      </c>
      <c r="C1812" t="s">
        <v>549</v>
      </c>
      <c r="D1812" t="s">
        <v>702</v>
      </c>
      <c r="E1812">
        <v>35.839597037037038</v>
      </c>
      <c r="F1812">
        <v>0.1032785801012797</v>
      </c>
      <c r="G1812">
        <v>27</v>
      </c>
      <c r="H1812" t="s">
        <v>58</v>
      </c>
      <c r="I1812">
        <v>34.5</v>
      </c>
      <c r="J1812">
        <v>37</v>
      </c>
      <c r="K1812">
        <v>35.75</v>
      </c>
      <c r="L1812">
        <v>2.5</v>
      </c>
      <c r="M1812">
        <v>36.046154197239588</v>
      </c>
      <c r="N1812">
        <v>35.633039876834481</v>
      </c>
      <c r="O1812">
        <v>0.4131143204051142</v>
      </c>
      <c r="P1812">
        <v>347.01868482207141</v>
      </c>
      <c r="Q1812">
        <v>6.0515936546290954</v>
      </c>
      <c r="R1812" t="str">
        <f t="shared" si="56"/>
        <v>yes</v>
      </c>
      <c r="S1812" t="str">
        <f t="shared" si="57"/>
        <v>yes</v>
      </c>
    </row>
    <row r="1813" spans="1:19" x14ac:dyDescent="0.35">
      <c r="A1813" s="1">
        <v>1811</v>
      </c>
      <c r="B1813" t="s">
        <v>829</v>
      </c>
      <c r="C1813" t="s">
        <v>549</v>
      </c>
      <c r="D1813" t="s">
        <v>703</v>
      </c>
      <c r="E1813">
        <v>1.806723333333333</v>
      </c>
      <c r="F1813">
        <v>5.2415398700347534E-3</v>
      </c>
      <c r="G1813">
        <v>27</v>
      </c>
      <c r="H1813" t="s">
        <v>58</v>
      </c>
      <c r="I1813">
        <v>1.62</v>
      </c>
      <c r="J1813">
        <v>1.98</v>
      </c>
      <c r="K1813">
        <v>1.8</v>
      </c>
      <c r="L1813">
        <v>0.35999999999999988</v>
      </c>
      <c r="M1813">
        <v>1.817206413073402</v>
      </c>
      <c r="N1813">
        <v>1.796240253593264</v>
      </c>
      <c r="O1813">
        <v>2.0966159480138909E-2</v>
      </c>
      <c r="P1813">
        <v>344.6932348377527</v>
      </c>
      <c r="Q1813">
        <v>17.17052664514096</v>
      </c>
      <c r="R1813" t="str">
        <f t="shared" si="56"/>
        <v>yes</v>
      </c>
      <c r="S1813" t="str">
        <f t="shared" si="57"/>
        <v>yes</v>
      </c>
    </row>
    <row r="1814" spans="1:19" x14ac:dyDescent="0.35">
      <c r="A1814" s="1">
        <v>1812</v>
      </c>
      <c r="B1814" t="s">
        <v>829</v>
      </c>
      <c r="C1814" t="s">
        <v>549</v>
      </c>
      <c r="D1814" t="s">
        <v>704</v>
      </c>
      <c r="E1814">
        <v>3.3218148148148142E-2</v>
      </c>
      <c r="F1814">
        <v>6.3278153603040059E-3</v>
      </c>
      <c r="G1814">
        <v>27</v>
      </c>
      <c r="H1814" t="s">
        <v>58</v>
      </c>
      <c r="M1814">
        <v>4.5873778868756147E-2</v>
      </c>
      <c r="N1814">
        <v>2.0562517427540131E-2</v>
      </c>
      <c r="O1814">
        <v>2.531126144121602E-2</v>
      </c>
      <c r="P1814">
        <v>5.2495444725732723</v>
      </c>
      <c r="R1814" t="str">
        <f t="shared" si="56"/>
        <v>yes</v>
      </c>
      <c r="S1814" t="str">
        <f t="shared" si="57"/>
        <v>no</v>
      </c>
    </row>
    <row r="1815" spans="1:19" x14ac:dyDescent="0.35">
      <c r="A1815" s="1">
        <v>1813</v>
      </c>
      <c r="B1815" t="s">
        <v>829</v>
      </c>
      <c r="C1815" t="s">
        <v>549</v>
      </c>
      <c r="D1815" t="s">
        <v>705</v>
      </c>
      <c r="E1815">
        <v>3.6273580246913593E-2</v>
      </c>
      <c r="F1815">
        <v>1.217961968853527E-2</v>
      </c>
      <c r="G1815">
        <v>27</v>
      </c>
      <c r="H1815" t="s">
        <v>58</v>
      </c>
      <c r="M1815">
        <v>6.0632819623984133E-2</v>
      </c>
      <c r="N1815">
        <v>1.1914340869843051E-2</v>
      </c>
      <c r="O1815">
        <v>4.8718478754141079E-2</v>
      </c>
      <c r="P1815">
        <v>2.9782194497467009</v>
      </c>
      <c r="R1815" t="str">
        <f t="shared" si="56"/>
        <v>yes</v>
      </c>
      <c r="S1815" t="str">
        <f t="shared" si="57"/>
        <v>no</v>
      </c>
    </row>
    <row r="1816" spans="1:19" x14ac:dyDescent="0.35">
      <c r="A1816" s="1">
        <v>1814</v>
      </c>
      <c r="B1816" t="s">
        <v>829</v>
      </c>
      <c r="C1816" t="s">
        <v>549</v>
      </c>
      <c r="D1816" t="s">
        <v>706</v>
      </c>
      <c r="E1816">
        <v>3.6037901234567897E-2</v>
      </c>
      <c r="F1816">
        <v>9.5375674789839205E-3</v>
      </c>
      <c r="G1816">
        <v>27</v>
      </c>
      <c r="H1816" t="s">
        <v>58</v>
      </c>
      <c r="M1816">
        <v>5.5113036192535741E-2</v>
      </c>
      <c r="N1816">
        <v>1.6962766276600059E-2</v>
      </c>
      <c r="O1816">
        <v>3.8150269915935689E-2</v>
      </c>
      <c r="P1816">
        <v>3.7785212334253568</v>
      </c>
      <c r="R1816" t="str">
        <f t="shared" si="56"/>
        <v>yes</v>
      </c>
      <c r="S1816" t="str">
        <f t="shared" si="57"/>
        <v>no</v>
      </c>
    </row>
    <row r="1817" spans="1:19" x14ac:dyDescent="0.35">
      <c r="A1817" s="1">
        <v>1815</v>
      </c>
      <c r="B1817" t="s">
        <v>829</v>
      </c>
      <c r="C1817" t="s">
        <v>549</v>
      </c>
      <c r="D1817" t="s">
        <v>707</v>
      </c>
      <c r="E1817">
        <v>7.6070000000000013E-2</v>
      </c>
      <c r="F1817">
        <v>7.7456883560344143E-3</v>
      </c>
      <c r="G1817">
        <v>27</v>
      </c>
      <c r="H1817" t="s">
        <v>58</v>
      </c>
      <c r="M1817">
        <v>9.1561376712068848E-2</v>
      </c>
      <c r="N1817">
        <v>6.0578623287931177E-2</v>
      </c>
      <c r="O1817">
        <v>3.0982753424137661E-2</v>
      </c>
      <c r="P1817">
        <v>9.8209476683549166</v>
      </c>
      <c r="R1817" t="str">
        <f t="shared" si="56"/>
        <v>yes</v>
      </c>
      <c r="S1817" t="str">
        <f t="shared" si="57"/>
        <v>no</v>
      </c>
    </row>
    <row r="1818" spans="1:19" x14ac:dyDescent="0.35">
      <c r="A1818" s="1">
        <v>1816</v>
      </c>
      <c r="B1818" t="s">
        <v>829</v>
      </c>
      <c r="C1818" t="s">
        <v>549</v>
      </c>
      <c r="D1818" t="s">
        <v>708</v>
      </c>
      <c r="E1818">
        <v>3.9839616049382731</v>
      </c>
      <c r="F1818">
        <v>7.594651207878474E-3</v>
      </c>
      <c r="G1818">
        <v>27</v>
      </c>
      <c r="H1818" t="s">
        <v>58</v>
      </c>
      <c r="I1818">
        <v>3.6</v>
      </c>
      <c r="J1818">
        <v>4.4000000000000004</v>
      </c>
      <c r="K1818">
        <v>4</v>
      </c>
      <c r="L1818">
        <v>0.80000000000000027</v>
      </c>
      <c r="M1818">
        <v>3.9991509073540299</v>
      </c>
      <c r="N1818">
        <v>3.9687723025225159</v>
      </c>
      <c r="O1818">
        <v>3.0378604831513559E-2</v>
      </c>
      <c r="P1818">
        <v>524.57466391681362</v>
      </c>
      <c r="Q1818">
        <v>26.334323265896401</v>
      </c>
      <c r="R1818" t="str">
        <f t="shared" si="56"/>
        <v>yes</v>
      </c>
      <c r="S1818" t="str">
        <f t="shared" si="57"/>
        <v>yes</v>
      </c>
    </row>
    <row r="1819" spans="1:19" x14ac:dyDescent="0.35">
      <c r="A1819" s="1">
        <v>1817</v>
      </c>
      <c r="B1819" t="s">
        <v>829</v>
      </c>
      <c r="C1819" t="s">
        <v>549</v>
      </c>
      <c r="D1819" t="s">
        <v>709</v>
      </c>
      <c r="E1819">
        <v>3.7445061728395047E-2</v>
      </c>
      <c r="F1819">
        <v>4.4857279893036062E-3</v>
      </c>
      <c r="G1819">
        <v>27</v>
      </c>
      <c r="H1819" t="s">
        <v>58</v>
      </c>
      <c r="M1819">
        <v>4.641651770700226E-2</v>
      </c>
      <c r="N1819">
        <v>2.8473605749787839E-2</v>
      </c>
      <c r="O1819">
        <v>1.7942911957214421E-2</v>
      </c>
      <c r="P1819">
        <v>8.3475997246565683</v>
      </c>
      <c r="R1819" t="str">
        <f t="shared" si="56"/>
        <v>yes</v>
      </c>
      <c r="S1819" t="str">
        <f t="shared" si="57"/>
        <v>no</v>
      </c>
    </row>
    <row r="1820" spans="1:19" x14ac:dyDescent="0.35">
      <c r="A1820" s="1">
        <v>1818</v>
      </c>
      <c r="B1820" t="s">
        <v>829</v>
      </c>
      <c r="C1820" t="s">
        <v>549</v>
      </c>
      <c r="D1820" t="s">
        <v>710</v>
      </c>
      <c r="E1820">
        <v>5.0425061728395053E-2</v>
      </c>
      <c r="F1820">
        <v>1.485439844822496E-2</v>
      </c>
      <c r="G1820">
        <v>27</v>
      </c>
      <c r="H1820" t="s">
        <v>58</v>
      </c>
      <c r="M1820">
        <v>8.013385862484497E-2</v>
      </c>
      <c r="N1820">
        <v>2.0716264831945129E-2</v>
      </c>
      <c r="O1820">
        <v>5.9417593792899827E-2</v>
      </c>
      <c r="P1820">
        <v>3.394621593338278</v>
      </c>
      <c r="R1820" t="str">
        <f t="shared" si="56"/>
        <v>yes</v>
      </c>
      <c r="S1820" t="str">
        <f t="shared" si="57"/>
        <v>no</v>
      </c>
    </row>
    <row r="1821" spans="1:19" x14ac:dyDescent="0.35">
      <c r="A1821" s="1">
        <v>1819</v>
      </c>
      <c r="B1821" t="s">
        <v>829</v>
      </c>
      <c r="C1821" t="s">
        <v>549</v>
      </c>
      <c r="D1821" t="s">
        <v>711</v>
      </c>
      <c r="E1821">
        <v>4.5436419753086418E-2</v>
      </c>
      <c r="F1821">
        <v>1.061123877564092E-2</v>
      </c>
      <c r="G1821">
        <v>27</v>
      </c>
      <c r="H1821" t="s">
        <v>58</v>
      </c>
      <c r="M1821">
        <v>6.6658897304368261E-2</v>
      </c>
      <c r="N1821">
        <v>2.4213942201804579E-2</v>
      </c>
      <c r="O1821">
        <v>4.2444955102563693E-2</v>
      </c>
      <c r="P1821">
        <v>4.2819147428281346</v>
      </c>
      <c r="R1821" t="str">
        <f t="shared" si="56"/>
        <v>yes</v>
      </c>
      <c r="S1821" t="str">
        <f t="shared" si="57"/>
        <v>no</v>
      </c>
    </row>
    <row r="1822" spans="1:19" x14ac:dyDescent="0.35">
      <c r="A1822" s="1">
        <v>1820</v>
      </c>
      <c r="B1822" t="s">
        <v>829</v>
      </c>
      <c r="C1822" t="s">
        <v>549</v>
      </c>
      <c r="D1822" t="s">
        <v>712</v>
      </c>
      <c r="E1822">
        <v>1.8039665432098759</v>
      </c>
      <c r="F1822">
        <v>7.1978019726348774E-3</v>
      </c>
      <c r="G1822">
        <v>27</v>
      </c>
      <c r="H1822" t="s">
        <v>58</v>
      </c>
      <c r="I1822">
        <v>1.62</v>
      </c>
      <c r="J1822">
        <v>1.98</v>
      </c>
      <c r="K1822">
        <v>1.8</v>
      </c>
      <c r="L1822">
        <v>0.35999999999999988</v>
      </c>
      <c r="M1822">
        <v>1.8183621471551461</v>
      </c>
      <c r="N1822">
        <v>1.789570939264606</v>
      </c>
      <c r="O1822">
        <v>2.8791207890539461E-2</v>
      </c>
      <c r="P1822">
        <v>250.6274207137576</v>
      </c>
      <c r="Q1822">
        <v>12.50381718504741</v>
      </c>
      <c r="R1822" t="str">
        <f t="shared" si="56"/>
        <v>yes</v>
      </c>
      <c r="S1822" t="str">
        <f t="shared" si="57"/>
        <v>yes</v>
      </c>
    </row>
    <row r="1823" spans="1:19" x14ac:dyDescent="0.35">
      <c r="A1823" s="1">
        <v>1821</v>
      </c>
      <c r="B1823" t="s">
        <v>829</v>
      </c>
      <c r="C1823" t="s">
        <v>549</v>
      </c>
      <c r="D1823" t="s">
        <v>713</v>
      </c>
      <c r="E1823">
        <v>3.6258518518518523E-2</v>
      </c>
      <c r="F1823">
        <v>4.7041342286279477E-3</v>
      </c>
      <c r="G1823">
        <v>27</v>
      </c>
      <c r="H1823" t="s">
        <v>58</v>
      </c>
      <c r="M1823">
        <v>4.566678697577442E-2</v>
      </c>
      <c r="N1823">
        <v>2.685025006126263E-2</v>
      </c>
      <c r="O1823">
        <v>1.8816536914511791E-2</v>
      </c>
      <c r="P1823">
        <v>7.7077984505331658</v>
      </c>
      <c r="R1823" t="str">
        <f t="shared" si="56"/>
        <v>yes</v>
      </c>
      <c r="S1823" t="str">
        <f t="shared" si="57"/>
        <v>no</v>
      </c>
    </row>
    <row r="1824" spans="1:19" x14ac:dyDescent="0.35">
      <c r="A1824" s="1">
        <v>1822</v>
      </c>
      <c r="B1824" t="s">
        <v>829</v>
      </c>
      <c r="C1824" t="s">
        <v>549</v>
      </c>
      <c r="D1824" t="s">
        <v>714</v>
      </c>
      <c r="E1824">
        <v>4.0405925925925928E-2</v>
      </c>
      <c r="F1824">
        <v>6.7507426539421076E-3</v>
      </c>
      <c r="G1824">
        <v>27</v>
      </c>
      <c r="H1824" t="s">
        <v>58</v>
      </c>
      <c r="M1824">
        <v>5.390741123381014E-2</v>
      </c>
      <c r="N1824">
        <v>2.690444061804171E-2</v>
      </c>
      <c r="O1824">
        <v>2.700297061576843E-2</v>
      </c>
      <c r="P1824">
        <v>5.985404569130008</v>
      </c>
      <c r="R1824" t="str">
        <f t="shared" si="56"/>
        <v>yes</v>
      </c>
      <c r="S1824" t="str">
        <f t="shared" si="57"/>
        <v>no</v>
      </c>
    </row>
    <row r="1825" spans="1:19" x14ac:dyDescent="0.35">
      <c r="A1825" s="1">
        <v>1823</v>
      </c>
      <c r="B1825" t="s">
        <v>829</v>
      </c>
      <c r="C1825" t="s">
        <v>549</v>
      </c>
      <c r="D1825" t="s">
        <v>715</v>
      </c>
      <c r="E1825">
        <v>3.8045308641975313E-2</v>
      </c>
      <c r="F1825">
        <v>6.6483513311045841E-3</v>
      </c>
      <c r="G1825">
        <v>27</v>
      </c>
      <c r="H1825" t="s">
        <v>58</v>
      </c>
      <c r="M1825">
        <v>5.1342011304184483E-2</v>
      </c>
      <c r="N1825">
        <v>2.474860597976614E-2</v>
      </c>
      <c r="O1825">
        <v>2.659340532441834E-2</v>
      </c>
      <c r="P1825">
        <v>5.7225177712824502</v>
      </c>
      <c r="R1825" t="str">
        <f t="shared" si="56"/>
        <v>yes</v>
      </c>
      <c r="S1825" t="str">
        <f t="shared" si="57"/>
        <v>no</v>
      </c>
    </row>
    <row r="1826" spans="1:19" x14ac:dyDescent="0.35">
      <c r="A1826" s="1">
        <v>1824</v>
      </c>
      <c r="B1826" t="s">
        <v>829</v>
      </c>
      <c r="C1826" t="s">
        <v>549</v>
      </c>
      <c r="D1826" t="s">
        <v>716</v>
      </c>
      <c r="E1826">
        <v>7.6438518518518517E-2</v>
      </c>
      <c r="F1826">
        <v>7.1647435603355578E-3</v>
      </c>
      <c r="G1826">
        <v>27</v>
      </c>
      <c r="H1826" t="s">
        <v>58</v>
      </c>
      <c r="M1826">
        <v>9.0768005639189631E-2</v>
      </c>
      <c r="N1826">
        <v>6.2109031397847403E-2</v>
      </c>
      <c r="O1826">
        <v>2.8658974241342231E-2</v>
      </c>
      <c r="P1826">
        <v>10.66870263741003</v>
      </c>
      <c r="R1826" t="str">
        <f t="shared" si="56"/>
        <v>yes</v>
      </c>
      <c r="S1826" t="str">
        <f t="shared" si="57"/>
        <v>no</v>
      </c>
    </row>
    <row r="1827" spans="1:19" x14ac:dyDescent="0.35">
      <c r="A1827" s="1">
        <v>1825</v>
      </c>
      <c r="B1827" t="s">
        <v>829</v>
      </c>
      <c r="C1827" t="s">
        <v>549</v>
      </c>
      <c r="D1827" t="s">
        <v>717</v>
      </c>
      <c r="E1827">
        <v>3.977560987654321</v>
      </c>
      <c r="F1827">
        <v>1.451325423424152E-2</v>
      </c>
      <c r="G1827">
        <v>27</v>
      </c>
      <c r="H1827" t="s">
        <v>58</v>
      </c>
      <c r="I1827">
        <v>3.6</v>
      </c>
      <c r="J1827">
        <v>4.4000000000000004</v>
      </c>
      <c r="K1827">
        <v>4</v>
      </c>
      <c r="L1827">
        <v>0.80000000000000027</v>
      </c>
      <c r="M1827">
        <v>4.0065874961228038</v>
      </c>
      <c r="N1827">
        <v>3.9485344791858381</v>
      </c>
      <c r="O1827">
        <v>5.805301693696574E-2</v>
      </c>
      <c r="P1827">
        <v>274.06403301817397</v>
      </c>
      <c r="Q1827">
        <v>13.78050689197849</v>
      </c>
      <c r="R1827" t="str">
        <f t="shared" si="56"/>
        <v>yes</v>
      </c>
      <c r="S1827" t="str">
        <f t="shared" si="57"/>
        <v>yes</v>
      </c>
    </row>
    <row r="1828" spans="1:19" x14ac:dyDescent="0.35">
      <c r="A1828" s="1">
        <v>1826</v>
      </c>
      <c r="B1828" t="s">
        <v>829</v>
      </c>
      <c r="C1828" t="s">
        <v>549</v>
      </c>
      <c r="D1828" t="s">
        <v>718</v>
      </c>
      <c r="E1828">
        <v>3.9777407407407407E-2</v>
      </c>
      <c r="F1828">
        <v>6.7755453653424559E-3</v>
      </c>
      <c r="G1828">
        <v>27</v>
      </c>
      <c r="H1828" t="s">
        <v>58</v>
      </c>
      <c r="M1828">
        <v>5.3328498138092317E-2</v>
      </c>
      <c r="N1828">
        <v>2.62263166767225E-2</v>
      </c>
      <c r="O1828">
        <v>2.710218146136982E-2</v>
      </c>
      <c r="P1828">
        <v>5.8707314706905427</v>
      </c>
      <c r="R1828" t="str">
        <f t="shared" si="56"/>
        <v>yes</v>
      </c>
      <c r="S1828" t="str">
        <f t="shared" si="57"/>
        <v>no</v>
      </c>
    </row>
    <row r="1829" spans="1:19" x14ac:dyDescent="0.35">
      <c r="A1829" s="1">
        <v>1827</v>
      </c>
      <c r="B1829" t="s">
        <v>829</v>
      </c>
      <c r="C1829" t="s">
        <v>549</v>
      </c>
      <c r="D1829" t="s">
        <v>719</v>
      </c>
      <c r="E1829">
        <v>4.541382716049383E-2</v>
      </c>
      <c r="F1829">
        <v>8.2224254231210957E-3</v>
      </c>
      <c r="G1829">
        <v>27</v>
      </c>
      <c r="H1829" t="s">
        <v>58</v>
      </c>
      <c r="M1829">
        <v>6.1858678006736022E-2</v>
      </c>
      <c r="N1829">
        <v>2.8968976314251639E-2</v>
      </c>
      <c r="O1829">
        <v>3.2889701692484383E-2</v>
      </c>
      <c r="P1829">
        <v>5.5231668058420036</v>
      </c>
      <c r="R1829" t="str">
        <f t="shared" si="56"/>
        <v>yes</v>
      </c>
      <c r="S1829" t="str">
        <f t="shared" si="57"/>
        <v>no</v>
      </c>
    </row>
    <row r="1830" spans="1:19" x14ac:dyDescent="0.35">
      <c r="A1830" s="1">
        <v>1828</v>
      </c>
      <c r="B1830" t="s">
        <v>829</v>
      </c>
      <c r="C1830" t="s">
        <v>549</v>
      </c>
      <c r="D1830" t="s">
        <v>720</v>
      </c>
      <c r="E1830">
        <v>4.1947283950617288E-2</v>
      </c>
      <c r="F1830">
        <v>8.5440265632841794E-3</v>
      </c>
      <c r="G1830">
        <v>27</v>
      </c>
      <c r="H1830" t="s">
        <v>58</v>
      </c>
      <c r="M1830">
        <v>5.9035337077185647E-2</v>
      </c>
      <c r="N1830">
        <v>2.4859230824048929E-2</v>
      </c>
      <c r="O1830">
        <v>3.4176106253136718E-2</v>
      </c>
      <c r="P1830">
        <v>4.9095451237096182</v>
      </c>
      <c r="R1830" t="str">
        <f t="shared" si="56"/>
        <v>yes</v>
      </c>
      <c r="S1830" t="str">
        <f t="shared" si="57"/>
        <v>no</v>
      </c>
    </row>
    <row r="1831" spans="1:19" x14ac:dyDescent="0.35">
      <c r="A1831" s="1">
        <v>1829</v>
      </c>
      <c r="B1831" t="s">
        <v>829</v>
      </c>
      <c r="C1831" t="s">
        <v>549</v>
      </c>
      <c r="D1831" t="s">
        <v>721</v>
      </c>
      <c r="E1831">
        <v>1.8073348148148149</v>
      </c>
      <c r="F1831">
        <v>5.8187039722674382E-3</v>
      </c>
      <c r="G1831">
        <v>27</v>
      </c>
      <c r="H1831" t="s">
        <v>58</v>
      </c>
      <c r="I1831">
        <v>1.62</v>
      </c>
      <c r="J1831">
        <v>1.98</v>
      </c>
      <c r="K1831">
        <v>1.8</v>
      </c>
      <c r="L1831">
        <v>0.35999999999999988</v>
      </c>
      <c r="M1831">
        <v>1.8189722227593501</v>
      </c>
      <c r="N1831">
        <v>1.79569740687028</v>
      </c>
      <c r="O1831">
        <v>2.3274815889069881E-2</v>
      </c>
      <c r="P1831">
        <v>310.60779572715239</v>
      </c>
      <c r="Q1831">
        <v>15.467361877997069</v>
      </c>
      <c r="R1831" t="str">
        <f t="shared" si="56"/>
        <v>yes</v>
      </c>
      <c r="S1831" t="str">
        <f t="shared" si="57"/>
        <v>yes</v>
      </c>
    </row>
    <row r="1832" spans="1:19" x14ac:dyDescent="0.35">
      <c r="A1832" s="1">
        <v>1830</v>
      </c>
      <c r="B1832" t="s">
        <v>829</v>
      </c>
      <c r="C1832" t="s">
        <v>549</v>
      </c>
      <c r="D1832" t="s">
        <v>722</v>
      </c>
      <c r="E1832">
        <v>3.4503456790123448E-2</v>
      </c>
      <c r="F1832">
        <v>8.1759519094031542E-3</v>
      </c>
      <c r="G1832">
        <v>27</v>
      </c>
      <c r="H1832" t="s">
        <v>58</v>
      </c>
      <c r="M1832">
        <v>5.0855360608929763E-2</v>
      </c>
      <c r="N1832">
        <v>1.8151552971317139E-2</v>
      </c>
      <c r="O1832">
        <v>3.2703807637612617E-2</v>
      </c>
      <c r="P1832">
        <v>4.2201149385970647</v>
      </c>
      <c r="R1832" t="str">
        <f t="shared" si="56"/>
        <v>yes</v>
      </c>
      <c r="S1832" t="str">
        <f t="shared" si="57"/>
        <v>no</v>
      </c>
    </row>
    <row r="1833" spans="1:19" x14ac:dyDescent="0.35">
      <c r="A1833" s="1">
        <v>1831</v>
      </c>
      <c r="B1833" t="s">
        <v>829</v>
      </c>
      <c r="C1833" t="s">
        <v>549</v>
      </c>
      <c r="D1833" t="s">
        <v>723</v>
      </c>
      <c r="E1833">
        <v>3.588518518518518E-2</v>
      </c>
      <c r="F1833">
        <v>1.259914273255156E-2</v>
      </c>
      <c r="G1833">
        <v>27</v>
      </c>
      <c r="H1833" t="s">
        <v>58</v>
      </c>
      <c r="M1833">
        <v>6.1083470650288303E-2</v>
      </c>
      <c r="N1833">
        <v>1.068689972008206E-2</v>
      </c>
      <c r="O1833">
        <v>5.0396570930206233E-2</v>
      </c>
      <c r="P1833">
        <v>2.848224355175454</v>
      </c>
      <c r="R1833" t="str">
        <f t="shared" si="56"/>
        <v>yes</v>
      </c>
      <c r="S1833" t="str">
        <f t="shared" si="57"/>
        <v>no</v>
      </c>
    </row>
    <row r="1834" spans="1:19" x14ac:dyDescent="0.35">
      <c r="A1834" s="1">
        <v>1832</v>
      </c>
      <c r="B1834" t="s">
        <v>829</v>
      </c>
      <c r="C1834" t="s">
        <v>549</v>
      </c>
      <c r="D1834" t="s">
        <v>724</v>
      </c>
      <c r="E1834">
        <v>3.3275061728395061E-2</v>
      </c>
      <c r="F1834">
        <v>6.6219385454230929E-3</v>
      </c>
      <c r="G1834">
        <v>27</v>
      </c>
      <c r="H1834" t="s">
        <v>58</v>
      </c>
      <c r="M1834">
        <v>4.6518938819241247E-2</v>
      </c>
      <c r="N1834">
        <v>2.0031184637548879E-2</v>
      </c>
      <c r="O1834">
        <v>2.6487754181692372E-2</v>
      </c>
      <c r="P1834">
        <v>5.0249728988188664</v>
      </c>
      <c r="R1834" t="str">
        <f t="shared" si="56"/>
        <v>yes</v>
      </c>
      <c r="S1834" t="str">
        <f t="shared" si="57"/>
        <v>no</v>
      </c>
    </row>
    <row r="1835" spans="1:19" x14ac:dyDescent="0.35">
      <c r="A1835" s="1">
        <v>1833</v>
      </c>
      <c r="B1835" t="s">
        <v>829</v>
      </c>
      <c r="C1835" t="s">
        <v>549</v>
      </c>
      <c r="D1835" t="s">
        <v>725</v>
      </c>
      <c r="E1835">
        <v>7.6013456790123446E-2</v>
      </c>
      <c r="F1835">
        <v>8.3465200667384408E-3</v>
      </c>
      <c r="G1835">
        <v>27</v>
      </c>
      <c r="H1835" t="s">
        <v>58</v>
      </c>
      <c r="M1835">
        <v>9.2706496923600334E-2</v>
      </c>
      <c r="N1835">
        <v>5.9320416656646557E-2</v>
      </c>
      <c r="O1835">
        <v>3.338608026695377E-2</v>
      </c>
      <c r="P1835">
        <v>9.1072035030555103</v>
      </c>
      <c r="R1835" t="str">
        <f t="shared" si="56"/>
        <v>yes</v>
      </c>
      <c r="S1835" t="str">
        <f t="shared" si="57"/>
        <v>no</v>
      </c>
    </row>
    <row r="1836" spans="1:19" x14ac:dyDescent="0.35">
      <c r="A1836" s="1">
        <v>1834</v>
      </c>
      <c r="B1836" t="s">
        <v>829</v>
      </c>
      <c r="C1836" t="s">
        <v>549</v>
      </c>
      <c r="D1836" t="s">
        <v>726</v>
      </c>
      <c r="E1836">
        <v>3.9812565432098759</v>
      </c>
      <c r="F1836">
        <v>8.505642557393946E-3</v>
      </c>
      <c r="G1836">
        <v>27</v>
      </c>
      <c r="H1836" t="s">
        <v>58</v>
      </c>
      <c r="I1836">
        <v>3.6</v>
      </c>
      <c r="J1836">
        <v>4.4000000000000004</v>
      </c>
      <c r="K1836">
        <v>4</v>
      </c>
      <c r="L1836">
        <v>0.80000000000000027</v>
      </c>
      <c r="M1836">
        <v>3.9982678283246642</v>
      </c>
      <c r="N1836">
        <v>3.964245258095088</v>
      </c>
      <c r="O1836">
        <v>3.4022570229575777E-2</v>
      </c>
      <c r="P1836">
        <v>468.07240209606198</v>
      </c>
      <c r="Q1836">
        <v>23.51380259050979</v>
      </c>
      <c r="R1836" t="str">
        <f t="shared" si="56"/>
        <v>yes</v>
      </c>
      <c r="S1836" t="str">
        <f t="shared" si="57"/>
        <v>yes</v>
      </c>
    </row>
    <row r="1837" spans="1:19" x14ac:dyDescent="0.35">
      <c r="A1837" s="1">
        <v>1835</v>
      </c>
      <c r="B1837" t="s">
        <v>829</v>
      </c>
      <c r="C1837" t="s">
        <v>549</v>
      </c>
      <c r="D1837" t="s">
        <v>727</v>
      </c>
      <c r="E1837">
        <v>4.3585679012345682E-2</v>
      </c>
      <c r="F1837">
        <v>9.0869608898960005E-3</v>
      </c>
      <c r="G1837">
        <v>27</v>
      </c>
      <c r="H1837" t="s">
        <v>58</v>
      </c>
      <c r="M1837">
        <v>6.1759600792137687E-2</v>
      </c>
      <c r="N1837">
        <v>2.5411757232553681E-2</v>
      </c>
      <c r="O1837">
        <v>3.6347843559584009E-2</v>
      </c>
      <c r="P1837">
        <v>4.7965078248338884</v>
      </c>
      <c r="R1837" t="str">
        <f t="shared" si="56"/>
        <v>yes</v>
      </c>
      <c r="S1837" t="str">
        <f t="shared" si="57"/>
        <v>no</v>
      </c>
    </row>
    <row r="1838" spans="1:19" x14ac:dyDescent="0.35">
      <c r="A1838" s="1">
        <v>1836</v>
      </c>
      <c r="B1838" t="s">
        <v>829</v>
      </c>
      <c r="C1838" t="s">
        <v>549</v>
      </c>
      <c r="D1838" t="s">
        <v>728</v>
      </c>
      <c r="E1838">
        <v>4.4747777777777782E-2</v>
      </c>
      <c r="F1838">
        <v>1.033605841424629E-2</v>
      </c>
      <c r="G1838">
        <v>27</v>
      </c>
      <c r="H1838" t="s">
        <v>58</v>
      </c>
      <c r="M1838">
        <v>6.541989460627036E-2</v>
      </c>
      <c r="N1838">
        <v>2.4075660949285201E-2</v>
      </c>
      <c r="O1838">
        <v>4.1344233656985148E-2</v>
      </c>
      <c r="P1838">
        <v>4.3292883983803234</v>
      </c>
      <c r="R1838" t="str">
        <f t="shared" si="56"/>
        <v>yes</v>
      </c>
      <c r="S1838" t="str">
        <f t="shared" si="57"/>
        <v>no</v>
      </c>
    </row>
    <row r="1839" spans="1:19" x14ac:dyDescent="0.35">
      <c r="A1839" s="1">
        <v>1837</v>
      </c>
      <c r="B1839" t="s">
        <v>829</v>
      </c>
      <c r="C1839" t="s">
        <v>549</v>
      </c>
      <c r="D1839" t="s">
        <v>729</v>
      </c>
      <c r="E1839">
        <v>4.1697777777777778E-2</v>
      </c>
      <c r="F1839">
        <v>8.557087049730178E-3</v>
      </c>
      <c r="G1839">
        <v>27</v>
      </c>
      <c r="H1839" t="s">
        <v>58</v>
      </c>
      <c r="M1839">
        <v>5.8811951877238131E-2</v>
      </c>
      <c r="N1839">
        <v>2.4583603678317419E-2</v>
      </c>
      <c r="O1839">
        <v>3.4228348198920712E-2</v>
      </c>
      <c r="P1839">
        <v>4.8728939574235826</v>
      </c>
      <c r="R1839" t="str">
        <f t="shared" si="56"/>
        <v>yes</v>
      </c>
      <c r="S1839" t="str">
        <f t="shared" si="57"/>
        <v>no</v>
      </c>
    </row>
    <row r="1840" spans="1:19" x14ac:dyDescent="0.35">
      <c r="A1840" s="1">
        <v>1838</v>
      </c>
      <c r="B1840" t="s">
        <v>829</v>
      </c>
      <c r="C1840" t="s">
        <v>549</v>
      </c>
      <c r="D1840" t="s">
        <v>730</v>
      </c>
      <c r="E1840">
        <v>4.6143209876543219E-3</v>
      </c>
      <c r="F1840">
        <v>2.217422103422146E-3</v>
      </c>
      <c r="G1840">
        <v>27</v>
      </c>
      <c r="H1840" t="s">
        <v>58</v>
      </c>
      <c r="M1840">
        <v>9.049165194498613E-3</v>
      </c>
      <c r="N1840">
        <v>1.7947678081002989E-4</v>
      </c>
      <c r="O1840">
        <v>8.869688413688584E-3</v>
      </c>
      <c r="P1840">
        <v>2.080939384762623</v>
      </c>
      <c r="R1840" t="str">
        <f t="shared" si="56"/>
        <v>yes</v>
      </c>
      <c r="S1840" t="str">
        <f t="shared" si="57"/>
        <v>no</v>
      </c>
    </row>
    <row r="1841" spans="1:19" x14ac:dyDescent="0.35">
      <c r="A1841" s="1">
        <v>1839</v>
      </c>
      <c r="B1841" t="s">
        <v>829</v>
      </c>
      <c r="C1841" t="s">
        <v>549</v>
      </c>
      <c r="D1841" t="s">
        <v>731</v>
      </c>
      <c r="E1841">
        <v>0.99582679012345665</v>
      </c>
      <c r="F1841">
        <v>1.0176934366357489E-3</v>
      </c>
      <c r="G1841">
        <v>27</v>
      </c>
      <c r="H1841" t="s">
        <v>58</v>
      </c>
      <c r="I1841">
        <v>0.85</v>
      </c>
      <c r="J1841">
        <v>1.2</v>
      </c>
      <c r="K1841">
        <v>1.0249999999999999</v>
      </c>
      <c r="L1841">
        <v>0.35</v>
      </c>
      <c r="M1841">
        <v>0.99786217699672819</v>
      </c>
      <c r="N1841">
        <v>0.99379140325018511</v>
      </c>
      <c r="O1841">
        <v>4.0707737465430771E-3</v>
      </c>
      <c r="P1841">
        <v>978.51352310517188</v>
      </c>
      <c r="Q1841">
        <v>85.978740601150292</v>
      </c>
      <c r="R1841" t="str">
        <f t="shared" si="56"/>
        <v>yes</v>
      </c>
      <c r="S1841" t="str">
        <f t="shared" si="57"/>
        <v>yes</v>
      </c>
    </row>
    <row r="1842" spans="1:19" x14ac:dyDescent="0.35">
      <c r="A1842" s="1">
        <v>1840</v>
      </c>
      <c r="B1842" t="s">
        <v>829</v>
      </c>
      <c r="C1842" t="s">
        <v>549</v>
      </c>
      <c r="D1842" t="s">
        <v>732</v>
      </c>
      <c r="E1842">
        <v>2.5534567901234579E-3</v>
      </c>
      <c r="F1842">
        <v>1.360844902337848E-3</v>
      </c>
      <c r="G1842">
        <v>27</v>
      </c>
      <c r="H1842" t="s">
        <v>58</v>
      </c>
      <c r="M1842">
        <v>5.275146594799154E-3</v>
      </c>
      <c r="N1842">
        <v>-1.6823301455223821E-4</v>
      </c>
      <c r="O1842">
        <v>5.4433796093513922E-3</v>
      </c>
      <c r="P1842">
        <v>1.8763760555936799</v>
      </c>
      <c r="R1842" t="str">
        <f t="shared" si="56"/>
        <v>yes</v>
      </c>
      <c r="S1842" t="str">
        <f t="shared" si="57"/>
        <v>no</v>
      </c>
    </row>
    <row r="1843" spans="1:19" x14ac:dyDescent="0.35">
      <c r="A1843" s="1">
        <v>1841</v>
      </c>
      <c r="B1843" t="s">
        <v>829</v>
      </c>
      <c r="C1843" t="s">
        <v>549</v>
      </c>
      <c r="D1843" t="s">
        <v>733</v>
      </c>
      <c r="E1843">
        <v>1.500533086419753</v>
      </c>
      <c r="F1843">
        <v>3.5703751038163268E-3</v>
      </c>
      <c r="G1843">
        <v>27</v>
      </c>
      <c r="H1843" t="s">
        <v>58</v>
      </c>
      <c r="I1843">
        <v>1.35</v>
      </c>
      <c r="J1843">
        <v>1.65</v>
      </c>
      <c r="K1843">
        <v>1.5</v>
      </c>
      <c r="L1843">
        <v>0.29999999999999982</v>
      </c>
      <c r="M1843">
        <v>1.5076738366273861</v>
      </c>
      <c r="N1843">
        <v>1.49339233621212</v>
      </c>
      <c r="O1843">
        <v>1.428150041526521E-2</v>
      </c>
      <c r="P1843">
        <v>420.27323258440072</v>
      </c>
      <c r="Q1843">
        <v>21.006196217264101</v>
      </c>
      <c r="R1843" t="str">
        <f t="shared" si="56"/>
        <v>yes</v>
      </c>
      <c r="S1843" t="str">
        <f t="shared" si="57"/>
        <v>yes</v>
      </c>
    </row>
    <row r="1844" spans="1:19" x14ac:dyDescent="0.35">
      <c r="A1844" s="1">
        <v>1842</v>
      </c>
      <c r="B1844" t="s">
        <v>829</v>
      </c>
      <c r="C1844" t="s">
        <v>549</v>
      </c>
      <c r="D1844" t="s">
        <v>734</v>
      </c>
      <c r="E1844">
        <v>2.2228395061728402E-2</v>
      </c>
      <c r="F1844">
        <v>2.9972581151869061E-3</v>
      </c>
      <c r="G1844">
        <v>27</v>
      </c>
      <c r="H1844" t="s">
        <v>58</v>
      </c>
      <c r="M1844">
        <v>2.822291129210221E-2</v>
      </c>
      <c r="N1844">
        <v>1.623387883135459E-2</v>
      </c>
      <c r="O1844">
        <v>1.1989032460747621E-2</v>
      </c>
      <c r="P1844">
        <v>7.416243182093198</v>
      </c>
      <c r="R1844" t="str">
        <f t="shared" si="56"/>
        <v>yes</v>
      </c>
      <c r="S1844" t="str">
        <f t="shared" si="57"/>
        <v>no</v>
      </c>
    </row>
    <row r="1845" spans="1:19" x14ac:dyDescent="0.35">
      <c r="A1845" s="1">
        <v>1843</v>
      </c>
      <c r="B1845" t="s">
        <v>829</v>
      </c>
      <c r="C1845" t="s">
        <v>549</v>
      </c>
      <c r="D1845" t="s">
        <v>735</v>
      </c>
      <c r="E1845">
        <v>35.87645666666667</v>
      </c>
      <c r="F1845">
        <v>9.5812255840649299E-2</v>
      </c>
      <c r="G1845">
        <v>27</v>
      </c>
      <c r="H1845" t="s">
        <v>58</v>
      </c>
      <c r="I1845">
        <v>34.5</v>
      </c>
      <c r="J1845">
        <v>37</v>
      </c>
      <c r="K1845">
        <v>35.75</v>
      </c>
      <c r="L1845">
        <v>2.5</v>
      </c>
      <c r="M1845">
        <v>36.068081178347967</v>
      </c>
      <c r="N1845">
        <v>35.684832154985372</v>
      </c>
      <c r="O1845">
        <v>0.3832490233625947</v>
      </c>
      <c r="P1845">
        <v>374.44538124991863</v>
      </c>
      <c r="Q1845">
        <v>6.5231738311169334</v>
      </c>
      <c r="R1845" t="str">
        <f t="shared" si="56"/>
        <v>yes</v>
      </c>
      <c r="S1845" t="str">
        <f t="shared" si="57"/>
        <v>yes</v>
      </c>
    </row>
    <row r="1846" spans="1:19" x14ac:dyDescent="0.35">
      <c r="A1846" s="1">
        <v>1844</v>
      </c>
      <c r="B1846" t="s">
        <v>829</v>
      </c>
      <c r="C1846" t="s">
        <v>549</v>
      </c>
      <c r="D1846" t="s">
        <v>736</v>
      </c>
      <c r="E1846">
        <v>3.8187654320987661E-3</v>
      </c>
      <c r="F1846">
        <v>2.256064984931385E-3</v>
      </c>
      <c r="G1846">
        <v>27</v>
      </c>
      <c r="H1846" t="s">
        <v>58</v>
      </c>
      <c r="M1846">
        <v>8.3308954019615366E-3</v>
      </c>
      <c r="N1846">
        <v>-6.9336453776400403E-4</v>
      </c>
      <c r="O1846">
        <v>9.0242599397255402E-3</v>
      </c>
      <c r="P1846">
        <v>1.692666415907744</v>
      </c>
      <c r="R1846" t="str">
        <f t="shared" si="56"/>
        <v>yes</v>
      </c>
      <c r="S1846" t="str">
        <f t="shared" si="57"/>
        <v>no</v>
      </c>
    </row>
    <row r="1847" spans="1:19" x14ac:dyDescent="0.35">
      <c r="A1847" s="1">
        <v>1845</v>
      </c>
      <c r="B1847" t="s">
        <v>829</v>
      </c>
      <c r="C1847" t="s">
        <v>549</v>
      </c>
      <c r="D1847" t="s">
        <v>737</v>
      </c>
      <c r="E1847">
        <v>0.99586172839506149</v>
      </c>
      <c r="F1847">
        <v>1.189422956841209E-3</v>
      </c>
      <c r="G1847">
        <v>27</v>
      </c>
      <c r="H1847" t="s">
        <v>58</v>
      </c>
      <c r="I1847">
        <v>0.85</v>
      </c>
      <c r="J1847">
        <v>1.2</v>
      </c>
      <c r="K1847">
        <v>1.0249999999999999</v>
      </c>
      <c r="L1847">
        <v>0.35</v>
      </c>
      <c r="M1847">
        <v>0.99824057430874391</v>
      </c>
      <c r="N1847">
        <v>0.99348288248137906</v>
      </c>
      <c r="O1847">
        <v>4.7576918273648516E-3</v>
      </c>
      <c r="P1847">
        <v>837.26459344605667</v>
      </c>
      <c r="Q1847">
        <v>73.565084225695827</v>
      </c>
      <c r="R1847" t="str">
        <f t="shared" si="56"/>
        <v>yes</v>
      </c>
      <c r="S1847" t="str">
        <f t="shared" si="57"/>
        <v>yes</v>
      </c>
    </row>
    <row r="1848" spans="1:19" x14ac:dyDescent="0.35">
      <c r="A1848" s="1">
        <v>1846</v>
      </c>
      <c r="B1848" t="s">
        <v>829</v>
      </c>
      <c r="C1848" t="s">
        <v>549</v>
      </c>
      <c r="D1848" t="s">
        <v>738</v>
      </c>
      <c r="E1848">
        <v>2.9445679012345678E-3</v>
      </c>
      <c r="F1848">
        <v>1.5388440735853259E-3</v>
      </c>
      <c r="G1848">
        <v>27</v>
      </c>
      <c r="H1848" t="s">
        <v>58</v>
      </c>
      <c r="M1848">
        <v>6.0222560484052192E-3</v>
      </c>
      <c r="N1848">
        <v>-1.33120245936084E-4</v>
      </c>
      <c r="O1848">
        <v>6.1553762943413037E-3</v>
      </c>
      <c r="P1848">
        <v>1.91349334983243</v>
      </c>
      <c r="R1848" t="str">
        <f t="shared" si="56"/>
        <v>yes</v>
      </c>
      <c r="S1848" t="str">
        <f t="shared" si="57"/>
        <v>no</v>
      </c>
    </row>
    <row r="1849" spans="1:19" x14ac:dyDescent="0.35">
      <c r="A1849" s="1">
        <v>1847</v>
      </c>
      <c r="B1849" t="s">
        <v>829</v>
      </c>
      <c r="C1849" t="s">
        <v>549</v>
      </c>
      <c r="D1849" t="s">
        <v>739</v>
      </c>
      <c r="E1849">
        <v>1.499450864197531</v>
      </c>
      <c r="F1849">
        <v>3.2698129244937979E-3</v>
      </c>
      <c r="G1849">
        <v>27</v>
      </c>
      <c r="H1849" t="s">
        <v>58</v>
      </c>
      <c r="I1849">
        <v>1.35</v>
      </c>
      <c r="J1849">
        <v>1.65</v>
      </c>
      <c r="K1849">
        <v>1.5</v>
      </c>
      <c r="L1849">
        <v>0.29999999999999982</v>
      </c>
      <c r="M1849">
        <v>1.5059904900465191</v>
      </c>
      <c r="N1849">
        <v>1.492911238348543</v>
      </c>
      <c r="O1849">
        <v>1.307925169797519E-2</v>
      </c>
      <c r="P1849">
        <v>458.5738997376011</v>
      </c>
      <c r="Q1849">
        <v>22.937092039175528</v>
      </c>
      <c r="R1849" t="str">
        <f t="shared" si="56"/>
        <v>yes</v>
      </c>
      <c r="S1849" t="str">
        <f t="shared" si="57"/>
        <v>yes</v>
      </c>
    </row>
    <row r="1850" spans="1:19" x14ac:dyDescent="0.35">
      <c r="A1850" s="1">
        <v>1848</v>
      </c>
      <c r="B1850" t="s">
        <v>829</v>
      </c>
      <c r="C1850" t="s">
        <v>549</v>
      </c>
      <c r="D1850" t="s">
        <v>740</v>
      </c>
      <c r="E1850">
        <v>2.1836296296296291E-2</v>
      </c>
      <c r="F1850">
        <v>2.8207855383608118E-3</v>
      </c>
      <c r="G1850">
        <v>27</v>
      </c>
      <c r="H1850" t="s">
        <v>58</v>
      </c>
      <c r="M1850">
        <v>2.7477867373017911E-2</v>
      </c>
      <c r="N1850">
        <v>1.6194725219574671E-2</v>
      </c>
      <c r="O1850">
        <v>1.1283142153443251E-2</v>
      </c>
      <c r="P1850">
        <v>7.7412110914981476</v>
      </c>
      <c r="R1850" t="str">
        <f t="shared" si="56"/>
        <v>yes</v>
      </c>
      <c r="S1850" t="str">
        <f t="shared" si="57"/>
        <v>no</v>
      </c>
    </row>
    <row r="1851" spans="1:19" x14ac:dyDescent="0.35">
      <c r="A1851" s="1">
        <v>1849</v>
      </c>
      <c r="B1851" t="s">
        <v>829</v>
      </c>
      <c r="C1851" t="s">
        <v>549</v>
      </c>
      <c r="D1851" t="s">
        <v>741</v>
      </c>
      <c r="E1851">
        <v>35.8404150617284</v>
      </c>
      <c r="F1851">
        <v>9.4730554968350769E-2</v>
      </c>
      <c r="G1851">
        <v>27</v>
      </c>
      <c r="H1851" t="s">
        <v>58</v>
      </c>
      <c r="I1851">
        <v>34.5</v>
      </c>
      <c r="J1851">
        <v>37</v>
      </c>
      <c r="K1851">
        <v>35.75</v>
      </c>
      <c r="L1851">
        <v>2.5</v>
      </c>
      <c r="M1851">
        <v>36.029876171665101</v>
      </c>
      <c r="N1851">
        <v>35.650953951791699</v>
      </c>
      <c r="O1851">
        <v>0.37892221987340241</v>
      </c>
      <c r="P1851">
        <v>378.34060059821871</v>
      </c>
      <c r="Q1851">
        <v>6.5976600708062154</v>
      </c>
      <c r="R1851" t="str">
        <f t="shared" si="56"/>
        <v>yes</v>
      </c>
      <c r="S1851" t="str">
        <f t="shared" si="57"/>
        <v>yes</v>
      </c>
    </row>
    <row r="1852" spans="1:19" x14ac:dyDescent="0.35">
      <c r="A1852" s="1">
        <v>1850</v>
      </c>
      <c r="B1852" t="s">
        <v>829</v>
      </c>
      <c r="C1852" t="s">
        <v>549</v>
      </c>
      <c r="D1852" t="s">
        <v>742</v>
      </c>
      <c r="E1852">
        <v>3.8827160493827158E-3</v>
      </c>
      <c r="F1852">
        <v>1.673096045011884E-3</v>
      </c>
      <c r="G1852">
        <v>27</v>
      </c>
      <c r="H1852" t="s">
        <v>58</v>
      </c>
      <c r="M1852">
        <v>7.2289081394064838E-3</v>
      </c>
      <c r="N1852">
        <v>5.3652395935894787E-4</v>
      </c>
      <c r="O1852">
        <v>6.6923841800475359E-3</v>
      </c>
      <c r="P1852">
        <v>2.3206773221169961</v>
      </c>
      <c r="R1852" t="str">
        <f t="shared" si="56"/>
        <v>yes</v>
      </c>
      <c r="S1852" t="str">
        <f t="shared" si="57"/>
        <v>no</v>
      </c>
    </row>
    <row r="1853" spans="1:19" x14ac:dyDescent="0.35">
      <c r="A1853" s="1">
        <v>1851</v>
      </c>
      <c r="B1853" t="s">
        <v>829</v>
      </c>
      <c r="C1853" t="s">
        <v>549</v>
      </c>
      <c r="D1853" t="s">
        <v>743</v>
      </c>
      <c r="E1853">
        <v>0.99528209876543228</v>
      </c>
      <c r="F1853">
        <v>2.0230958400874739E-3</v>
      </c>
      <c r="G1853">
        <v>27</v>
      </c>
      <c r="H1853" t="s">
        <v>58</v>
      </c>
      <c r="I1853">
        <v>0.85</v>
      </c>
      <c r="J1853">
        <v>1.2</v>
      </c>
      <c r="K1853">
        <v>1.0249999999999999</v>
      </c>
      <c r="L1853">
        <v>0.35</v>
      </c>
      <c r="M1853">
        <v>0.99932829044560723</v>
      </c>
      <c r="N1853">
        <v>0.99123590708525733</v>
      </c>
      <c r="O1853">
        <v>8.0923833603498974E-3</v>
      </c>
      <c r="P1853">
        <v>491.95993538417758</v>
      </c>
      <c r="Q1853">
        <v>43.250546151198002</v>
      </c>
      <c r="R1853" t="str">
        <f t="shared" si="56"/>
        <v>yes</v>
      </c>
      <c r="S1853" t="str">
        <f t="shared" si="57"/>
        <v>yes</v>
      </c>
    </row>
    <row r="1854" spans="1:19" x14ac:dyDescent="0.35">
      <c r="A1854" s="1">
        <v>1852</v>
      </c>
      <c r="B1854" t="s">
        <v>829</v>
      </c>
      <c r="C1854" t="s">
        <v>549</v>
      </c>
      <c r="D1854" t="s">
        <v>744</v>
      </c>
      <c r="E1854">
        <v>1.7076543209876549E-3</v>
      </c>
      <c r="F1854">
        <v>1.674694852625974E-3</v>
      </c>
      <c r="G1854">
        <v>27</v>
      </c>
      <c r="H1854" t="s">
        <v>58</v>
      </c>
      <c r="M1854">
        <v>5.0570440262396026E-3</v>
      </c>
      <c r="N1854">
        <v>-1.641735384264293E-3</v>
      </c>
      <c r="O1854">
        <v>6.6987794105038958E-3</v>
      </c>
      <c r="P1854">
        <v>1.0196808799585191</v>
      </c>
      <c r="R1854" t="str">
        <f t="shared" si="56"/>
        <v>yes</v>
      </c>
      <c r="S1854" t="str">
        <f t="shared" si="57"/>
        <v>no</v>
      </c>
    </row>
    <row r="1855" spans="1:19" x14ac:dyDescent="0.35">
      <c r="A1855" s="1">
        <v>1853</v>
      </c>
      <c r="B1855" t="s">
        <v>829</v>
      </c>
      <c r="C1855" t="s">
        <v>549</v>
      </c>
      <c r="D1855" t="s">
        <v>745</v>
      </c>
      <c r="E1855">
        <v>1.5006096296296301</v>
      </c>
      <c r="F1855">
        <v>3.619108264762712E-3</v>
      </c>
      <c r="G1855">
        <v>27</v>
      </c>
      <c r="H1855" t="s">
        <v>58</v>
      </c>
      <c r="I1855">
        <v>1.35</v>
      </c>
      <c r="J1855">
        <v>1.65</v>
      </c>
      <c r="K1855">
        <v>1.5</v>
      </c>
      <c r="L1855">
        <v>0.29999999999999982</v>
      </c>
      <c r="M1855">
        <v>1.507847846159156</v>
      </c>
      <c r="N1855">
        <v>1.493371413100105</v>
      </c>
      <c r="O1855">
        <v>1.4476433059051001E-2</v>
      </c>
      <c r="P1855">
        <v>414.63518630825428</v>
      </c>
      <c r="Q1855">
        <v>20.723336941929421</v>
      </c>
      <c r="R1855" t="str">
        <f t="shared" si="56"/>
        <v>yes</v>
      </c>
      <c r="S1855" t="str">
        <f t="shared" si="57"/>
        <v>yes</v>
      </c>
    </row>
    <row r="1856" spans="1:19" x14ac:dyDescent="0.35">
      <c r="A1856" s="1">
        <v>1854</v>
      </c>
      <c r="B1856" t="s">
        <v>829</v>
      </c>
      <c r="C1856" t="s">
        <v>549</v>
      </c>
      <c r="D1856" t="s">
        <v>746</v>
      </c>
      <c r="E1856">
        <v>2.2058888888888888E-2</v>
      </c>
      <c r="F1856">
        <v>1.648383511916648E-3</v>
      </c>
      <c r="G1856">
        <v>27</v>
      </c>
      <c r="H1856" t="s">
        <v>58</v>
      </c>
      <c r="M1856">
        <v>2.535565591272218E-2</v>
      </c>
      <c r="N1856">
        <v>1.8762121865055589E-2</v>
      </c>
      <c r="O1856">
        <v>6.593534047666591E-3</v>
      </c>
      <c r="P1856">
        <v>13.382133908413129</v>
      </c>
      <c r="R1856" t="str">
        <f t="shared" si="56"/>
        <v>yes</v>
      </c>
      <c r="S1856" t="str">
        <f t="shared" si="57"/>
        <v>no</v>
      </c>
    </row>
    <row r="1857" spans="1:19" x14ac:dyDescent="0.35">
      <c r="A1857" s="1">
        <v>1855</v>
      </c>
      <c r="B1857" t="s">
        <v>829</v>
      </c>
      <c r="C1857" t="s">
        <v>549</v>
      </c>
      <c r="D1857" t="s">
        <v>747</v>
      </c>
      <c r="E1857">
        <v>35.86572024691359</v>
      </c>
      <c r="F1857">
        <v>0.1092471797439387</v>
      </c>
      <c r="G1857">
        <v>27</v>
      </c>
      <c r="H1857" t="s">
        <v>58</v>
      </c>
      <c r="I1857">
        <v>34.5</v>
      </c>
      <c r="J1857">
        <v>37</v>
      </c>
      <c r="K1857">
        <v>35.75</v>
      </c>
      <c r="L1857">
        <v>2.5</v>
      </c>
      <c r="M1857">
        <v>36.084214606401467</v>
      </c>
      <c r="N1857">
        <v>35.647225887425712</v>
      </c>
      <c r="O1857">
        <v>0.43698871897575492</v>
      </c>
      <c r="P1857">
        <v>328.29882044532599</v>
      </c>
      <c r="Q1857">
        <v>5.7209714837940826</v>
      </c>
      <c r="R1857" t="str">
        <f t="shared" si="56"/>
        <v>yes</v>
      </c>
      <c r="S1857" t="str">
        <f t="shared" si="57"/>
        <v>yes</v>
      </c>
    </row>
    <row r="1858" spans="1:19" x14ac:dyDescent="0.35">
      <c r="A1858" s="1">
        <v>1856</v>
      </c>
      <c r="B1858" t="s">
        <v>829</v>
      </c>
      <c r="C1858" t="s">
        <v>549</v>
      </c>
      <c r="D1858" t="s">
        <v>748</v>
      </c>
      <c r="E1858">
        <v>1.8017248148148151</v>
      </c>
      <c r="F1858">
        <v>7.0234824468362487E-3</v>
      </c>
      <c r="G1858">
        <v>27</v>
      </c>
      <c r="H1858" t="s">
        <v>58</v>
      </c>
      <c r="I1858">
        <v>1.62</v>
      </c>
      <c r="J1858">
        <v>1.98</v>
      </c>
      <c r="K1858">
        <v>1.8</v>
      </c>
      <c r="L1858">
        <v>0.35999999999999988</v>
      </c>
      <c r="M1858">
        <v>1.815771779708488</v>
      </c>
      <c r="N1858">
        <v>1.787677849921143</v>
      </c>
      <c r="O1858">
        <v>2.809392978734504E-2</v>
      </c>
      <c r="P1858">
        <v>256.52869903966342</v>
      </c>
      <c r="Q1858">
        <v>12.814156037442739</v>
      </c>
      <c r="R1858" t="str">
        <f t="shared" si="56"/>
        <v>yes</v>
      </c>
      <c r="S1858" t="str">
        <f t="shared" si="57"/>
        <v>yes</v>
      </c>
    </row>
    <row r="1859" spans="1:19" x14ac:dyDescent="0.35">
      <c r="A1859" s="1">
        <v>1857</v>
      </c>
      <c r="B1859" t="s">
        <v>829</v>
      </c>
      <c r="C1859" t="s">
        <v>549</v>
      </c>
      <c r="D1859" t="s">
        <v>749</v>
      </c>
      <c r="E1859">
        <v>3.9430246913580248E-2</v>
      </c>
      <c r="F1859">
        <v>1.273410863966066E-2</v>
      </c>
      <c r="G1859">
        <v>27</v>
      </c>
      <c r="H1859" t="s">
        <v>58</v>
      </c>
      <c r="M1859">
        <v>6.4898464192901573E-2</v>
      </c>
      <c r="N1859">
        <v>1.3962029634258929E-2</v>
      </c>
      <c r="O1859">
        <v>5.0936434558642649E-2</v>
      </c>
      <c r="P1859">
        <v>3.0964277146791321</v>
      </c>
      <c r="R1859" t="str">
        <f t="shared" ref="R1859:R1922" si="58">IF(H1859="yes","yes","no")</f>
        <v>yes</v>
      </c>
      <c r="S1859" t="str">
        <f t="shared" ref="S1859:S1922" si="59">IF(I1859,"yes","no")</f>
        <v>no</v>
      </c>
    </row>
    <row r="1860" spans="1:19" x14ac:dyDescent="0.35">
      <c r="A1860" s="1">
        <v>1858</v>
      </c>
      <c r="B1860" t="s">
        <v>829</v>
      </c>
      <c r="C1860" t="s">
        <v>549</v>
      </c>
      <c r="D1860" t="s">
        <v>750</v>
      </c>
      <c r="E1860">
        <v>3.5437283950617293E-2</v>
      </c>
      <c r="F1860">
        <v>1.1753269597357639E-2</v>
      </c>
      <c r="G1860">
        <v>27</v>
      </c>
      <c r="H1860" t="s">
        <v>58</v>
      </c>
      <c r="M1860">
        <v>5.8943823145332572E-2</v>
      </c>
      <c r="N1860">
        <v>1.1930744755902009E-2</v>
      </c>
      <c r="O1860">
        <v>4.7013078389430557E-2</v>
      </c>
      <c r="P1860">
        <v>3.015100067013206</v>
      </c>
      <c r="R1860" t="str">
        <f t="shared" si="58"/>
        <v>yes</v>
      </c>
      <c r="S1860" t="str">
        <f t="shared" si="59"/>
        <v>no</v>
      </c>
    </row>
    <row r="1861" spans="1:19" x14ac:dyDescent="0.35">
      <c r="A1861" s="1">
        <v>1859</v>
      </c>
      <c r="B1861" t="s">
        <v>829</v>
      </c>
      <c r="C1861" t="s">
        <v>549</v>
      </c>
      <c r="D1861" t="s">
        <v>751</v>
      </c>
      <c r="E1861">
        <v>3.2619753086419748E-2</v>
      </c>
      <c r="F1861">
        <v>9.7646561506025478E-3</v>
      </c>
      <c r="G1861">
        <v>27</v>
      </c>
      <c r="H1861" t="s">
        <v>58</v>
      </c>
      <c r="M1861">
        <v>5.2149065387624843E-2</v>
      </c>
      <c r="N1861">
        <v>1.309044078521465E-2</v>
      </c>
      <c r="O1861">
        <v>3.9058624602410191E-2</v>
      </c>
      <c r="P1861">
        <v>3.3405941369893379</v>
      </c>
      <c r="R1861" t="str">
        <f t="shared" si="58"/>
        <v>yes</v>
      </c>
      <c r="S1861" t="str">
        <f t="shared" si="59"/>
        <v>no</v>
      </c>
    </row>
    <row r="1862" spans="1:19" x14ac:dyDescent="0.35">
      <c r="A1862" s="1">
        <v>1860</v>
      </c>
      <c r="B1862" t="s">
        <v>829</v>
      </c>
      <c r="C1862" t="s">
        <v>549</v>
      </c>
      <c r="D1862" t="s">
        <v>752</v>
      </c>
      <c r="E1862">
        <v>7.5025679012345664E-2</v>
      </c>
      <c r="F1862">
        <v>8.2927016215693667E-3</v>
      </c>
      <c r="G1862">
        <v>27</v>
      </c>
      <c r="H1862" t="s">
        <v>58</v>
      </c>
      <c r="M1862">
        <v>9.1611082255484394E-2</v>
      </c>
      <c r="N1862">
        <v>5.8440275769206927E-2</v>
      </c>
      <c r="O1862">
        <v>3.317080648627746E-2</v>
      </c>
      <c r="P1862">
        <v>9.0471938381580532</v>
      </c>
      <c r="R1862" t="str">
        <f t="shared" si="58"/>
        <v>yes</v>
      </c>
      <c r="S1862" t="str">
        <f t="shared" si="59"/>
        <v>no</v>
      </c>
    </row>
    <row r="1863" spans="1:19" x14ac:dyDescent="0.35">
      <c r="A1863" s="1">
        <v>1861</v>
      </c>
      <c r="B1863" t="s">
        <v>829</v>
      </c>
      <c r="C1863" t="s">
        <v>549</v>
      </c>
      <c r="D1863" t="s">
        <v>753</v>
      </c>
      <c r="E1863">
        <v>3.9805080246913591</v>
      </c>
      <c r="F1863">
        <v>1.4453240019041519E-2</v>
      </c>
      <c r="G1863">
        <v>27</v>
      </c>
      <c r="H1863" t="s">
        <v>58</v>
      </c>
      <c r="I1863">
        <v>3.6</v>
      </c>
      <c r="J1863">
        <v>4.4000000000000004</v>
      </c>
      <c r="K1863">
        <v>4</v>
      </c>
      <c r="L1863">
        <v>0.80000000000000027</v>
      </c>
      <c r="M1863">
        <v>4.0094145047294418</v>
      </c>
      <c r="N1863">
        <v>3.951601544653276</v>
      </c>
      <c r="O1863">
        <v>5.7812960076165883E-2</v>
      </c>
      <c r="P1863">
        <v>275.40593108861492</v>
      </c>
      <c r="Q1863">
        <v>13.83772771617363</v>
      </c>
      <c r="R1863" t="str">
        <f t="shared" si="58"/>
        <v>yes</v>
      </c>
      <c r="S1863" t="str">
        <f t="shared" si="59"/>
        <v>yes</v>
      </c>
    </row>
    <row r="1864" spans="1:19" x14ac:dyDescent="0.35">
      <c r="A1864" s="1">
        <v>1862</v>
      </c>
      <c r="B1864" t="s">
        <v>829</v>
      </c>
      <c r="C1864" t="s">
        <v>549</v>
      </c>
      <c r="D1864" t="s">
        <v>754</v>
      </c>
      <c r="E1864">
        <v>4.1061234567901228E-2</v>
      </c>
      <c r="F1864">
        <v>5.7898293825518381E-3</v>
      </c>
      <c r="G1864">
        <v>27</v>
      </c>
      <c r="H1864" t="s">
        <v>58</v>
      </c>
      <c r="M1864">
        <v>5.2640893333004903E-2</v>
      </c>
      <c r="N1864">
        <v>2.948157580279755E-2</v>
      </c>
      <c r="O1864">
        <v>2.3159317530207349E-2</v>
      </c>
      <c r="P1864">
        <v>7.0919593402256176</v>
      </c>
      <c r="R1864" t="str">
        <f t="shared" si="58"/>
        <v>yes</v>
      </c>
      <c r="S1864" t="str">
        <f t="shared" si="59"/>
        <v>no</v>
      </c>
    </row>
    <row r="1865" spans="1:19" x14ac:dyDescent="0.35">
      <c r="A1865" s="1">
        <v>1863</v>
      </c>
      <c r="B1865" t="s">
        <v>829</v>
      </c>
      <c r="C1865" t="s">
        <v>549</v>
      </c>
      <c r="D1865" t="s">
        <v>755</v>
      </c>
      <c r="E1865">
        <v>4.5206419753086417E-2</v>
      </c>
      <c r="F1865">
        <v>1.0655213266139061E-2</v>
      </c>
      <c r="G1865">
        <v>27</v>
      </c>
      <c r="H1865" t="s">
        <v>58</v>
      </c>
      <c r="M1865">
        <v>6.6516846285364542E-2</v>
      </c>
      <c r="N1865">
        <v>2.38959932208083E-2</v>
      </c>
      <c r="O1865">
        <v>4.2620853064556249E-2</v>
      </c>
      <c r="P1865">
        <v>4.2426574319959212</v>
      </c>
      <c r="R1865" t="str">
        <f t="shared" si="58"/>
        <v>yes</v>
      </c>
      <c r="S1865" t="str">
        <f t="shared" si="59"/>
        <v>no</v>
      </c>
    </row>
    <row r="1866" spans="1:19" x14ac:dyDescent="0.35">
      <c r="A1866" s="1">
        <v>1864</v>
      </c>
      <c r="B1866" t="s">
        <v>829</v>
      </c>
      <c r="C1866" t="s">
        <v>549</v>
      </c>
      <c r="D1866" t="s">
        <v>756</v>
      </c>
      <c r="E1866">
        <v>4.1076666666666671E-2</v>
      </c>
      <c r="F1866">
        <v>8.6193472842742338E-3</v>
      </c>
      <c r="G1866">
        <v>27</v>
      </c>
      <c r="H1866" t="s">
        <v>58</v>
      </c>
      <c r="M1866">
        <v>5.8315361235215142E-2</v>
      </c>
      <c r="N1866">
        <v>2.38379720981182E-2</v>
      </c>
      <c r="O1866">
        <v>3.4477389137096928E-2</v>
      </c>
      <c r="P1866">
        <v>4.7656354143671571</v>
      </c>
      <c r="R1866" t="str">
        <f t="shared" si="58"/>
        <v>yes</v>
      </c>
      <c r="S1866" t="str">
        <f t="shared" si="59"/>
        <v>no</v>
      </c>
    </row>
    <row r="1867" spans="1:19" x14ac:dyDescent="0.35">
      <c r="A1867" s="1">
        <v>1865</v>
      </c>
      <c r="B1867" t="s">
        <v>829</v>
      </c>
      <c r="C1867" t="s">
        <v>549</v>
      </c>
      <c r="D1867" t="s">
        <v>757</v>
      </c>
      <c r="E1867">
        <v>1.801221604938271</v>
      </c>
      <c r="F1867">
        <v>4.5443499890737782E-3</v>
      </c>
      <c r="G1867">
        <v>27</v>
      </c>
      <c r="H1867" t="s">
        <v>58</v>
      </c>
      <c r="I1867">
        <v>1.62</v>
      </c>
      <c r="J1867">
        <v>1.98</v>
      </c>
      <c r="K1867">
        <v>1.8</v>
      </c>
      <c r="L1867">
        <v>0.35999999999999988</v>
      </c>
      <c r="M1867">
        <v>1.8103103049164191</v>
      </c>
      <c r="N1867">
        <v>1.7921329049601229</v>
      </c>
      <c r="O1867">
        <v>1.81773999562953E-2</v>
      </c>
      <c r="P1867">
        <v>396.36507075138218</v>
      </c>
      <c r="Q1867">
        <v>19.804812617071921</v>
      </c>
      <c r="R1867" t="str">
        <f t="shared" si="58"/>
        <v>yes</v>
      </c>
      <c r="S1867" t="str">
        <f t="shared" si="59"/>
        <v>yes</v>
      </c>
    </row>
    <row r="1868" spans="1:19" x14ac:dyDescent="0.35">
      <c r="A1868" s="1">
        <v>1866</v>
      </c>
      <c r="B1868" t="s">
        <v>829</v>
      </c>
      <c r="C1868" t="s">
        <v>549</v>
      </c>
      <c r="D1868" t="s">
        <v>758</v>
      </c>
      <c r="E1868">
        <v>4.0042469135802471E-2</v>
      </c>
      <c r="F1868">
        <v>9.709082281707436E-3</v>
      </c>
      <c r="G1868">
        <v>27</v>
      </c>
      <c r="H1868" t="s">
        <v>58</v>
      </c>
      <c r="M1868">
        <v>5.9460633699217343E-2</v>
      </c>
      <c r="N1868">
        <v>2.0624304572387599E-2</v>
      </c>
      <c r="O1868">
        <v>3.8836329126829737E-2</v>
      </c>
      <c r="P1868">
        <v>4.1242280139334264</v>
      </c>
      <c r="R1868" t="str">
        <f t="shared" si="58"/>
        <v>yes</v>
      </c>
      <c r="S1868" t="str">
        <f t="shared" si="59"/>
        <v>no</v>
      </c>
    </row>
    <row r="1869" spans="1:19" x14ac:dyDescent="0.35">
      <c r="A1869" s="1">
        <v>1867</v>
      </c>
      <c r="B1869" t="s">
        <v>829</v>
      </c>
      <c r="C1869" t="s">
        <v>549</v>
      </c>
      <c r="D1869" t="s">
        <v>759</v>
      </c>
      <c r="E1869">
        <v>3.8504197530864197E-2</v>
      </c>
      <c r="F1869">
        <v>1.054335605348407E-2</v>
      </c>
      <c r="G1869">
        <v>27</v>
      </c>
      <c r="H1869" t="s">
        <v>58</v>
      </c>
      <c r="M1869">
        <v>5.959090963783234E-2</v>
      </c>
      <c r="N1869">
        <v>1.7417485423896061E-2</v>
      </c>
      <c r="O1869">
        <v>4.2173424213936293E-2</v>
      </c>
      <c r="P1869">
        <v>3.6519868375440492</v>
      </c>
      <c r="R1869" t="str">
        <f t="shared" si="58"/>
        <v>yes</v>
      </c>
      <c r="S1869" t="str">
        <f t="shared" si="59"/>
        <v>no</v>
      </c>
    </row>
    <row r="1870" spans="1:19" x14ac:dyDescent="0.35">
      <c r="A1870" s="1">
        <v>1868</v>
      </c>
      <c r="B1870" t="s">
        <v>829</v>
      </c>
      <c r="C1870" t="s">
        <v>549</v>
      </c>
      <c r="D1870" t="s">
        <v>760</v>
      </c>
      <c r="E1870">
        <v>3.4263580246913582E-2</v>
      </c>
      <c r="F1870">
        <v>8.1813705245812277E-3</v>
      </c>
      <c r="G1870">
        <v>27</v>
      </c>
      <c r="H1870" t="s">
        <v>58</v>
      </c>
      <c r="M1870">
        <v>5.0626321296076041E-2</v>
      </c>
      <c r="N1870">
        <v>1.790083919775113E-2</v>
      </c>
      <c r="O1870">
        <v>3.2725482098324918E-2</v>
      </c>
      <c r="P1870">
        <v>4.1880000598881812</v>
      </c>
      <c r="R1870" t="str">
        <f t="shared" si="58"/>
        <v>yes</v>
      </c>
      <c r="S1870" t="str">
        <f t="shared" si="59"/>
        <v>no</v>
      </c>
    </row>
    <row r="1871" spans="1:19" x14ac:dyDescent="0.35">
      <c r="A1871" s="1">
        <v>1869</v>
      </c>
      <c r="B1871" t="s">
        <v>829</v>
      </c>
      <c r="C1871" t="s">
        <v>549</v>
      </c>
      <c r="D1871" t="s">
        <v>761</v>
      </c>
      <c r="E1871">
        <v>7.6402222222222219E-2</v>
      </c>
      <c r="F1871">
        <v>6.3844945705437851E-3</v>
      </c>
      <c r="G1871">
        <v>27</v>
      </c>
      <c r="H1871" t="s">
        <v>58</v>
      </c>
      <c r="M1871">
        <v>8.9171211363309785E-2</v>
      </c>
      <c r="N1871">
        <v>6.3633233081134652E-2</v>
      </c>
      <c r="O1871">
        <v>2.553797828217513E-2</v>
      </c>
      <c r="P1871">
        <v>11.96683956388968</v>
      </c>
      <c r="R1871" t="str">
        <f t="shared" si="58"/>
        <v>yes</v>
      </c>
      <c r="S1871" t="str">
        <f t="shared" si="59"/>
        <v>no</v>
      </c>
    </row>
    <row r="1872" spans="1:19" x14ac:dyDescent="0.35">
      <c r="A1872" s="1">
        <v>1870</v>
      </c>
      <c r="B1872" t="s">
        <v>829</v>
      </c>
      <c r="C1872" t="s">
        <v>549</v>
      </c>
      <c r="D1872" t="s">
        <v>762</v>
      </c>
      <c r="E1872">
        <v>3.9791304938271592</v>
      </c>
      <c r="F1872">
        <v>1.168942970103426E-2</v>
      </c>
      <c r="G1872">
        <v>27</v>
      </c>
      <c r="H1872" t="s">
        <v>58</v>
      </c>
      <c r="I1872">
        <v>3.6</v>
      </c>
      <c r="J1872">
        <v>4.4000000000000004</v>
      </c>
      <c r="K1872">
        <v>4</v>
      </c>
      <c r="L1872">
        <v>0.80000000000000027</v>
      </c>
      <c r="M1872">
        <v>4.002509353229228</v>
      </c>
      <c r="N1872">
        <v>3.95575163442509</v>
      </c>
      <c r="O1872">
        <v>4.6757718804137482E-2</v>
      </c>
      <c r="P1872">
        <v>340.40415962081482</v>
      </c>
      <c r="Q1872">
        <v>17.109474552236069</v>
      </c>
      <c r="R1872" t="str">
        <f t="shared" si="58"/>
        <v>yes</v>
      </c>
      <c r="S1872" t="str">
        <f t="shared" si="59"/>
        <v>yes</v>
      </c>
    </row>
    <row r="1873" spans="1:19" x14ac:dyDescent="0.35">
      <c r="A1873" s="1">
        <v>1871</v>
      </c>
      <c r="B1873" t="s">
        <v>829</v>
      </c>
      <c r="C1873" t="s">
        <v>549</v>
      </c>
      <c r="D1873" t="s">
        <v>763</v>
      </c>
      <c r="E1873">
        <v>4.2326543209876548E-2</v>
      </c>
      <c r="F1873">
        <v>6.0498100685190698E-3</v>
      </c>
      <c r="G1873">
        <v>27</v>
      </c>
      <c r="H1873" t="s">
        <v>58</v>
      </c>
      <c r="M1873">
        <v>5.4426163346914691E-2</v>
      </c>
      <c r="N1873">
        <v>3.0226923072838412E-2</v>
      </c>
      <c r="O1873">
        <v>2.4199240274076279E-2</v>
      </c>
      <c r="P1873">
        <v>6.9963424852174976</v>
      </c>
      <c r="R1873" t="str">
        <f t="shared" si="58"/>
        <v>yes</v>
      </c>
      <c r="S1873" t="str">
        <f t="shared" si="59"/>
        <v>no</v>
      </c>
    </row>
    <row r="1874" spans="1:19" x14ac:dyDescent="0.35">
      <c r="A1874" s="1">
        <v>1872</v>
      </c>
      <c r="B1874" t="s">
        <v>829</v>
      </c>
      <c r="C1874" t="s">
        <v>549</v>
      </c>
      <c r="D1874" t="s">
        <v>764</v>
      </c>
      <c r="E1874">
        <v>4.3996790123456787E-2</v>
      </c>
      <c r="F1874">
        <v>5.4081384647754333E-3</v>
      </c>
      <c r="G1874">
        <v>27</v>
      </c>
      <c r="H1874" t="s">
        <v>58</v>
      </c>
      <c r="M1874">
        <v>5.4813067053007647E-2</v>
      </c>
      <c r="N1874">
        <v>3.3180513193905921E-2</v>
      </c>
      <c r="O1874">
        <v>2.163255385910173E-2</v>
      </c>
      <c r="P1874">
        <v>8.1352928387501446</v>
      </c>
      <c r="R1874" t="str">
        <f t="shared" si="58"/>
        <v>yes</v>
      </c>
      <c r="S1874" t="str">
        <f t="shared" si="59"/>
        <v>no</v>
      </c>
    </row>
    <row r="1875" spans="1:19" x14ac:dyDescent="0.35">
      <c r="A1875" s="1">
        <v>1873</v>
      </c>
      <c r="B1875" t="s">
        <v>829</v>
      </c>
      <c r="C1875" t="s">
        <v>549</v>
      </c>
      <c r="D1875" t="s">
        <v>765</v>
      </c>
      <c r="E1875">
        <v>4.1565308641975308E-2</v>
      </c>
      <c r="F1875">
        <v>5.1915712485878706E-3</v>
      </c>
      <c r="G1875">
        <v>27</v>
      </c>
      <c r="H1875" t="s">
        <v>58</v>
      </c>
      <c r="M1875">
        <v>5.1948451139151051E-2</v>
      </c>
      <c r="N1875">
        <v>3.1182166144799569E-2</v>
      </c>
      <c r="O1875">
        <v>2.0766284994351489E-2</v>
      </c>
      <c r="P1875">
        <v>8.0063061165309541</v>
      </c>
      <c r="R1875" t="str">
        <f t="shared" si="58"/>
        <v>yes</v>
      </c>
      <c r="S1875" t="str">
        <f t="shared" si="59"/>
        <v>no</v>
      </c>
    </row>
    <row r="1876" spans="1:19" x14ac:dyDescent="0.35">
      <c r="A1876" s="1">
        <v>1874</v>
      </c>
      <c r="B1876" t="s">
        <v>829</v>
      </c>
      <c r="C1876" t="s">
        <v>549</v>
      </c>
      <c r="D1876" t="s">
        <v>766</v>
      </c>
      <c r="E1876">
        <v>1.8033686419753081</v>
      </c>
      <c r="F1876">
        <v>4.2703443222781058E-3</v>
      </c>
      <c r="G1876">
        <v>27</v>
      </c>
      <c r="H1876" t="s">
        <v>58</v>
      </c>
      <c r="I1876">
        <v>1.62</v>
      </c>
      <c r="J1876">
        <v>1.98</v>
      </c>
      <c r="K1876">
        <v>1.8</v>
      </c>
      <c r="L1876">
        <v>0.35999999999999988</v>
      </c>
      <c r="M1876">
        <v>1.8119093306198639</v>
      </c>
      <c r="N1876">
        <v>1.7948279533307521</v>
      </c>
      <c r="O1876">
        <v>1.708137728911252E-2</v>
      </c>
      <c r="P1876">
        <v>422.30052330142382</v>
      </c>
      <c r="Q1876">
        <v>21.075583889213661</v>
      </c>
      <c r="R1876" t="str">
        <f t="shared" si="58"/>
        <v>yes</v>
      </c>
      <c r="S1876" t="str">
        <f t="shared" si="59"/>
        <v>yes</v>
      </c>
    </row>
    <row r="1877" spans="1:19" x14ac:dyDescent="0.35">
      <c r="A1877" s="1">
        <v>1875</v>
      </c>
      <c r="B1877" t="s">
        <v>829</v>
      </c>
      <c r="C1877" t="s">
        <v>549</v>
      </c>
      <c r="D1877" t="s">
        <v>767</v>
      </c>
      <c r="E1877">
        <v>3.2961604938271598E-2</v>
      </c>
      <c r="F1877">
        <v>8.614085618382207E-3</v>
      </c>
      <c r="G1877">
        <v>27</v>
      </c>
      <c r="H1877" t="s">
        <v>58</v>
      </c>
      <c r="M1877">
        <v>5.0189776175036012E-2</v>
      </c>
      <c r="N1877">
        <v>1.573343370150718E-2</v>
      </c>
      <c r="O1877">
        <v>3.4456342473528828E-2</v>
      </c>
      <c r="P1877">
        <v>3.8264775158413209</v>
      </c>
      <c r="R1877" t="str">
        <f t="shared" si="58"/>
        <v>yes</v>
      </c>
      <c r="S1877" t="str">
        <f t="shared" si="59"/>
        <v>no</v>
      </c>
    </row>
    <row r="1878" spans="1:19" x14ac:dyDescent="0.35">
      <c r="A1878" s="1">
        <v>1876</v>
      </c>
      <c r="B1878" t="s">
        <v>829</v>
      </c>
      <c r="C1878" t="s">
        <v>549</v>
      </c>
      <c r="D1878" t="s">
        <v>768</v>
      </c>
      <c r="E1878">
        <v>3.5377037037037033E-2</v>
      </c>
      <c r="F1878">
        <v>1.0029078016963341E-2</v>
      </c>
      <c r="G1878">
        <v>27</v>
      </c>
      <c r="H1878" t="s">
        <v>58</v>
      </c>
      <c r="M1878">
        <v>5.5435193070963708E-2</v>
      </c>
      <c r="N1878">
        <v>1.531888100311035E-2</v>
      </c>
      <c r="O1878">
        <v>4.0116312067853363E-2</v>
      </c>
      <c r="P1878">
        <v>3.5274465885298478</v>
      </c>
      <c r="R1878" t="str">
        <f t="shared" si="58"/>
        <v>yes</v>
      </c>
      <c r="S1878" t="str">
        <f t="shared" si="59"/>
        <v>no</v>
      </c>
    </row>
    <row r="1879" spans="1:19" x14ac:dyDescent="0.35">
      <c r="A1879" s="1">
        <v>1877</v>
      </c>
      <c r="B1879" t="s">
        <v>829</v>
      </c>
      <c r="C1879" t="s">
        <v>549</v>
      </c>
      <c r="D1879" t="s">
        <v>769</v>
      </c>
      <c r="E1879">
        <v>2.6925802469135798E-2</v>
      </c>
      <c r="F1879">
        <v>5.2162674219504964E-3</v>
      </c>
      <c r="G1879">
        <v>27</v>
      </c>
      <c r="H1879" t="s">
        <v>58</v>
      </c>
      <c r="M1879">
        <v>3.7358337313036789E-2</v>
      </c>
      <c r="N1879">
        <v>1.6493267625234811E-2</v>
      </c>
      <c r="O1879">
        <v>2.0865069687801979E-2</v>
      </c>
      <c r="P1879">
        <v>5.1618907335597353</v>
      </c>
      <c r="R1879" t="str">
        <f t="shared" si="58"/>
        <v>yes</v>
      </c>
      <c r="S1879" t="str">
        <f t="shared" si="59"/>
        <v>no</v>
      </c>
    </row>
    <row r="1880" spans="1:19" x14ac:dyDescent="0.35">
      <c r="A1880" s="1">
        <v>1878</v>
      </c>
      <c r="B1880" t="s">
        <v>829</v>
      </c>
      <c r="C1880" t="s">
        <v>549</v>
      </c>
      <c r="D1880" t="s">
        <v>770</v>
      </c>
      <c r="E1880">
        <v>7.244271604938271E-2</v>
      </c>
      <c r="F1880">
        <v>5.8354165075910659E-3</v>
      </c>
      <c r="G1880">
        <v>27</v>
      </c>
      <c r="H1880" t="s">
        <v>58</v>
      </c>
      <c r="M1880">
        <v>8.4113549064564835E-2</v>
      </c>
      <c r="N1880">
        <v>6.0771883034200579E-2</v>
      </c>
      <c r="O1880">
        <v>2.334166603036426E-2</v>
      </c>
      <c r="P1880">
        <v>12.41431797629952</v>
      </c>
      <c r="R1880" t="str">
        <f t="shared" si="58"/>
        <v>yes</v>
      </c>
      <c r="S1880" t="str">
        <f t="shared" si="59"/>
        <v>no</v>
      </c>
    </row>
    <row r="1881" spans="1:19" x14ac:dyDescent="0.35">
      <c r="A1881" s="1">
        <v>1879</v>
      </c>
      <c r="B1881" t="s">
        <v>829</v>
      </c>
      <c r="C1881" t="s">
        <v>549</v>
      </c>
      <c r="D1881" t="s">
        <v>771</v>
      </c>
      <c r="E1881">
        <v>3.982217654320988</v>
      </c>
      <c r="F1881">
        <v>9.7130019588917028E-3</v>
      </c>
      <c r="G1881">
        <v>27</v>
      </c>
      <c r="H1881" t="s">
        <v>58</v>
      </c>
      <c r="I1881">
        <v>3.6</v>
      </c>
      <c r="J1881">
        <v>4.4000000000000004</v>
      </c>
      <c r="K1881">
        <v>4</v>
      </c>
      <c r="L1881">
        <v>0.80000000000000027</v>
      </c>
      <c r="M1881">
        <v>4.0016436582387724</v>
      </c>
      <c r="N1881">
        <v>3.9627916504032039</v>
      </c>
      <c r="O1881">
        <v>3.8852007835567193E-2</v>
      </c>
      <c r="P1881">
        <v>409.9883507874199</v>
      </c>
      <c r="Q1881">
        <v>20.59095641558164</v>
      </c>
      <c r="R1881" t="str">
        <f t="shared" si="58"/>
        <v>yes</v>
      </c>
      <c r="S1881" t="str">
        <f t="shared" si="59"/>
        <v>yes</v>
      </c>
    </row>
    <row r="1882" spans="1:19" x14ac:dyDescent="0.35">
      <c r="A1882" s="1">
        <v>1880</v>
      </c>
      <c r="B1882" t="s">
        <v>829</v>
      </c>
      <c r="C1882" t="s">
        <v>549</v>
      </c>
      <c r="D1882" t="s">
        <v>772</v>
      </c>
      <c r="E1882">
        <v>3.694222222222223E-2</v>
      </c>
      <c r="F1882">
        <v>3.9720877687399719E-3</v>
      </c>
      <c r="G1882">
        <v>27</v>
      </c>
      <c r="H1882" t="s">
        <v>58</v>
      </c>
      <c r="M1882">
        <v>4.4886397759702171E-2</v>
      </c>
      <c r="N1882">
        <v>2.899804668474229E-2</v>
      </c>
      <c r="O1882">
        <v>1.5888351074959881E-2</v>
      </c>
      <c r="P1882">
        <v>9.300454665920201</v>
      </c>
      <c r="R1882" t="str">
        <f t="shared" si="58"/>
        <v>yes</v>
      </c>
      <c r="S1882" t="str">
        <f t="shared" si="59"/>
        <v>no</v>
      </c>
    </row>
    <row r="1883" spans="1:19" x14ac:dyDescent="0.35">
      <c r="A1883" s="1">
        <v>1881</v>
      </c>
      <c r="B1883" t="s">
        <v>829</v>
      </c>
      <c r="C1883" t="s">
        <v>549</v>
      </c>
      <c r="D1883" t="s">
        <v>773</v>
      </c>
      <c r="E1883">
        <v>4.3022592592592591E-2</v>
      </c>
      <c r="F1883">
        <v>4.6382023865415654E-3</v>
      </c>
      <c r="G1883">
        <v>27</v>
      </c>
      <c r="H1883" t="s">
        <v>58</v>
      </c>
      <c r="M1883">
        <v>5.2298997365675733E-2</v>
      </c>
      <c r="N1883">
        <v>3.3746187819509457E-2</v>
      </c>
      <c r="O1883">
        <v>1.8552809546166268E-2</v>
      </c>
      <c r="P1883">
        <v>9.2757040351298699</v>
      </c>
      <c r="R1883" t="str">
        <f t="shared" si="58"/>
        <v>yes</v>
      </c>
      <c r="S1883" t="str">
        <f t="shared" si="59"/>
        <v>no</v>
      </c>
    </row>
    <row r="1884" spans="1:19" x14ac:dyDescent="0.35">
      <c r="A1884" s="1">
        <v>1882</v>
      </c>
      <c r="B1884" t="s">
        <v>829</v>
      </c>
      <c r="C1884" t="s">
        <v>549</v>
      </c>
      <c r="D1884" t="s">
        <v>774</v>
      </c>
      <c r="E1884">
        <v>3.6496296296296298E-2</v>
      </c>
      <c r="F1884">
        <v>5.04994497100336E-3</v>
      </c>
      <c r="G1884">
        <v>27</v>
      </c>
      <c r="H1884" t="s">
        <v>58</v>
      </c>
      <c r="M1884">
        <v>4.6596186238303007E-2</v>
      </c>
      <c r="N1884">
        <v>2.6396406354289581E-2</v>
      </c>
      <c r="O1884">
        <v>2.019977988401344E-2</v>
      </c>
      <c r="P1884">
        <v>7.2270681177432614</v>
      </c>
      <c r="R1884" t="str">
        <f t="shared" si="58"/>
        <v>yes</v>
      </c>
      <c r="S1884" t="str">
        <f t="shared" si="59"/>
        <v>no</v>
      </c>
    </row>
    <row r="1885" spans="1:19" x14ac:dyDescent="0.35">
      <c r="A1885" s="1">
        <v>1883</v>
      </c>
      <c r="B1885" t="s">
        <v>829</v>
      </c>
      <c r="C1885" t="s">
        <v>549</v>
      </c>
      <c r="D1885" t="s">
        <v>775</v>
      </c>
      <c r="E1885">
        <v>3.4861728395061738E-3</v>
      </c>
      <c r="F1885">
        <v>2.1136107263599992E-3</v>
      </c>
      <c r="G1885">
        <v>27</v>
      </c>
      <c r="H1885" t="s">
        <v>58</v>
      </c>
      <c r="M1885">
        <v>7.7133942922261722E-3</v>
      </c>
      <c r="N1885">
        <v>-7.4104861321382456E-4</v>
      </c>
      <c r="O1885">
        <v>8.4544429054399968E-3</v>
      </c>
      <c r="P1885">
        <v>1.649392102352718</v>
      </c>
      <c r="R1885" t="str">
        <f t="shared" si="58"/>
        <v>yes</v>
      </c>
      <c r="S1885" t="str">
        <f t="shared" si="59"/>
        <v>no</v>
      </c>
    </row>
    <row r="1886" spans="1:19" x14ac:dyDescent="0.35">
      <c r="A1886" s="1">
        <v>1884</v>
      </c>
      <c r="B1886" t="s">
        <v>829</v>
      </c>
      <c r="C1886" t="s">
        <v>549</v>
      </c>
      <c r="D1886" t="s">
        <v>776</v>
      </c>
      <c r="E1886">
        <v>0.9950608641975307</v>
      </c>
      <c r="F1886">
        <v>2.359030916599844E-3</v>
      </c>
      <c r="G1886">
        <v>27</v>
      </c>
      <c r="H1886" t="s">
        <v>58</v>
      </c>
      <c r="I1886">
        <v>0.85</v>
      </c>
      <c r="J1886">
        <v>1.2</v>
      </c>
      <c r="K1886">
        <v>1.0249999999999999</v>
      </c>
      <c r="L1886">
        <v>0.35</v>
      </c>
      <c r="M1886">
        <v>0.99977892603073037</v>
      </c>
      <c r="N1886">
        <v>0.99034280236433103</v>
      </c>
      <c r="O1886">
        <v>9.4361236663993431E-3</v>
      </c>
      <c r="P1886">
        <v>421.80916629602621</v>
      </c>
      <c r="Q1886">
        <v>37.091502016479367</v>
      </c>
      <c r="R1886" t="str">
        <f t="shared" si="58"/>
        <v>yes</v>
      </c>
      <c r="S1886" t="str">
        <f t="shared" si="59"/>
        <v>yes</v>
      </c>
    </row>
    <row r="1887" spans="1:19" x14ac:dyDescent="0.35">
      <c r="A1887" s="1">
        <v>1885</v>
      </c>
      <c r="B1887" t="s">
        <v>829</v>
      </c>
      <c r="C1887" t="s">
        <v>549</v>
      </c>
      <c r="D1887" t="s">
        <v>777</v>
      </c>
      <c r="E1887">
        <v>2.7129629629629639E-3</v>
      </c>
      <c r="F1887">
        <v>2.0818020889629232E-3</v>
      </c>
      <c r="G1887">
        <v>27</v>
      </c>
      <c r="H1887" t="s">
        <v>58</v>
      </c>
      <c r="M1887">
        <v>6.8765671408888103E-3</v>
      </c>
      <c r="N1887">
        <v>-1.450641214962882E-3</v>
      </c>
      <c r="O1887">
        <v>8.3272083558516927E-3</v>
      </c>
      <c r="P1887">
        <v>1.303180056041956</v>
      </c>
      <c r="R1887" t="str">
        <f t="shared" si="58"/>
        <v>yes</v>
      </c>
      <c r="S1887" t="str">
        <f t="shared" si="59"/>
        <v>no</v>
      </c>
    </row>
    <row r="1888" spans="1:19" x14ac:dyDescent="0.35">
      <c r="A1888" s="1">
        <v>1886</v>
      </c>
      <c r="B1888" t="s">
        <v>829</v>
      </c>
      <c r="C1888" t="s">
        <v>549</v>
      </c>
      <c r="D1888" t="s">
        <v>778</v>
      </c>
      <c r="E1888">
        <v>1.501025432098765</v>
      </c>
      <c r="F1888">
        <v>3.3557772110269909E-3</v>
      </c>
      <c r="G1888">
        <v>27</v>
      </c>
      <c r="H1888" t="s">
        <v>58</v>
      </c>
      <c r="I1888">
        <v>1.35</v>
      </c>
      <c r="J1888">
        <v>1.65</v>
      </c>
      <c r="K1888">
        <v>1.5</v>
      </c>
      <c r="L1888">
        <v>0.29999999999999982</v>
      </c>
      <c r="M1888">
        <v>1.507736986520819</v>
      </c>
      <c r="N1888">
        <v>1.4943138776767111</v>
      </c>
      <c r="O1888">
        <v>1.342310884410791E-2</v>
      </c>
      <c r="P1888">
        <v>447.29591319901601</v>
      </c>
      <c r="Q1888">
        <v>22.349517051832979</v>
      </c>
      <c r="R1888" t="str">
        <f t="shared" si="58"/>
        <v>yes</v>
      </c>
      <c r="S1888" t="str">
        <f t="shared" si="59"/>
        <v>yes</v>
      </c>
    </row>
    <row r="1889" spans="1:19" x14ac:dyDescent="0.35">
      <c r="A1889" s="1">
        <v>1887</v>
      </c>
      <c r="B1889" t="s">
        <v>829</v>
      </c>
      <c r="C1889" t="s">
        <v>549</v>
      </c>
      <c r="D1889" t="s">
        <v>779</v>
      </c>
      <c r="E1889">
        <v>2.5413950617283951E-2</v>
      </c>
      <c r="F1889">
        <v>3.310986360455276E-3</v>
      </c>
      <c r="G1889">
        <v>27</v>
      </c>
      <c r="H1889" t="s">
        <v>58</v>
      </c>
      <c r="M1889">
        <v>3.2035923338194501E-2</v>
      </c>
      <c r="N1889">
        <v>1.87919778963734E-2</v>
      </c>
      <c r="O1889">
        <v>1.3243945441821101E-2</v>
      </c>
      <c r="P1889">
        <v>7.6756434036742496</v>
      </c>
      <c r="R1889" t="str">
        <f t="shared" si="58"/>
        <v>yes</v>
      </c>
      <c r="S1889" t="str">
        <f t="shared" si="59"/>
        <v>no</v>
      </c>
    </row>
    <row r="1890" spans="1:19" x14ac:dyDescent="0.35">
      <c r="A1890" s="1">
        <v>1888</v>
      </c>
      <c r="B1890" t="s">
        <v>829</v>
      </c>
      <c r="C1890" t="s">
        <v>549</v>
      </c>
      <c r="D1890" t="s">
        <v>780</v>
      </c>
      <c r="E1890">
        <v>35.913449629629639</v>
      </c>
      <c r="F1890">
        <v>0.1058341378245686</v>
      </c>
      <c r="G1890">
        <v>27</v>
      </c>
      <c r="H1890" t="s">
        <v>58</v>
      </c>
      <c r="I1890">
        <v>34.5</v>
      </c>
      <c r="J1890">
        <v>37</v>
      </c>
      <c r="K1890">
        <v>35.75</v>
      </c>
      <c r="L1890">
        <v>2.5</v>
      </c>
      <c r="M1890">
        <v>36.125117905278778</v>
      </c>
      <c r="N1890">
        <v>35.7017813539805</v>
      </c>
      <c r="O1890">
        <v>0.42333655129827719</v>
      </c>
      <c r="P1890">
        <v>339.33710207154542</v>
      </c>
      <c r="Q1890">
        <v>5.9054669206641073</v>
      </c>
      <c r="R1890" t="str">
        <f t="shared" si="58"/>
        <v>yes</v>
      </c>
      <c r="S1890" t="str">
        <f t="shared" si="59"/>
        <v>yes</v>
      </c>
    </row>
    <row r="1891" spans="1:19" x14ac:dyDescent="0.35">
      <c r="A1891" s="1">
        <v>1889</v>
      </c>
      <c r="B1891" t="s">
        <v>829</v>
      </c>
      <c r="C1891" t="s">
        <v>549</v>
      </c>
      <c r="D1891" t="s">
        <v>781</v>
      </c>
      <c r="E1891">
        <v>3.8853086419753089E-3</v>
      </c>
      <c r="F1891">
        <v>1.6075366224980331E-3</v>
      </c>
      <c r="G1891">
        <v>27</v>
      </c>
      <c r="H1891" t="s">
        <v>58</v>
      </c>
      <c r="M1891">
        <v>7.100381886971375E-3</v>
      </c>
      <c r="N1891">
        <v>6.7023539697924281E-4</v>
      </c>
      <c r="O1891">
        <v>6.4301464899921322E-3</v>
      </c>
      <c r="P1891">
        <v>2.416933205501552</v>
      </c>
      <c r="R1891" t="str">
        <f t="shared" si="58"/>
        <v>yes</v>
      </c>
      <c r="S1891" t="str">
        <f t="shared" si="59"/>
        <v>no</v>
      </c>
    </row>
    <row r="1892" spans="1:19" x14ac:dyDescent="0.35">
      <c r="A1892" s="1">
        <v>1890</v>
      </c>
      <c r="B1892" t="s">
        <v>829</v>
      </c>
      <c r="C1892" t="s">
        <v>549</v>
      </c>
      <c r="D1892" t="s">
        <v>782</v>
      </c>
      <c r="E1892">
        <v>0.99720259259259236</v>
      </c>
      <c r="F1892">
        <v>1.481250772538823E-3</v>
      </c>
      <c r="G1892">
        <v>27</v>
      </c>
      <c r="H1892" t="s">
        <v>58</v>
      </c>
      <c r="I1892">
        <v>0.85</v>
      </c>
      <c r="J1892">
        <v>1.2</v>
      </c>
      <c r="K1892">
        <v>1.0249999999999999</v>
      </c>
      <c r="L1892">
        <v>0.35</v>
      </c>
      <c r="M1892">
        <v>1.0001650941376701</v>
      </c>
      <c r="N1892">
        <v>0.99424009104751476</v>
      </c>
      <c r="O1892">
        <v>5.9250030901553119E-3</v>
      </c>
      <c r="P1892">
        <v>673.21658903401931</v>
      </c>
      <c r="Q1892">
        <v>59.071699149244743</v>
      </c>
      <c r="R1892" t="str">
        <f t="shared" si="58"/>
        <v>yes</v>
      </c>
      <c r="S1892" t="str">
        <f t="shared" si="59"/>
        <v>yes</v>
      </c>
    </row>
    <row r="1893" spans="1:19" x14ac:dyDescent="0.35">
      <c r="A1893" s="1">
        <v>1891</v>
      </c>
      <c r="B1893" t="s">
        <v>829</v>
      </c>
      <c r="C1893" t="s">
        <v>549</v>
      </c>
      <c r="D1893" t="s">
        <v>783</v>
      </c>
      <c r="E1893">
        <v>2.7176543209876539E-3</v>
      </c>
      <c r="F1893">
        <v>1.75240141795562E-3</v>
      </c>
      <c r="G1893">
        <v>27</v>
      </c>
      <c r="H1893" t="s">
        <v>58</v>
      </c>
      <c r="M1893">
        <v>6.2224571568988939E-3</v>
      </c>
      <c r="N1893">
        <v>-7.8714851492358608E-4</v>
      </c>
      <c r="O1893">
        <v>7.0096056718224799E-3</v>
      </c>
      <c r="P1893">
        <v>1.5508172346482769</v>
      </c>
      <c r="R1893" t="str">
        <f t="shared" si="58"/>
        <v>yes</v>
      </c>
      <c r="S1893" t="str">
        <f t="shared" si="59"/>
        <v>no</v>
      </c>
    </row>
    <row r="1894" spans="1:19" x14ac:dyDescent="0.35">
      <c r="A1894" s="1">
        <v>1892</v>
      </c>
      <c r="B1894" t="s">
        <v>829</v>
      </c>
      <c r="C1894" t="s">
        <v>549</v>
      </c>
      <c r="D1894" t="s">
        <v>784</v>
      </c>
      <c r="E1894">
        <v>1.502266049382716</v>
      </c>
      <c r="F1894">
        <v>6.3116828007806084E-3</v>
      </c>
      <c r="G1894">
        <v>27</v>
      </c>
      <c r="H1894" t="s">
        <v>58</v>
      </c>
      <c r="I1894">
        <v>1.35</v>
      </c>
      <c r="J1894">
        <v>1.65</v>
      </c>
      <c r="K1894">
        <v>1.5</v>
      </c>
      <c r="L1894">
        <v>0.29999999999999982</v>
      </c>
      <c r="M1894">
        <v>1.5148894149842771</v>
      </c>
      <c r="N1894">
        <v>1.4896426837811549</v>
      </c>
      <c r="O1894">
        <v>2.52467312031226E-2</v>
      </c>
      <c r="P1894">
        <v>238.01355308871359</v>
      </c>
      <c r="Q1894">
        <v>11.88272642451609</v>
      </c>
      <c r="R1894" t="str">
        <f t="shared" si="58"/>
        <v>yes</v>
      </c>
      <c r="S1894" t="str">
        <f t="shared" si="59"/>
        <v>yes</v>
      </c>
    </row>
    <row r="1895" spans="1:19" x14ac:dyDescent="0.35">
      <c r="A1895" s="1">
        <v>1893</v>
      </c>
      <c r="B1895" t="s">
        <v>829</v>
      </c>
      <c r="C1895" t="s">
        <v>549</v>
      </c>
      <c r="D1895" t="s">
        <v>785</v>
      </c>
      <c r="E1895">
        <v>2.283913580246914E-2</v>
      </c>
      <c r="F1895">
        <v>3.5597797337563052E-3</v>
      </c>
      <c r="G1895">
        <v>27</v>
      </c>
      <c r="H1895" t="s">
        <v>58</v>
      </c>
      <c r="M1895">
        <v>2.9958695269981749E-2</v>
      </c>
      <c r="N1895">
        <v>1.571957633495653E-2</v>
      </c>
      <c r="O1895">
        <v>1.4239118935025221E-2</v>
      </c>
      <c r="P1895">
        <v>6.4158845520391568</v>
      </c>
      <c r="R1895" t="str">
        <f t="shared" si="58"/>
        <v>yes</v>
      </c>
      <c r="S1895" t="str">
        <f t="shared" si="59"/>
        <v>no</v>
      </c>
    </row>
    <row r="1896" spans="1:19" x14ac:dyDescent="0.35">
      <c r="A1896" s="1">
        <v>1894</v>
      </c>
      <c r="B1896" t="s">
        <v>829</v>
      </c>
      <c r="C1896" t="s">
        <v>549</v>
      </c>
      <c r="D1896" t="s">
        <v>786</v>
      </c>
      <c r="E1896">
        <v>35.96123469135803</v>
      </c>
      <c r="F1896">
        <v>7.929976926534052E-2</v>
      </c>
      <c r="G1896">
        <v>27</v>
      </c>
      <c r="H1896" t="s">
        <v>58</v>
      </c>
      <c r="I1896">
        <v>34.5</v>
      </c>
      <c r="J1896">
        <v>37</v>
      </c>
      <c r="K1896">
        <v>35.75</v>
      </c>
      <c r="L1896">
        <v>2.5</v>
      </c>
      <c r="M1896">
        <v>36.11983422988871</v>
      </c>
      <c r="N1896">
        <v>35.802635152827349</v>
      </c>
      <c r="O1896">
        <v>0.31719907706136041</v>
      </c>
      <c r="P1896">
        <v>453.48473298869447</v>
      </c>
      <c r="Q1896">
        <v>7.8814857318023934</v>
      </c>
      <c r="R1896" t="str">
        <f t="shared" si="58"/>
        <v>yes</v>
      </c>
      <c r="S1896" t="str">
        <f t="shared" si="59"/>
        <v>yes</v>
      </c>
    </row>
    <row r="1897" spans="1:19" x14ac:dyDescent="0.35">
      <c r="A1897" s="1">
        <v>1895</v>
      </c>
      <c r="B1897" t="s">
        <v>829</v>
      </c>
      <c r="C1897" t="s">
        <v>549</v>
      </c>
      <c r="D1897" t="s">
        <v>787</v>
      </c>
      <c r="E1897">
        <v>3.6971604938271611E-3</v>
      </c>
      <c r="F1897">
        <v>2.1748881234390578E-3</v>
      </c>
      <c r="G1897">
        <v>27</v>
      </c>
      <c r="H1897" t="s">
        <v>58</v>
      </c>
      <c r="M1897">
        <v>8.046936740705276E-3</v>
      </c>
      <c r="N1897">
        <v>-6.5261575305095455E-4</v>
      </c>
      <c r="O1897">
        <v>8.6995524937562296E-3</v>
      </c>
      <c r="P1897">
        <v>1.6999313454252529</v>
      </c>
      <c r="R1897" t="str">
        <f t="shared" si="58"/>
        <v>yes</v>
      </c>
      <c r="S1897" t="str">
        <f t="shared" si="59"/>
        <v>no</v>
      </c>
    </row>
    <row r="1898" spans="1:19" x14ac:dyDescent="0.35">
      <c r="A1898" s="1">
        <v>1896</v>
      </c>
      <c r="B1898" t="s">
        <v>829</v>
      </c>
      <c r="C1898" t="s">
        <v>549</v>
      </c>
      <c r="D1898" t="s">
        <v>788</v>
      </c>
      <c r="E1898">
        <v>0.9945477777777777</v>
      </c>
      <c r="F1898">
        <v>3.0509058872537679E-3</v>
      </c>
      <c r="G1898">
        <v>27</v>
      </c>
      <c r="H1898" t="s">
        <v>58</v>
      </c>
      <c r="I1898">
        <v>0.85</v>
      </c>
      <c r="J1898">
        <v>1.2</v>
      </c>
      <c r="K1898">
        <v>1.0249999999999999</v>
      </c>
      <c r="L1898">
        <v>0.35</v>
      </c>
      <c r="M1898">
        <v>1.0006495895522849</v>
      </c>
      <c r="N1898">
        <v>0.98844596600327017</v>
      </c>
      <c r="O1898">
        <v>1.220362354901516E-2</v>
      </c>
      <c r="P1898">
        <v>325.98441726205021</v>
      </c>
      <c r="Q1898">
        <v>28.680006277991509</v>
      </c>
      <c r="R1898" t="str">
        <f t="shared" si="58"/>
        <v>yes</v>
      </c>
      <c r="S1898" t="str">
        <f t="shared" si="59"/>
        <v>yes</v>
      </c>
    </row>
    <row r="1899" spans="1:19" x14ac:dyDescent="0.35">
      <c r="A1899" s="1">
        <v>1897</v>
      </c>
      <c r="B1899" t="s">
        <v>829</v>
      </c>
      <c r="C1899" t="s">
        <v>549</v>
      </c>
      <c r="D1899" t="s">
        <v>789</v>
      </c>
      <c r="E1899">
        <v>2.2572839506172851E-3</v>
      </c>
      <c r="F1899">
        <v>1.5099562082666099E-3</v>
      </c>
      <c r="G1899">
        <v>27</v>
      </c>
      <c r="H1899" t="s">
        <v>58</v>
      </c>
      <c r="M1899">
        <v>5.2771963671505049E-3</v>
      </c>
      <c r="N1899">
        <v>-7.6262846591593474E-4</v>
      </c>
      <c r="O1899">
        <v>6.0398248330664397E-3</v>
      </c>
      <c r="P1899">
        <v>1.4949333883057361</v>
      </c>
      <c r="R1899" t="str">
        <f t="shared" si="58"/>
        <v>yes</v>
      </c>
      <c r="S1899" t="str">
        <f t="shared" si="59"/>
        <v>no</v>
      </c>
    </row>
    <row r="1900" spans="1:19" x14ac:dyDescent="0.35">
      <c r="A1900" s="1">
        <v>1898</v>
      </c>
      <c r="B1900" t="s">
        <v>829</v>
      </c>
      <c r="C1900" t="s">
        <v>549</v>
      </c>
      <c r="D1900" t="s">
        <v>790</v>
      </c>
      <c r="E1900">
        <v>1.499190987654321</v>
      </c>
      <c r="F1900">
        <v>4.1490324427402442E-3</v>
      </c>
      <c r="G1900">
        <v>27</v>
      </c>
      <c r="H1900" t="s">
        <v>58</v>
      </c>
      <c r="I1900">
        <v>1.35</v>
      </c>
      <c r="J1900">
        <v>1.65</v>
      </c>
      <c r="K1900">
        <v>1.5</v>
      </c>
      <c r="L1900">
        <v>0.29999999999999982</v>
      </c>
      <c r="M1900">
        <v>1.507489052539801</v>
      </c>
      <c r="N1900">
        <v>1.490892922768841</v>
      </c>
      <c r="O1900">
        <v>1.6596129770960921E-2</v>
      </c>
      <c r="P1900">
        <v>361.33508434659882</v>
      </c>
      <c r="Q1900">
        <v>18.076503627063989</v>
      </c>
      <c r="R1900" t="str">
        <f t="shared" si="58"/>
        <v>yes</v>
      </c>
      <c r="S1900" t="str">
        <f t="shared" si="59"/>
        <v>yes</v>
      </c>
    </row>
    <row r="1901" spans="1:19" x14ac:dyDescent="0.35">
      <c r="A1901" s="1">
        <v>1899</v>
      </c>
      <c r="B1901" t="s">
        <v>829</v>
      </c>
      <c r="C1901" t="s">
        <v>549</v>
      </c>
      <c r="D1901" t="s">
        <v>791</v>
      </c>
      <c r="E1901">
        <v>2.1940864197530861E-2</v>
      </c>
      <c r="F1901">
        <v>2.785769783477359E-3</v>
      </c>
      <c r="G1901">
        <v>27</v>
      </c>
      <c r="H1901" t="s">
        <v>58</v>
      </c>
      <c r="M1901">
        <v>2.751240376448558E-2</v>
      </c>
      <c r="N1901">
        <v>1.6369324630576141E-2</v>
      </c>
      <c r="O1901">
        <v>1.1143079133909431E-2</v>
      </c>
      <c r="P1901">
        <v>7.8760507518115892</v>
      </c>
      <c r="R1901" t="str">
        <f t="shared" si="58"/>
        <v>yes</v>
      </c>
      <c r="S1901" t="str">
        <f t="shared" si="59"/>
        <v>no</v>
      </c>
    </row>
    <row r="1902" spans="1:19" x14ac:dyDescent="0.35">
      <c r="A1902" s="1">
        <v>1900</v>
      </c>
      <c r="B1902" t="s">
        <v>829</v>
      </c>
      <c r="C1902" t="s">
        <v>549</v>
      </c>
      <c r="D1902" t="s">
        <v>792</v>
      </c>
      <c r="E1902">
        <v>35.845508518518507</v>
      </c>
      <c r="F1902">
        <v>9.2902910047585024E-2</v>
      </c>
      <c r="G1902">
        <v>27</v>
      </c>
      <c r="H1902" t="s">
        <v>58</v>
      </c>
      <c r="I1902">
        <v>34.5</v>
      </c>
      <c r="J1902">
        <v>37</v>
      </c>
      <c r="K1902">
        <v>35.75</v>
      </c>
      <c r="L1902">
        <v>2.5</v>
      </c>
      <c r="M1902">
        <v>36.031314338613683</v>
      </c>
      <c r="N1902">
        <v>35.659702698423338</v>
      </c>
      <c r="O1902">
        <v>0.37161164019033782</v>
      </c>
      <c r="P1902">
        <v>385.83838224398329</v>
      </c>
      <c r="Q1902">
        <v>6.7274534207795851</v>
      </c>
      <c r="R1902" t="str">
        <f t="shared" si="58"/>
        <v>yes</v>
      </c>
      <c r="S1902" t="str">
        <f t="shared" si="59"/>
        <v>yes</v>
      </c>
    </row>
    <row r="1903" spans="1:19" x14ac:dyDescent="0.35">
      <c r="A1903" s="1">
        <v>1901</v>
      </c>
      <c r="B1903" t="s">
        <v>829</v>
      </c>
      <c r="C1903" t="s">
        <v>549</v>
      </c>
      <c r="D1903" t="s">
        <v>793</v>
      </c>
      <c r="E1903">
        <v>1.8026111111111109</v>
      </c>
      <c r="F1903">
        <v>4.5370452304047586E-3</v>
      </c>
      <c r="G1903">
        <v>27</v>
      </c>
      <c r="H1903" t="s">
        <v>58</v>
      </c>
      <c r="I1903">
        <v>1.62</v>
      </c>
      <c r="J1903">
        <v>1.98</v>
      </c>
      <c r="K1903">
        <v>1.8</v>
      </c>
      <c r="L1903">
        <v>0.35999999999999988</v>
      </c>
      <c r="M1903">
        <v>1.81168520157192</v>
      </c>
      <c r="N1903">
        <v>1.793537020650301</v>
      </c>
      <c r="O1903">
        <v>1.8148180921619069E-2</v>
      </c>
      <c r="P1903">
        <v>397.30948658633861</v>
      </c>
      <c r="Q1903">
        <v>19.836698871077971</v>
      </c>
      <c r="R1903" t="str">
        <f t="shared" si="58"/>
        <v>yes</v>
      </c>
      <c r="S1903" t="str">
        <f t="shared" si="59"/>
        <v>yes</v>
      </c>
    </row>
    <row r="1904" spans="1:19" x14ac:dyDescent="0.35">
      <c r="A1904" s="1">
        <v>1902</v>
      </c>
      <c r="B1904" t="s">
        <v>829</v>
      </c>
      <c r="C1904" t="s">
        <v>549</v>
      </c>
      <c r="D1904" t="s">
        <v>794</v>
      </c>
      <c r="E1904">
        <v>3.5666049382716038E-2</v>
      </c>
      <c r="F1904">
        <v>3.8414216595632649E-3</v>
      </c>
      <c r="G1904">
        <v>27</v>
      </c>
      <c r="H1904" t="s">
        <v>58</v>
      </c>
      <c r="M1904">
        <v>4.334889270184257E-2</v>
      </c>
      <c r="N1904">
        <v>2.7983206063589509E-2</v>
      </c>
      <c r="O1904">
        <v>1.536568663825306E-2</v>
      </c>
      <c r="P1904">
        <v>9.2845963144725303</v>
      </c>
      <c r="R1904" t="str">
        <f t="shared" si="58"/>
        <v>yes</v>
      </c>
      <c r="S1904" t="str">
        <f t="shared" si="59"/>
        <v>no</v>
      </c>
    </row>
    <row r="1905" spans="1:19" x14ac:dyDescent="0.35">
      <c r="A1905" s="1">
        <v>1903</v>
      </c>
      <c r="B1905" t="s">
        <v>829</v>
      </c>
      <c r="C1905" t="s">
        <v>549</v>
      </c>
      <c r="D1905" t="s">
        <v>795</v>
      </c>
      <c r="E1905">
        <v>3.9772222222222223E-2</v>
      </c>
      <c r="F1905">
        <v>9.0381382086188421E-3</v>
      </c>
      <c r="G1905">
        <v>27</v>
      </c>
      <c r="H1905" t="s">
        <v>58</v>
      </c>
      <c r="M1905">
        <v>5.7848498639459907E-2</v>
      </c>
      <c r="N1905">
        <v>2.1695945804984539E-2</v>
      </c>
      <c r="O1905">
        <v>3.6152552834475368E-2</v>
      </c>
      <c r="P1905">
        <v>4.4004883864571918</v>
      </c>
      <c r="R1905" t="str">
        <f t="shared" si="58"/>
        <v>yes</v>
      </c>
      <c r="S1905" t="str">
        <f t="shared" si="59"/>
        <v>no</v>
      </c>
    </row>
    <row r="1906" spans="1:19" x14ac:dyDescent="0.35">
      <c r="A1906" s="1">
        <v>1904</v>
      </c>
      <c r="B1906" t="s">
        <v>829</v>
      </c>
      <c r="C1906" t="s">
        <v>549</v>
      </c>
      <c r="D1906" t="s">
        <v>796</v>
      </c>
      <c r="E1906">
        <v>3.258802469135802E-2</v>
      </c>
      <c r="F1906">
        <v>5.9918096156845093E-3</v>
      </c>
      <c r="G1906">
        <v>27</v>
      </c>
      <c r="H1906" t="s">
        <v>58</v>
      </c>
      <c r="M1906">
        <v>4.4571643922727042E-2</v>
      </c>
      <c r="N1906">
        <v>2.0604405459989001E-2</v>
      </c>
      <c r="O1906">
        <v>2.3967238462738041E-2</v>
      </c>
      <c r="P1906">
        <v>5.4387617066559848</v>
      </c>
      <c r="R1906" t="str">
        <f t="shared" si="58"/>
        <v>yes</v>
      </c>
      <c r="S1906" t="str">
        <f t="shared" si="59"/>
        <v>no</v>
      </c>
    </row>
    <row r="1907" spans="1:19" x14ac:dyDescent="0.35">
      <c r="A1907" s="1">
        <v>1905</v>
      </c>
      <c r="B1907" t="s">
        <v>829</v>
      </c>
      <c r="C1907" t="s">
        <v>549</v>
      </c>
      <c r="D1907" t="s">
        <v>797</v>
      </c>
      <c r="E1907">
        <v>7.3556913580246908E-2</v>
      </c>
      <c r="F1907">
        <v>5.6027980679162837E-3</v>
      </c>
      <c r="G1907">
        <v>27</v>
      </c>
      <c r="H1907" t="s">
        <v>58</v>
      </c>
      <c r="M1907">
        <v>8.4762509716079473E-2</v>
      </c>
      <c r="N1907">
        <v>6.2351317444414342E-2</v>
      </c>
      <c r="O1907">
        <v>2.2411192271665131E-2</v>
      </c>
      <c r="P1907">
        <v>13.128603367210619</v>
      </c>
      <c r="R1907" t="str">
        <f t="shared" si="58"/>
        <v>yes</v>
      </c>
      <c r="S1907" t="str">
        <f t="shared" si="59"/>
        <v>no</v>
      </c>
    </row>
    <row r="1908" spans="1:19" x14ac:dyDescent="0.35">
      <c r="A1908" s="1">
        <v>1906</v>
      </c>
      <c r="B1908" t="s">
        <v>829</v>
      </c>
      <c r="C1908" t="s">
        <v>549</v>
      </c>
      <c r="D1908" t="s">
        <v>798</v>
      </c>
      <c r="E1908">
        <v>3.97038901234568</v>
      </c>
      <c r="F1908">
        <v>1.3397270493696999E-2</v>
      </c>
      <c r="G1908">
        <v>27</v>
      </c>
      <c r="H1908" t="s">
        <v>58</v>
      </c>
      <c r="I1908">
        <v>3.6</v>
      </c>
      <c r="J1908">
        <v>4.4000000000000004</v>
      </c>
      <c r="K1908">
        <v>4</v>
      </c>
      <c r="L1908">
        <v>0.80000000000000027</v>
      </c>
      <c r="M1908">
        <v>3.9971835533330742</v>
      </c>
      <c r="N1908">
        <v>3.9435944713582858</v>
      </c>
      <c r="O1908">
        <v>5.35890819747884E-2</v>
      </c>
      <c r="P1908">
        <v>296.35805399417927</v>
      </c>
      <c r="Q1908">
        <v>14.928413970151039</v>
      </c>
      <c r="R1908" t="str">
        <f t="shared" si="58"/>
        <v>yes</v>
      </c>
      <c r="S1908" t="str">
        <f t="shared" si="59"/>
        <v>yes</v>
      </c>
    </row>
    <row r="1909" spans="1:19" x14ac:dyDescent="0.35">
      <c r="A1909" s="1">
        <v>1907</v>
      </c>
      <c r="B1909" t="s">
        <v>829</v>
      </c>
      <c r="C1909" t="s">
        <v>549</v>
      </c>
      <c r="D1909" t="s">
        <v>799</v>
      </c>
      <c r="E1909">
        <v>3.8205432098765438E-2</v>
      </c>
      <c r="F1909">
        <v>5.3290829481102463E-3</v>
      </c>
      <c r="G1909">
        <v>27</v>
      </c>
      <c r="H1909" t="s">
        <v>58</v>
      </c>
      <c r="M1909">
        <v>4.8863597994985929E-2</v>
      </c>
      <c r="N1909">
        <v>2.754726620254495E-2</v>
      </c>
      <c r="O1909">
        <v>2.1316331792440978E-2</v>
      </c>
      <c r="P1909">
        <v>7.169232018111769</v>
      </c>
      <c r="R1909" t="str">
        <f t="shared" si="58"/>
        <v>yes</v>
      </c>
      <c r="S1909" t="str">
        <f t="shared" si="59"/>
        <v>no</v>
      </c>
    </row>
    <row r="1910" spans="1:19" x14ac:dyDescent="0.35">
      <c r="A1910" s="1">
        <v>1908</v>
      </c>
      <c r="B1910" t="s">
        <v>829</v>
      </c>
      <c r="C1910" t="s">
        <v>549</v>
      </c>
      <c r="D1910" t="s">
        <v>800</v>
      </c>
      <c r="E1910">
        <v>4.06962962962963E-2</v>
      </c>
      <c r="F1910">
        <v>7.5134578551073854E-3</v>
      </c>
      <c r="G1910">
        <v>27</v>
      </c>
      <c r="H1910" t="s">
        <v>58</v>
      </c>
      <c r="M1910">
        <v>5.5723212006511071E-2</v>
      </c>
      <c r="N1910">
        <v>2.5669380586081529E-2</v>
      </c>
      <c r="O1910">
        <v>3.0053831420429541E-2</v>
      </c>
      <c r="P1910">
        <v>5.4164536596997586</v>
      </c>
      <c r="R1910" t="str">
        <f t="shared" si="58"/>
        <v>yes</v>
      </c>
      <c r="S1910" t="str">
        <f t="shared" si="59"/>
        <v>no</v>
      </c>
    </row>
    <row r="1911" spans="1:19" x14ac:dyDescent="0.35">
      <c r="A1911" s="1">
        <v>1909</v>
      </c>
      <c r="B1911" t="s">
        <v>829</v>
      </c>
      <c r="C1911" t="s">
        <v>549</v>
      </c>
      <c r="D1911" t="s">
        <v>801</v>
      </c>
      <c r="E1911">
        <v>3.9678024691358033E-2</v>
      </c>
      <c r="F1911">
        <v>5.7978791850327093E-3</v>
      </c>
      <c r="G1911">
        <v>27</v>
      </c>
      <c r="H1911" t="s">
        <v>58</v>
      </c>
      <c r="M1911">
        <v>5.1273783061423453E-2</v>
      </c>
      <c r="N1911">
        <v>2.8082266321292609E-2</v>
      </c>
      <c r="O1911">
        <v>2.3191516740130841E-2</v>
      </c>
      <c r="P1911">
        <v>6.8435411337627219</v>
      </c>
      <c r="R1911" t="str">
        <f t="shared" si="58"/>
        <v>yes</v>
      </c>
      <c r="S1911" t="str">
        <f t="shared" si="59"/>
        <v>no</v>
      </c>
    </row>
    <row r="1912" spans="1:19" x14ac:dyDescent="0.35">
      <c r="A1912" s="1">
        <v>1910</v>
      </c>
      <c r="B1912" t="s">
        <v>829</v>
      </c>
      <c r="C1912" t="s">
        <v>549</v>
      </c>
      <c r="D1912" t="s">
        <v>802</v>
      </c>
      <c r="E1912">
        <v>1.801513456790123</v>
      </c>
      <c r="F1912">
        <v>6.3121166147215874E-3</v>
      </c>
      <c r="G1912">
        <v>27</v>
      </c>
      <c r="H1912" t="s">
        <v>58</v>
      </c>
      <c r="I1912">
        <v>1.62</v>
      </c>
      <c r="J1912">
        <v>1.98</v>
      </c>
      <c r="K1912">
        <v>1.8</v>
      </c>
      <c r="L1912">
        <v>0.35999999999999988</v>
      </c>
      <c r="M1912">
        <v>1.814137690019566</v>
      </c>
      <c r="N1912">
        <v>1.7888892235606799</v>
      </c>
      <c r="O1912">
        <v>2.5248466458886561E-2</v>
      </c>
      <c r="P1912">
        <v>285.40560429262342</v>
      </c>
      <c r="Q1912">
        <v>14.25829170996216</v>
      </c>
      <c r="R1912" t="str">
        <f t="shared" si="58"/>
        <v>yes</v>
      </c>
      <c r="S1912" t="str">
        <f t="shared" si="59"/>
        <v>yes</v>
      </c>
    </row>
    <row r="1913" spans="1:19" x14ac:dyDescent="0.35">
      <c r="A1913" s="1">
        <v>1911</v>
      </c>
      <c r="B1913" t="s">
        <v>829</v>
      </c>
      <c r="C1913" t="s">
        <v>549</v>
      </c>
      <c r="D1913" t="s">
        <v>803</v>
      </c>
      <c r="E1913">
        <v>3.7068641975308653E-2</v>
      </c>
      <c r="F1913">
        <v>1.1424293550658569E-2</v>
      </c>
      <c r="G1913">
        <v>27</v>
      </c>
      <c r="H1913" t="s">
        <v>58</v>
      </c>
      <c r="M1913">
        <v>5.9917229076625791E-2</v>
      </c>
      <c r="N1913">
        <v>1.422005487399151E-2</v>
      </c>
      <c r="O1913">
        <v>4.5697174202634278E-2</v>
      </c>
      <c r="P1913">
        <v>3.2447207182602358</v>
      </c>
      <c r="R1913" t="str">
        <f t="shared" si="58"/>
        <v>yes</v>
      </c>
      <c r="S1913" t="str">
        <f t="shared" si="59"/>
        <v>no</v>
      </c>
    </row>
    <row r="1914" spans="1:19" x14ac:dyDescent="0.35">
      <c r="A1914" s="1">
        <v>1912</v>
      </c>
      <c r="B1914" t="s">
        <v>829</v>
      </c>
      <c r="C1914" t="s">
        <v>549</v>
      </c>
      <c r="D1914" t="s">
        <v>804</v>
      </c>
      <c r="E1914">
        <v>3.8700617283950613E-2</v>
      </c>
      <c r="F1914">
        <v>1.2757288921067049E-2</v>
      </c>
      <c r="G1914">
        <v>27</v>
      </c>
      <c r="H1914" t="s">
        <v>58</v>
      </c>
      <c r="M1914">
        <v>6.4215195126084715E-2</v>
      </c>
      <c r="N1914">
        <v>1.3186039441816511E-2</v>
      </c>
      <c r="O1914">
        <v>5.1029155684268197E-2</v>
      </c>
      <c r="P1914">
        <v>3.0336082786399419</v>
      </c>
      <c r="R1914" t="str">
        <f t="shared" si="58"/>
        <v>yes</v>
      </c>
      <c r="S1914" t="str">
        <f t="shared" si="59"/>
        <v>no</v>
      </c>
    </row>
    <row r="1915" spans="1:19" x14ac:dyDescent="0.35">
      <c r="A1915" s="1">
        <v>1913</v>
      </c>
      <c r="B1915" t="s">
        <v>829</v>
      </c>
      <c r="C1915" t="s">
        <v>549</v>
      </c>
      <c r="D1915" t="s">
        <v>805</v>
      </c>
      <c r="E1915">
        <v>3.5739012345679007E-2</v>
      </c>
      <c r="F1915">
        <v>8.5563555316449345E-3</v>
      </c>
      <c r="G1915">
        <v>27</v>
      </c>
      <c r="H1915" t="s">
        <v>58</v>
      </c>
      <c r="M1915">
        <v>5.2851723408968883E-2</v>
      </c>
      <c r="N1915">
        <v>1.8626301282389141E-2</v>
      </c>
      <c r="O1915">
        <v>3.4225422126579738E-2</v>
      </c>
      <c r="P1915">
        <v>4.1768966020055371</v>
      </c>
      <c r="R1915" t="str">
        <f t="shared" si="58"/>
        <v>yes</v>
      </c>
      <c r="S1915" t="str">
        <f t="shared" si="59"/>
        <v>no</v>
      </c>
    </row>
    <row r="1916" spans="1:19" x14ac:dyDescent="0.35">
      <c r="A1916" s="1">
        <v>1914</v>
      </c>
      <c r="B1916" t="s">
        <v>829</v>
      </c>
      <c r="C1916" t="s">
        <v>549</v>
      </c>
      <c r="D1916" t="s">
        <v>806</v>
      </c>
      <c r="E1916">
        <v>8.0207283950617284E-2</v>
      </c>
      <c r="F1916">
        <v>9.9840245245986121E-3</v>
      </c>
      <c r="G1916">
        <v>27</v>
      </c>
      <c r="H1916" t="s">
        <v>58</v>
      </c>
      <c r="M1916">
        <v>0.1001753329998145</v>
      </c>
      <c r="N1916">
        <v>6.0239234901420059E-2</v>
      </c>
      <c r="O1916">
        <v>3.9936098098394462E-2</v>
      </c>
      <c r="P1916">
        <v>8.0335623929010591</v>
      </c>
      <c r="R1916" t="str">
        <f t="shared" si="58"/>
        <v>yes</v>
      </c>
      <c r="S1916" t="str">
        <f t="shared" si="59"/>
        <v>no</v>
      </c>
    </row>
    <row r="1917" spans="1:19" x14ac:dyDescent="0.35">
      <c r="A1917" s="1">
        <v>1915</v>
      </c>
      <c r="B1917" t="s">
        <v>829</v>
      </c>
      <c r="C1917" t="s">
        <v>549</v>
      </c>
      <c r="D1917" t="s">
        <v>807</v>
      </c>
      <c r="E1917">
        <v>3.981988888888889</v>
      </c>
      <c r="F1917">
        <v>1.2586077838272119E-2</v>
      </c>
      <c r="G1917">
        <v>27</v>
      </c>
      <c r="H1917" t="s">
        <v>58</v>
      </c>
      <c r="I1917">
        <v>3.6</v>
      </c>
      <c r="J1917">
        <v>4.4000000000000004</v>
      </c>
      <c r="K1917">
        <v>4</v>
      </c>
      <c r="L1917">
        <v>0.80000000000000027</v>
      </c>
      <c r="M1917">
        <v>4.0071610445654331</v>
      </c>
      <c r="N1917">
        <v>3.9568167332123449</v>
      </c>
      <c r="O1917">
        <v>5.0344311353088138E-2</v>
      </c>
      <c r="P1917">
        <v>316.38044353899818</v>
      </c>
      <c r="Q1917">
        <v>15.890573899983</v>
      </c>
      <c r="R1917" t="str">
        <f t="shared" si="58"/>
        <v>yes</v>
      </c>
      <c r="S1917" t="str">
        <f t="shared" si="59"/>
        <v>yes</v>
      </c>
    </row>
    <row r="1918" spans="1:19" x14ac:dyDescent="0.35">
      <c r="A1918" s="1">
        <v>1916</v>
      </c>
      <c r="B1918" t="s">
        <v>829</v>
      </c>
      <c r="C1918" t="s">
        <v>549</v>
      </c>
      <c r="D1918" t="s">
        <v>808</v>
      </c>
      <c r="E1918">
        <v>4.7240740740740743E-2</v>
      </c>
      <c r="F1918">
        <v>1.150917526755379E-2</v>
      </c>
      <c r="G1918">
        <v>27</v>
      </c>
      <c r="H1918" t="s">
        <v>58</v>
      </c>
      <c r="M1918">
        <v>7.0259091275848326E-2</v>
      </c>
      <c r="N1918">
        <v>2.422239020563316E-2</v>
      </c>
      <c r="O1918">
        <v>4.6036701070215173E-2</v>
      </c>
      <c r="P1918">
        <v>4.1046156342687699</v>
      </c>
      <c r="R1918" t="str">
        <f t="shared" si="58"/>
        <v>yes</v>
      </c>
      <c r="S1918" t="str">
        <f t="shared" si="59"/>
        <v>no</v>
      </c>
    </row>
    <row r="1919" spans="1:19" x14ac:dyDescent="0.35">
      <c r="A1919" s="1">
        <v>1917</v>
      </c>
      <c r="B1919" t="s">
        <v>829</v>
      </c>
      <c r="C1919" t="s">
        <v>549</v>
      </c>
      <c r="D1919" t="s">
        <v>809</v>
      </c>
      <c r="E1919">
        <v>5.1908888888888893E-2</v>
      </c>
      <c r="F1919">
        <v>1.1719291152093921E-2</v>
      </c>
      <c r="G1919">
        <v>27</v>
      </c>
      <c r="H1919" t="s">
        <v>58</v>
      </c>
      <c r="M1919">
        <v>7.5347471193076734E-2</v>
      </c>
      <c r="N1919">
        <v>2.8470306584701049E-2</v>
      </c>
      <c r="O1919">
        <v>4.6877164608375682E-2</v>
      </c>
      <c r="P1919">
        <v>4.4293539784284803</v>
      </c>
      <c r="R1919" t="str">
        <f t="shared" si="58"/>
        <v>yes</v>
      </c>
      <c r="S1919" t="str">
        <f t="shared" si="59"/>
        <v>no</v>
      </c>
    </row>
    <row r="1920" spans="1:19" x14ac:dyDescent="0.35">
      <c r="A1920" s="1">
        <v>1918</v>
      </c>
      <c r="B1920" t="s">
        <v>829</v>
      </c>
      <c r="C1920" t="s">
        <v>549</v>
      </c>
      <c r="D1920" t="s">
        <v>810</v>
      </c>
      <c r="E1920">
        <v>5.0519259259259257E-2</v>
      </c>
      <c r="F1920">
        <v>1.4754353286023919E-2</v>
      </c>
      <c r="G1920">
        <v>27</v>
      </c>
      <c r="H1920" t="s">
        <v>58</v>
      </c>
      <c r="M1920">
        <v>8.0027965831307099E-2</v>
      </c>
      <c r="N1920">
        <v>2.1010552687211421E-2</v>
      </c>
      <c r="O1920">
        <v>5.9017413144095678E-2</v>
      </c>
      <c r="P1920">
        <v>3.4240239663444751</v>
      </c>
      <c r="R1920" t="str">
        <f t="shared" si="58"/>
        <v>yes</v>
      </c>
      <c r="S1920" t="str">
        <f t="shared" si="59"/>
        <v>no</v>
      </c>
    </row>
    <row r="1921" spans="1:19" x14ac:dyDescent="0.35">
      <c r="A1921" s="1">
        <v>1919</v>
      </c>
      <c r="B1921" t="s">
        <v>829</v>
      </c>
      <c r="C1921" t="s">
        <v>549</v>
      </c>
      <c r="D1921" t="s">
        <v>811</v>
      </c>
      <c r="E1921">
        <v>1.801102098765432</v>
      </c>
      <c r="F1921">
        <v>4.2834135435443534E-3</v>
      </c>
      <c r="G1921">
        <v>27</v>
      </c>
      <c r="H1921" t="s">
        <v>58</v>
      </c>
      <c r="I1921">
        <v>1.62</v>
      </c>
      <c r="J1921">
        <v>1.98</v>
      </c>
      <c r="K1921">
        <v>1.8</v>
      </c>
      <c r="L1921">
        <v>0.35999999999999988</v>
      </c>
      <c r="M1921">
        <v>1.8096689258525209</v>
      </c>
      <c r="N1921">
        <v>1.7925352716783429</v>
      </c>
      <c r="O1921">
        <v>1.7133654174177341E-2</v>
      </c>
      <c r="P1921">
        <v>420.48288834495582</v>
      </c>
      <c r="Q1921">
        <v>21.01127969202081</v>
      </c>
      <c r="R1921" t="str">
        <f t="shared" si="58"/>
        <v>yes</v>
      </c>
      <c r="S1921" t="str">
        <f t="shared" si="59"/>
        <v>yes</v>
      </c>
    </row>
    <row r="1922" spans="1:19" x14ac:dyDescent="0.35">
      <c r="A1922" s="1">
        <v>1920</v>
      </c>
      <c r="B1922" t="s">
        <v>829</v>
      </c>
      <c r="C1922" t="s">
        <v>549</v>
      </c>
      <c r="D1922" t="s">
        <v>812</v>
      </c>
      <c r="E1922">
        <v>4.1107407407407398E-2</v>
      </c>
      <c r="F1922">
        <v>9.1461847975296811E-3</v>
      </c>
      <c r="G1922">
        <v>27</v>
      </c>
      <c r="H1922" t="s">
        <v>58</v>
      </c>
      <c r="M1922">
        <v>5.9399777002466757E-2</v>
      </c>
      <c r="N1922">
        <v>2.2815037812348039E-2</v>
      </c>
      <c r="O1922">
        <v>3.6584739190118731E-2</v>
      </c>
      <c r="P1922">
        <v>4.4944868617251439</v>
      </c>
      <c r="R1922" t="str">
        <f t="shared" si="58"/>
        <v>yes</v>
      </c>
      <c r="S1922" t="str">
        <f t="shared" si="59"/>
        <v>no</v>
      </c>
    </row>
    <row r="1923" spans="1:19" x14ac:dyDescent="0.35">
      <c r="A1923" s="1">
        <v>1921</v>
      </c>
      <c r="B1923" t="s">
        <v>829</v>
      </c>
      <c r="C1923" t="s">
        <v>549</v>
      </c>
      <c r="D1923" t="s">
        <v>813</v>
      </c>
      <c r="E1923">
        <v>3.7030123456790118E-2</v>
      </c>
      <c r="F1923">
        <v>9.3988160080757267E-3</v>
      </c>
      <c r="G1923">
        <v>27</v>
      </c>
      <c r="H1923" t="s">
        <v>58</v>
      </c>
      <c r="M1923">
        <v>5.5827755472941568E-2</v>
      </c>
      <c r="N1923">
        <v>1.8232491440638661E-2</v>
      </c>
      <c r="O1923">
        <v>3.75952640323029E-2</v>
      </c>
      <c r="P1923">
        <v>3.9398710885469819</v>
      </c>
      <c r="R1923" t="str">
        <f t="shared" ref="R1923:R1934" si="60">IF(H1923="yes","yes","no")</f>
        <v>yes</v>
      </c>
      <c r="S1923" t="str">
        <f t="shared" ref="S1923:S1934" si="61">IF(I1923,"yes","no")</f>
        <v>no</v>
      </c>
    </row>
    <row r="1924" spans="1:19" x14ac:dyDescent="0.35">
      <c r="A1924" s="1">
        <v>1922</v>
      </c>
      <c r="B1924" t="s">
        <v>829</v>
      </c>
      <c r="C1924" t="s">
        <v>549</v>
      </c>
      <c r="D1924" t="s">
        <v>814</v>
      </c>
      <c r="E1924">
        <v>3.7954197530864188E-2</v>
      </c>
      <c r="F1924">
        <v>9.1443962173718939E-3</v>
      </c>
      <c r="G1924">
        <v>27</v>
      </c>
      <c r="H1924" t="s">
        <v>58</v>
      </c>
      <c r="M1924">
        <v>5.6242989965607983E-2</v>
      </c>
      <c r="N1924">
        <v>1.96654050961204E-2</v>
      </c>
      <c r="O1924">
        <v>3.6577584869487582E-2</v>
      </c>
      <c r="P1924">
        <v>4.1505416682143998</v>
      </c>
      <c r="R1924" t="str">
        <f t="shared" si="60"/>
        <v>yes</v>
      </c>
      <c r="S1924" t="str">
        <f t="shared" si="61"/>
        <v>no</v>
      </c>
    </row>
    <row r="1925" spans="1:19" x14ac:dyDescent="0.35">
      <c r="A1925" s="1">
        <v>1923</v>
      </c>
      <c r="B1925" t="s">
        <v>829</v>
      </c>
      <c r="C1925" t="s">
        <v>549</v>
      </c>
      <c r="D1925" t="s">
        <v>815</v>
      </c>
      <c r="E1925">
        <v>8.0053950617283945E-2</v>
      </c>
      <c r="F1925">
        <v>8.8120243389775699E-3</v>
      </c>
      <c r="G1925">
        <v>27</v>
      </c>
      <c r="H1925" t="s">
        <v>58</v>
      </c>
      <c r="M1925">
        <v>9.7677999295239085E-2</v>
      </c>
      <c r="N1925">
        <v>6.2429901939328812E-2</v>
      </c>
      <c r="O1925">
        <v>3.5248097355910279E-2</v>
      </c>
      <c r="P1925">
        <v>9.0846265895098899</v>
      </c>
      <c r="R1925" t="str">
        <f t="shared" si="60"/>
        <v>yes</v>
      </c>
      <c r="S1925" t="str">
        <f t="shared" si="61"/>
        <v>no</v>
      </c>
    </row>
    <row r="1926" spans="1:19" x14ac:dyDescent="0.35">
      <c r="A1926" s="1">
        <v>1924</v>
      </c>
      <c r="B1926" t="s">
        <v>829</v>
      </c>
      <c r="C1926" t="s">
        <v>549</v>
      </c>
      <c r="D1926" t="s">
        <v>816</v>
      </c>
      <c r="E1926">
        <v>3.9667340740740751</v>
      </c>
      <c r="F1926">
        <v>1.1785721950795809E-2</v>
      </c>
      <c r="G1926">
        <v>27</v>
      </c>
      <c r="H1926" t="s">
        <v>58</v>
      </c>
      <c r="I1926">
        <v>3.6</v>
      </c>
      <c r="J1926">
        <v>4.4000000000000004</v>
      </c>
      <c r="K1926">
        <v>4</v>
      </c>
      <c r="L1926">
        <v>0.80000000000000027</v>
      </c>
      <c r="M1926">
        <v>3.990305517975667</v>
      </c>
      <c r="N1926">
        <v>3.943162630172484</v>
      </c>
      <c r="O1926">
        <v>4.7142887803182987E-2</v>
      </c>
      <c r="P1926">
        <v>336.57115708607301</v>
      </c>
      <c r="Q1926">
        <v>16.969685933113031</v>
      </c>
      <c r="R1926" t="str">
        <f t="shared" si="60"/>
        <v>yes</v>
      </c>
      <c r="S1926" t="str">
        <f t="shared" si="61"/>
        <v>yes</v>
      </c>
    </row>
    <row r="1927" spans="1:19" x14ac:dyDescent="0.35">
      <c r="A1927" s="1">
        <v>1925</v>
      </c>
      <c r="B1927" t="s">
        <v>829</v>
      </c>
      <c r="C1927" t="s">
        <v>549</v>
      </c>
      <c r="D1927" t="s">
        <v>817</v>
      </c>
      <c r="E1927">
        <v>4.9275555555555552E-2</v>
      </c>
      <c r="F1927">
        <v>1.504027914756834E-2</v>
      </c>
      <c r="G1927">
        <v>27</v>
      </c>
      <c r="H1927" t="s">
        <v>58</v>
      </c>
      <c r="M1927">
        <v>7.9356113850692231E-2</v>
      </c>
      <c r="N1927">
        <v>1.9194997260418869E-2</v>
      </c>
      <c r="O1927">
        <v>6.0161116590273359E-2</v>
      </c>
      <c r="P1927">
        <v>3.2762394282769849</v>
      </c>
      <c r="R1927" t="str">
        <f t="shared" si="60"/>
        <v>yes</v>
      </c>
      <c r="S1927" t="str">
        <f t="shared" si="61"/>
        <v>no</v>
      </c>
    </row>
    <row r="1928" spans="1:19" x14ac:dyDescent="0.35">
      <c r="A1928" s="1">
        <v>1926</v>
      </c>
      <c r="B1928" t="s">
        <v>829</v>
      </c>
      <c r="C1928" t="s">
        <v>549</v>
      </c>
      <c r="D1928" t="s">
        <v>818</v>
      </c>
      <c r="E1928">
        <v>4.9644691358024698E-2</v>
      </c>
      <c r="F1928">
        <v>9.4720529764226926E-3</v>
      </c>
      <c r="G1928">
        <v>27</v>
      </c>
      <c r="H1928" t="s">
        <v>58</v>
      </c>
      <c r="M1928">
        <v>6.8588797310870087E-2</v>
      </c>
      <c r="N1928">
        <v>3.0700585405179309E-2</v>
      </c>
      <c r="O1928">
        <v>3.7888211905690777E-2</v>
      </c>
      <c r="P1928">
        <v>5.241175432780782</v>
      </c>
      <c r="R1928" t="str">
        <f t="shared" si="60"/>
        <v>yes</v>
      </c>
      <c r="S1928" t="str">
        <f t="shared" si="61"/>
        <v>no</v>
      </c>
    </row>
    <row r="1929" spans="1:19" x14ac:dyDescent="0.35">
      <c r="A1929" s="1">
        <v>1927</v>
      </c>
      <c r="B1929" t="s">
        <v>829</v>
      </c>
      <c r="C1929" t="s">
        <v>549</v>
      </c>
      <c r="D1929" t="s">
        <v>819</v>
      </c>
      <c r="E1929">
        <v>4.7540246913580241E-2</v>
      </c>
      <c r="F1929">
        <v>1.3197375769180611E-2</v>
      </c>
      <c r="G1929">
        <v>27</v>
      </c>
      <c r="H1929" t="s">
        <v>58</v>
      </c>
      <c r="M1929">
        <v>7.3934998451941458E-2</v>
      </c>
      <c r="N1929">
        <v>2.1145495375219019E-2</v>
      </c>
      <c r="O1929">
        <v>5.2789503076722442E-2</v>
      </c>
      <c r="P1929">
        <v>3.602250003716601</v>
      </c>
      <c r="R1929" t="str">
        <f t="shared" si="60"/>
        <v>yes</v>
      </c>
      <c r="S1929" t="str">
        <f t="shared" si="61"/>
        <v>no</v>
      </c>
    </row>
    <row r="1930" spans="1:19" x14ac:dyDescent="0.35">
      <c r="A1930" s="1">
        <v>1928</v>
      </c>
      <c r="B1930" t="s">
        <v>829</v>
      </c>
      <c r="C1930" t="s">
        <v>820</v>
      </c>
      <c r="D1930" t="s">
        <v>821</v>
      </c>
      <c r="G1930">
        <v>27</v>
      </c>
      <c r="H1930" t="s">
        <v>58</v>
      </c>
      <c r="R1930" t="str">
        <f t="shared" si="60"/>
        <v>yes</v>
      </c>
      <c r="S1930" t="str">
        <f t="shared" si="61"/>
        <v>no</v>
      </c>
    </row>
    <row r="1931" spans="1:19" x14ac:dyDescent="0.35">
      <c r="A1931" s="1">
        <v>1929</v>
      </c>
      <c r="B1931" t="s">
        <v>829</v>
      </c>
      <c r="C1931" t="s">
        <v>820</v>
      </c>
      <c r="D1931" t="s">
        <v>822</v>
      </c>
      <c r="E1931">
        <v>28.46097407407408</v>
      </c>
      <c r="F1931">
        <v>3.8497400450423158</v>
      </c>
      <c r="G1931">
        <v>27</v>
      </c>
      <c r="H1931" t="s">
        <v>58</v>
      </c>
      <c r="M1931">
        <v>36.160454164158708</v>
      </c>
      <c r="N1931">
        <v>20.76149398398945</v>
      </c>
      <c r="O1931">
        <v>15.39896018016927</v>
      </c>
      <c r="P1931">
        <v>7.3929599767979246</v>
      </c>
      <c r="R1931" t="str">
        <f t="shared" si="60"/>
        <v>yes</v>
      </c>
      <c r="S1931" t="str">
        <f t="shared" si="61"/>
        <v>no</v>
      </c>
    </row>
    <row r="1932" spans="1:19" x14ac:dyDescent="0.35">
      <c r="A1932" s="1">
        <v>1930</v>
      </c>
      <c r="B1932" t="s">
        <v>829</v>
      </c>
      <c r="C1932" t="s">
        <v>820</v>
      </c>
      <c r="D1932" t="s">
        <v>823</v>
      </c>
      <c r="E1932">
        <v>0.1481481481481482</v>
      </c>
      <c r="F1932">
        <v>0.44752022124424351</v>
      </c>
      <c r="G1932">
        <v>27</v>
      </c>
      <c r="H1932" t="s">
        <v>58</v>
      </c>
      <c r="M1932">
        <v>1.0431885906366349</v>
      </c>
      <c r="N1932">
        <v>-0.74689229434033888</v>
      </c>
      <c r="O1932">
        <v>1.790080884976974</v>
      </c>
      <c r="P1932">
        <v>0.33104235544094718</v>
      </c>
      <c r="R1932" t="str">
        <f t="shared" si="60"/>
        <v>yes</v>
      </c>
      <c r="S1932" t="str">
        <f t="shared" si="61"/>
        <v>no</v>
      </c>
    </row>
    <row r="1933" spans="1:19" x14ac:dyDescent="0.35">
      <c r="A1933" s="1">
        <v>1931</v>
      </c>
      <c r="B1933" t="s">
        <v>829</v>
      </c>
      <c r="C1933" t="s">
        <v>820</v>
      </c>
      <c r="D1933" t="s">
        <v>824</v>
      </c>
      <c r="G1933">
        <v>27</v>
      </c>
      <c r="H1933" t="s">
        <v>58</v>
      </c>
      <c r="R1933" t="str">
        <f t="shared" si="60"/>
        <v>yes</v>
      </c>
      <c r="S1933" t="str">
        <f t="shared" si="61"/>
        <v>no</v>
      </c>
    </row>
    <row r="1934" spans="1:19" x14ac:dyDescent="0.35">
      <c r="A1934" s="1">
        <v>1932</v>
      </c>
      <c r="B1934" t="s">
        <v>829</v>
      </c>
      <c r="C1934" t="s">
        <v>820</v>
      </c>
      <c r="D1934" t="s">
        <v>825</v>
      </c>
      <c r="E1934">
        <v>100096395.5925926</v>
      </c>
      <c r="F1934">
        <v>15.52837130869448</v>
      </c>
      <c r="G1934">
        <v>27</v>
      </c>
      <c r="H1934" t="s">
        <v>58</v>
      </c>
      <c r="M1934">
        <v>100096426.64933521</v>
      </c>
      <c r="N1934">
        <v>100096364.53585</v>
      </c>
      <c r="O1934">
        <v>62.113485246896737</v>
      </c>
      <c r="P1934">
        <v>6446033.1095088953</v>
      </c>
      <c r="R1934" t="str">
        <f t="shared" si="60"/>
        <v>yes</v>
      </c>
      <c r="S1934" t="str">
        <f t="shared" si="61"/>
        <v>no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Mitchell</cp:lastModifiedBy>
  <dcterms:created xsi:type="dcterms:W3CDTF">2026-02-23T14:25:44Z</dcterms:created>
  <dcterms:modified xsi:type="dcterms:W3CDTF">2026-02-23T15:16:07Z</dcterms:modified>
</cp:coreProperties>
</file>