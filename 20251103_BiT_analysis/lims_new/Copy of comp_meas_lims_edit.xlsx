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jm_post_processing\20251103_BiT_analysis\lims_new\"/>
    </mc:Choice>
  </mc:AlternateContent>
  <xr:revisionPtr revIDLastSave="0" documentId="13_ncr:1_{E6E9A02A-EC45-4C3D-86F2-3C1D3BA2D374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200" i="1"/>
  <c r="S201" i="1"/>
  <c r="S202" i="1"/>
  <c r="S203" i="1"/>
  <c r="S204" i="1"/>
  <c r="S205" i="1"/>
  <c r="S206" i="1"/>
  <c r="S207" i="1"/>
  <c r="S208" i="1"/>
  <c r="S2" i="1"/>
  <c r="S3" i="1"/>
  <c r="S209" i="1"/>
  <c r="S210" i="1"/>
  <c r="S211" i="1"/>
  <c r="S212" i="1"/>
  <c r="S213" i="1"/>
  <c r="S214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215" i="1"/>
  <c r="S216" i="1"/>
  <c r="S217" i="1"/>
  <c r="S218" i="1"/>
  <c r="S219" i="1"/>
  <c r="S220" i="1"/>
  <c r="S221" i="1"/>
  <c r="S222" i="1"/>
  <c r="S223" i="1"/>
  <c r="S4" i="1"/>
  <c r="S5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T254" i="1" s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6" i="1"/>
  <c r="S518" i="1"/>
  <c r="S7" i="1"/>
  <c r="S519" i="1"/>
  <c r="S8" i="1"/>
  <c r="S9" i="1"/>
  <c r="S520" i="1"/>
  <c r="S10" i="1"/>
  <c r="S521" i="1"/>
  <c r="S11" i="1"/>
  <c r="S522" i="1"/>
  <c r="S12" i="1"/>
  <c r="S523" i="1"/>
  <c r="S13" i="1"/>
  <c r="S524" i="1"/>
  <c r="S14" i="1"/>
  <c r="S525" i="1"/>
  <c r="S15" i="1"/>
  <c r="S526" i="1"/>
  <c r="S16" i="1"/>
  <c r="S527" i="1"/>
  <c r="S17" i="1"/>
  <c r="S528" i="1"/>
  <c r="S18" i="1"/>
  <c r="S19" i="1"/>
  <c r="S529" i="1"/>
  <c r="S530" i="1"/>
  <c r="S531" i="1"/>
  <c r="S532" i="1"/>
  <c r="S20" i="1"/>
  <c r="S533" i="1"/>
  <c r="S534" i="1"/>
  <c r="S535" i="1"/>
  <c r="S21" i="1"/>
  <c r="S536" i="1"/>
  <c r="S537" i="1"/>
  <c r="S538" i="1"/>
  <c r="S539" i="1"/>
  <c r="S22" i="1"/>
  <c r="S540" i="1"/>
  <c r="S541" i="1"/>
  <c r="S542" i="1"/>
  <c r="S23" i="1"/>
  <c r="S543" i="1"/>
  <c r="S544" i="1"/>
  <c r="S545" i="1"/>
  <c r="S546" i="1"/>
  <c r="S24" i="1"/>
  <c r="S547" i="1"/>
  <c r="S548" i="1"/>
  <c r="S549" i="1"/>
  <c r="S550" i="1"/>
  <c r="S25" i="1"/>
  <c r="S551" i="1"/>
  <c r="S26" i="1"/>
  <c r="S552" i="1"/>
  <c r="S27" i="1"/>
  <c r="S553" i="1"/>
  <c r="S28" i="1"/>
  <c r="S554" i="1"/>
  <c r="S29" i="1"/>
  <c r="S555" i="1"/>
  <c r="S30" i="1"/>
  <c r="S556" i="1"/>
  <c r="S31" i="1"/>
  <c r="S557" i="1"/>
  <c r="S32" i="1"/>
  <c r="S558" i="1"/>
  <c r="S33" i="1"/>
  <c r="S34" i="1"/>
  <c r="S559" i="1"/>
  <c r="S560" i="1"/>
  <c r="S561" i="1"/>
  <c r="S562" i="1"/>
  <c r="S35" i="1"/>
  <c r="S563" i="1"/>
  <c r="S564" i="1"/>
  <c r="T564" i="1" s="1"/>
  <c r="S565" i="1"/>
  <c r="S36" i="1"/>
  <c r="S566" i="1"/>
  <c r="S567" i="1"/>
  <c r="S568" i="1"/>
  <c r="S569" i="1"/>
  <c r="S37" i="1"/>
  <c r="S570" i="1"/>
  <c r="S571" i="1"/>
  <c r="S572" i="1"/>
  <c r="S38" i="1"/>
  <c r="S573" i="1"/>
  <c r="S574" i="1"/>
  <c r="S575" i="1"/>
  <c r="S576" i="1"/>
  <c r="S39" i="1"/>
  <c r="S577" i="1"/>
  <c r="S578" i="1"/>
  <c r="S579" i="1"/>
  <c r="S580" i="1"/>
  <c r="S40" i="1"/>
  <c r="S581" i="1"/>
  <c r="S41" i="1"/>
  <c r="S582" i="1"/>
  <c r="S42" i="1"/>
  <c r="S583" i="1"/>
  <c r="S43" i="1"/>
  <c r="S584" i="1"/>
  <c r="S44" i="1"/>
  <c r="S585" i="1"/>
  <c r="S45" i="1"/>
  <c r="S586" i="1"/>
  <c r="S46" i="1"/>
  <c r="S587" i="1"/>
  <c r="S47" i="1"/>
  <c r="S588" i="1"/>
  <c r="S48" i="1"/>
  <c r="S49" i="1"/>
  <c r="S589" i="1"/>
  <c r="S590" i="1"/>
  <c r="S591" i="1"/>
  <c r="S592" i="1"/>
  <c r="S50" i="1"/>
  <c r="S593" i="1"/>
  <c r="S594" i="1"/>
  <c r="S595" i="1"/>
  <c r="S51" i="1"/>
  <c r="S596" i="1"/>
  <c r="S597" i="1"/>
  <c r="S598" i="1"/>
  <c r="S599" i="1"/>
  <c r="S52" i="1"/>
  <c r="S600" i="1"/>
  <c r="S601" i="1"/>
  <c r="S602" i="1"/>
  <c r="S53" i="1"/>
  <c r="S603" i="1"/>
  <c r="S604" i="1"/>
  <c r="S605" i="1"/>
  <c r="S606" i="1"/>
  <c r="S54" i="1"/>
  <c r="S607" i="1"/>
  <c r="S608" i="1"/>
  <c r="S609" i="1"/>
  <c r="S610" i="1"/>
  <c r="S55" i="1"/>
  <c r="S611" i="1"/>
  <c r="S56" i="1"/>
  <c r="S612" i="1"/>
  <c r="S57" i="1"/>
  <c r="S613" i="1"/>
  <c r="S58" i="1"/>
  <c r="S614" i="1"/>
  <c r="S59" i="1"/>
  <c r="S615" i="1"/>
  <c r="S60" i="1"/>
  <c r="S616" i="1"/>
  <c r="S61" i="1"/>
  <c r="S617" i="1"/>
  <c r="S62" i="1"/>
  <c r="S618" i="1"/>
  <c r="S63" i="1"/>
  <c r="S64" i="1"/>
  <c r="S619" i="1"/>
  <c r="S620" i="1"/>
  <c r="S621" i="1"/>
  <c r="S622" i="1"/>
  <c r="S65" i="1"/>
  <c r="S623" i="1"/>
  <c r="S624" i="1"/>
  <c r="S625" i="1"/>
  <c r="S66" i="1"/>
  <c r="S626" i="1"/>
  <c r="S627" i="1"/>
  <c r="S628" i="1"/>
  <c r="S629" i="1"/>
  <c r="T629" i="1" s="1"/>
  <c r="S67" i="1"/>
  <c r="S630" i="1"/>
  <c r="S631" i="1"/>
  <c r="S632" i="1"/>
  <c r="S68" i="1"/>
  <c r="S633" i="1"/>
  <c r="S634" i="1"/>
  <c r="S635" i="1"/>
  <c r="S636" i="1"/>
  <c r="S69" i="1"/>
  <c r="S637" i="1"/>
  <c r="S638" i="1"/>
  <c r="S639" i="1"/>
  <c r="S640" i="1"/>
  <c r="S70" i="1"/>
  <c r="S641" i="1"/>
  <c r="S71" i="1"/>
  <c r="S642" i="1"/>
  <c r="S72" i="1"/>
  <c r="S643" i="1"/>
  <c r="S73" i="1"/>
  <c r="S644" i="1"/>
  <c r="S74" i="1"/>
  <c r="S645" i="1"/>
  <c r="S75" i="1"/>
  <c r="S646" i="1"/>
  <c r="S76" i="1"/>
  <c r="S647" i="1"/>
  <c r="S77" i="1"/>
  <c r="S648" i="1"/>
  <c r="S78" i="1"/>
  <c r="S79" i="1"/>
  <c r="S649" i="1"/>
  <c r="S650" i="1"/>
  <c r="S651" i="1"/>
  <c r="S652" i="1"/>
  <c r="S80" i="1"/>
  <c r="S653" i="1"/>
  <c r="S654" i="1"/>
  <c r="S655" i="1"/>
  <c r="S81" i="1"/>
  <c r="S656" i="1"/>
  <c r="S657" i="1"/>
  <c r="S658" i="1"/>
  <c r="S659" i="1"/>
  <c r="S82" i="1"/>
  <c r="S660" i="1"/>
  <c r="S661" i="1"/>
  <c r="S662" i="1"/>
  <c r="S83" i="1"/>
  <c r="S663" i="1"/>
  <c r="S664" i="1"/>
  <c r="S665" i="1"/>
  <c r="S666" i="1"/>
  <c r="S84" i="1"/>
  <c r="S667" i="1"/>
  <c r="S668" i="1"/>
  <c r="S669" i="1"/>
  <c r="S670" i="1"/>
  <c r="S85" i="1"/>
  <c r="S671" i="1"/>
  <c r="S86" i="1"/>
  <c r="S672" i="1"/>
  <c r="S87" i="1"/>
  <c r="S673" i="1"/>
  <c r="S88" i="1"/>
  <c r="S674" i="1"/>
  <c r="S89" i="1"/>
  <c r="S675" i="1"/>
  <c r="S90" i="1"/>
  <c r="S676" i="1"/>
  <c r="S91" i="1"/>
  <c r="S677" i="1"/>
  <c r="S92" i="1"/>
  <c r="S678" i="1"/>
  <c r="S93" i="1"/>
  <c r="S94" i="1"/>
  <c r="S679" i="1"/>
  <c r="S680" i="1"/>
  <c r="S681" i="1"/>
  <c r="S682" i="1"/>
  <c r="S95" i="1"/>
  <c r="S683" i="1"/>
  <c r="S684" i="1"/>
  <c r="S685" i="1"/>
  <c r="S96" i="1"/>
  <c r="S686" i="1"/>
  <c r="S687" i="1"/>
  <c r="S688" i="1"/>
  <c r="S689" i="1"/>
  <c r="S97" i="1"/>
  <c r="S690" i="1"/>
  <c r="S691" i="1"/>
  <c r="S692" i="1"/>
  <c r="S98" i="1"/>
  <c r="S693" i="1"/>
  <c r="S694" i="1"/>
  <c r="S695" i="1"/>
  <c r="S696" i="1"/>
  <c r="S99" i="1"/>
  <c r="S697" i="1"/>
  <c r="S698" i="1"/>
  <c r="S699" i="1"/>
  <c r="S700" i="1"/>
  <c r="S701" i="1"/>
  <c r="S702" i="1"/>
  <c r="S703" i="1"/>
  <c r="S704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705" i="1"/>
  <c r="S706" i="1"/>
  <c r="S707" i="1"/>
  <c r="S708" i="1"/>
  <c r="S70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T1613" i="1" s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710" i="1"/>
  <c r="S711" i="1"/>
  <c r="S712" i="1"/>
  <c r="S713" i="1"/>
  <c r="S714" i="1"/>
  <c r="S715" i="1"/>
  <c r="S716" i="1"/>
  <c r="S717" i="1"/>
  <c r="S718" i="1"/>
  <c r="S100" i="1"/>
  <c r="S101" i="1"/>
  <c r="S719" i="1"/>
  <c r="S720" i="1"/>
  <c r="S721" i="1"/>
  <c r="S722" i="1"/>
  <c r="S723" i="1"/>
  <c r="S724" i="1"/>
  <c r="S725" i="1"/>
  <c r="S726" i="1"/>
  <c r="S727" i="1"/>
  <c r="S728" i="1"/>
  <c r="S729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T1647" i="1" s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730" i="1"/>
  <c r="S731" i="1"/>
  <c r="S732" i="1"/>
  <c r="S733" i="1"/>
  <c r="S734" i="1"/>
  <c r="S735" i="1"/>
  <c r="S736" i="1"/>
  <c r="S737" i="1"/>
  <c r="S738" i="1"/>
  <c r="S102" i="1"/>
  <c r="S103" i="1"/>
  <c r="S739" i="1"/>
  <c r="S740" i="1"/>
  <c r="S741" i="1"/>
  <c r="S742" i="1"/>
  <c r="S743" i="1"/>
  <c r="S744" i="1"/>
  <c r="S745" i="1"/>
  <c r="S746" i="1"/>
  <c r="S747" i="1"/>
  <c r="S748" i="1"/>
  <c r="S749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T1765" i="1" s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750" i="1"/>
  <c r="S751" i="1"/>
  <c r="S752" i="1"/>
  <c r="S753" i="1"/>
  <c r="S754" i="1"/>
  <c r="S755" i="1"/>
  <c r="S756" i="1"/>
  <c r="S757" i="1"/>
  <c r="S758" i="1"/>
  <c r="S104" i="1"/>
  <c r="S105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T882" i="1" s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T1002" i="1" s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6" i="1"/>
  <c r="S1053" i="1"/>
  <c r="S107" i="1"/>
  <c r="S1054" i="1"/>
  <c r="S108" i="1"/>
  <c r="S109" i="1"/>
  <c r="S1055" i="1"/>
  <c r="S110" i="1"/>
  <c r="S1056" i="1"/>
  <c r="S111" i="1"/>
  <c r="S1057" i="1"/>
  <c r="S112" i="1"/>
  <c r="S1058" i="1"/>
  <c r="S113" i="1"/>
  <c r="S1059" i="1"/>
  <c r="S114" i="1"/>
  <c r="S1060" i="1"/>
  <c r="S115" i="1"/>
  <c r="S1061" i="1"/>
  <c r="S116" i="1"/>
  <c r="S1062" i="1"/>
  <c r="S117" i="1"/>
  <c r="S1063" i="1"/>
  <c r="S118" i="1"/>
  <c r="S119" i="1"/>
  <c r="S1064" i="1"/>
  <c r="S1065" i="1"/>
  <c r="S1066" i="1"/>
  <c r="S1067" i="1"/>
  <c r="S120" i="1"/>
  <c r="S1068" i="1"/>
  <c r="S1069" i="1"/>
  <c r="S1070" i="1"/>
  <c r="S121" i="1"/>
  <c r="S1071" i="1"/>
  <c r="S1072" i="1"/>
  <c r="S1073" i="1"/>
  <c r="S1074" i="1"/>
  <c r="S122" i="1"/>
  <c r="S1075" i="1"/>
  <c r="S1076" i="1"/>
  <c r="S1077" i="1"/>
  <c r="S123" i="1"/>
  <c r="S1078" i="1"/>
  <c r="S1079" i="1"/>
  <c r="S1080" i="1"/>
  <c r="S1081" i="1"/>
  <c r="S124" i="1"/>
  <c r="S1082" i="1"/>
  <c r="S1083" i="1"/>
  <c r="S1084" i="1"/>
  <c r="S1085" i="1"/>
  <c r="S125" i="1"/>
  <c r="S1086" i="1"/>
  <c r="S126" i="1"/>
  <c r="S1087" i="1"/>
  <c r="S127" i="1"/>
  <c r="S1088" i="1"/>
  <c r="S128" i="1"/>
  <c r="S1089" i="1"/>
  <c r="S129" i="1"/>
  <c r="S1090" i="1"/>
  <c r="S130" i="1"/>
  <c r="S1091" i="1"/>
  <c r="S131" i="1"/>
  <c r="S1092" i="1"/>
  <c r="S132" i="1"/>
  <c r="S1093" i="1"/>
  <c r="S133" i="1"/>
  <c r="S134" i="1"/>
  <c r="T134" i="1" s="1"/>
  <c r="S1094" i="1"/>
  <c r="S1095" i="1"/>
  <c r="S1096" i="1"/>
  <c r="S1097" i="1"/>
  <c r="S135" i="1"/>
  <c r="S1098" i="1"/>
  <c r="S1099" i="1"/>
  <c r="S1100" i="1"/>
  <c r="S136" i="1"/>
  <c r="S1101" i="1"/>
  <c r="S1102" i="1"/>
  <c r="S1103" i="1"/>
  <c r="S1104" i="1"/>
  <c r="S137" i="1"/>
  <c r="S1105" i="1"/>
  <c r="S1106" i="1"/>
  <c r="S1107" i="1"/>
  <c r="S138" i="1"/>
  <c r="S1108" i="1"/>
  <c r="S1109" i="1"/>
  <c r="T1109" i="1" s="1"/>
  <c r="S1110" i="1"/>
  <c r="S1111" i="1"/>
  <c r="S139" i="1"/>
  <c r="S1112" i="1"/>
  <c r="S1113" i="1"/>
  <c r="S1114" i="1"/>
  <c r="S1115" i="1"/>
  <c r="S140" i="1"/>
  <c r="S1116" i="1"/>
  <c r="S141" i="1"/>
  <c r="S1117" i="1"/>
  <c r="S142" i="1"/>
  <c r="S1118" i="1"/>
  <c r="S143" i="1"/>
  <c r="S1119" i="1"/>
  <c r="S144" i="1"/>
  <c r="S1120" i="1"/>
  <c r="S145" i="1"/>
  <c r="S1121" i="1"/>
  <c r="S146" i="1"/>
  <c r="S1122" i="1"/>
  <c r="S147" i="1"/>
  <c r="S1123" i="1"/>
  <c r="S148" i="1"/>
  <c r="S149" i="1"/>
  <c r="S1124" i="1"/>
  <c r="S1125" i="1"/>
  <c r="S1126" i="1"/>
  <c r="S1127" i="1"/>
  <c r="S150" i="1"/>
  <c r="S1128" i="1"/>
  <c r="S1129" i="1"/>
  <c r="S1130" i="1"/>
  <c r="S151" i="1"/>
  <c r="S1131" i="1"/>
  <c r="S1132" i="1"/>
  <c r="S1133" i="1"/>
  <c r="S1134" i="1"/>
  <c r="S152" i="1"/>
  <c r="S1135" i="1"/>
  <c r="S1136" i="1"/>
  <c r="S1137" i="1"/>
  <c r="S153" i="1"/>
  <c r="S1138" i="1"/>
  <c r="S1139" i="1"/>
  <c r="S1140" i="1"/>
  <c r="S1141" i="1"/>
  <c r="S154" i="1"/>
  <c r="S1142" i="1"/>
  <c r="S1143" i="1"/>
  <c r="S1144" i="1"/>
  <c r="S1145" i="1"/>
  <c r="S155" i="1"/>
  <c r="S1146" i="1"/>
  <c r="S156" i="1"/>
  <c r="S1147" i="1"/>
  <c r="S157" i="1"/>
  <c r="S1148" i="1"/>
  <c r="S158" i="1"/>
  <c r="S1149" i="1"/>
  <c r="S159" i="1"/>
  <c r="S1150" i="1"/>
  <c r="S160" i="1"/>
  <c r="S1151" i="1"/>
  <c r="S161" i="1"/>
  <c r="S1152" i="1"/>
  <c r="S162" i="1"/>
  <c r="S1153" i="1"/>
  <c r="S163" i="1"/>
  <c r="S164" i="1"/>
  <c r="S1154" i="1"/>
  <c r="S1155" i="1"/>
  <c r="S1156" i="1"/>
  <c r="S1157" i="1"/>
  <c r="S165" i="1"/>
  <c r="S1158" i="1"/>
  <c r="S1159" i="1"/>
  <c r="S1160" i="1"/>
  <c r="S166" i="1"/>
  <c r="S1161" i="1"/>
  <c r="S1162" i="1"/>
  <c r="S1163" i="1"/>
  <c r="S1164" i="1"/>
  <c r="S167" i="1"/>
  <c r="S1165" i="1"/>
  <c r="S1166" i="1"/>
  <c r="S1167" i="1"/>
  <c r="S168" i="1"/>
  <c r="S1168" i="1"/>
  <c r="S1169" i="1"/>
  <c r="S1170" i="1"/>
  <c r="S1171" i="1"/>
  <c r="S169" i="1"/>
  <c r="S1172" i="1"/>
  <c r="S1173" i="1"/>
  <c r="S1174" i="1"/>
  <c r="S1175" i="1"/>
  <c r="S170" i="1"/>
  <c r="S1176" i="1"/>
  <c r="S171" i="1"/>
  <c r="S1177" i="1"/>
  <c r="S172" i="1"/>
  <c r="S1178" i="1"/>
  <c r="S173" i="1"/>
  <c r="S1179" i="1"/>
  <c r="S174" i="1"/>
  <c r="S1180" i="1"/>
  <c r="S175" i="1"/>
  <c r="S1181" i="1"/>
  <c r="S176" i="1"/>
  <c r="S1182" i="1"/>
  <c r="S177" i="1"/>
  <c r="S1183" i="1"/>
  <c r="S178" i="1"/>
  <c r="S179" i="1"/>
  <c r="S1184" i="1"/>
  <c r="S1185" i="1"/>
  <c r="S1186" i="1"/>
  <c r="S1187" i="1"/>
  <c r="S180" i="1"/>
  <c r="S1188" i="1"/>
  <c r="S1189" i="1"/>
  <c r="S1190" i="1"/>
  <c r="S181" i="1"/>
  <c r="S1191" i="1"/>
  <c r="S1192" i="1"/>
  <c r="S1193" i="1"/>
  <c r="S1194" i="1"/>
  <c r="S182" i="1"/>
  <c r="S1195" i="1"/>
  <c r="S1196" i="1"/>
  <c r="S1197" i="1"/>
  <c r="S183" i="1"/>
  <c r="S1198" i="1"/>
  <c r="S1199" i="1"/>
  <c r="S1200" i="1"/>
  <c r="S1201" i="1"/>
  <c r="S184" i="1"/>
  <c r="S1202" i="1"/>
  <c r="S1203" i="1"/>
  <c r="S1204" i="1"/>
  <c r="S1205" i="1"/>
  <c r="S185" i="1"/>
  <c r="S1206" i="1"/>
  <c r="S186" i="1"/>
  <c r="S1207" i="1"/>
  <c r="S187" i="1"/>
  <c r="S1208" i="1"/>
  <c r="S188" i="1"/>
  <c r="S1209" i="1"/>
  <c r="S189" i="1"/>
  <c r="S1210" i="1"/>
  <c r="S190" i="1"/>
  <c r="S1211" i="1"/>
  <c r="S191" i="1"/>
  <c r="S1212" i="1"/>
  <c r="S192" i="1"/>
  <c r="S1213" i="1"/>
  <c r="S193" i="1"/>
  <c r="S194" i="1"/>
  <c r="S1214" i="1"/>
  <c r="S1215" i="1"/>
  <c r="S1216" i="1"/>
  <c r="S1217" i="1"/>
  <c r="S195" i="1"/>
  <c r="S1218" i="1"/>
  <c r="S1219" i="1"/>
  <c r="S1220" i="1"/>
  <c r="S196" i="1"/>
  <c r="S1221" i="1"/>
  <c r="S1222" i="1"/>
  <c r="S1223" i="1"/>
  <c r="S1224" i="1"/>
  <c r="S197" i="1"/>
  <c r="S1225" i="1"/>
  <c r="S1226" i="1"/>
  <c r="S1227" i="1"/>
  <c r="S198" i="1"/>
  <c r="S1228" i="1"/>
  <c r="S1229" i="1"/>
  <c r="S1230" i="1"/>
  <c r="S1231" i="1"/>
  <c r="S199" i="1"/>
  <c r="S1232" i="1"/>
  <c r="S1233" i="1"/>
  <c r="S1234" i="1"/>
  <c r="S1235" i="1"/>
  <c r="S1236" i="1"/>
  <c r="S1237" i="1"/>
  <c r="S1238" i="1"/>
  <c r="S1239" i="1"/>
  <c r="S1240" i="1"/>
  <c r="R1241" i="1"/>
  <c r="R1242" i="1"/>
  <c r="R1243" i="1"/>
  <c r="R1244" i="1"/>
  <c r="R1245" i="1"/>
  <c r="R1246" i="1"/>
  <c r="R1247" i="1"/>
  <c r="R1248" i="1"/>
  <c r="R1249" i="1"/>
  <c r="T1249" i="1" s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200" i="1"/>
  <c r="R201" i="1"/>
  <c r="R202" i="1"/>
  <c r="R203" i="1"/>
  <c r="R204" i="1"/>
  <c r="R205" i="1"/>
  <c r="R206" i="1"/>
  <c r="R207" i="1"/>
  <c r="R208" i="1"/>
  <c r="R2" i="1"/>
  <c r="R3" i="1"/>
  <c r="R209" i="1"/>
  <c r="R210" i="1"/>
  <c r="R211" i="1"/>
  <c r="R212" i="1"/>
  <c r="R213" i="1"/>
  <c r="R214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T1336" i="1" s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T1356" i="1" s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T1373" i="1" s="1"/>
  <c r="R1374" i="1"/>
  <c r="R1375" i="1"/>
  <c r="R1376" i="1"/>
  <c r="T1376" i="1" s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T1396" i="1" s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T1416" i="1" s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T1432" i="1" s="1"/>
  <c r="R1433" i="1"/>
  <c r="R1434" i="1"/>
  <c r="R1435" i="1"/>
  <c r="R1436" i="1"/>
  <c r="T1436" i="1" s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T1456" i="1" s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T1476" i="1" s="1"/>
  <c r="R1477" i="1"/>
  <c r="R1478" i="1"/>
  <c r="R1479" i="1"/>
  <c r="R1480" i="1"/>
  <c r="R1481" i="1"/>
  <c r="R1482" i="1"/>
  <c r="R215" i="1"/>
  <c r="R216" i="1"/>
  <c r="R217" i="1"/>
  <c r="R218" i="1"/>
  <c r="R219" i="1"/>
  <c r="R220" i="1"/>
  <c r="R221" i="1"/>
  <c r="R222" i="1"/>
  <c r="R223" i="1"/>
  <c r="R4" i="1"/>
  <c r="R5" i="1"/>
  <c r="R224" i="1"/>
  <c r="R225" i="1"/>
  <c r="R226" i="1"/>
  <c r="T226" i="1" s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T246" i="1" s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T266" i="1" s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T286" i="1" s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T306" i="1" s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T326" i="1" s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T346" i="1" s="1"/>
  <c r="R347" i="1"/>
  <c r="R348" i="1"/>
  <c r="R349" i="1"/>
  <c r="R350" i="1"/>
  <c r="R351" i="1"/>
  <c r="R352" i="1"/>
  <c r="R353" i="1"/>
  <c r="T353" i="1" s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T366" i="1" s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T386" i="1" s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T406" i="1" s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T426" i="1" s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T446" i="1" s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T466" i="1" s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T486" i="1" s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T506" i="1" s="1"/>
  <c r="R507" i="1"/>
  <c r="R508" i="1"/>
  <c r="R509" i="1"/>
  <c r="R510" i="1"/>
  <c r="R511" i="1"/>
  <c r="R512" i="1"/>
  <c r="R513" i="1"/>
  <c r="R514" i="1"/>
  <c r="R515" i="1"/>
  <c r="R516" i="1"/>
  <c r="R517" i="1"/>
  <c r="R6" i="1"/>
  <c r="R518" i="1"/>
  <c r="R7" i="1"/>
  <c r="R519" i="1"/>
  <c r="R8" i="1"/>
  <c r="R9" i="1"/>
  <c r="R520" i="1"/>
  <c r="R10" i="1"/>
  <c r="R521" i="1"/>
  <c r="T521" i="1" s="1"/>
  <c r="R11" i="1"/>
  <c r="R522" i="1"/>
  <c r="R12" i="1"/>
  <c r="R523" i="1"/>
  <c r="R13" i="1"/>
  <c r="R524" i="1"/>
  <c r="R14" i="1"/>
  <c r="R525" i="1"/>
  <c r="R15" i="1"/>
  <c r="R526" i="1"/>
  <c r="R16" i="1"/>
  <c r="R527" i="1"/>
  <c r="R17" i="1"/>
  <c r="R528" i="1"/>
  <c r="R18" i="1"/>
  <c r="R19" i="1"/>
  <c r="R529" i="1"/>
  <c r="R530" i="1"/>
  <c r="R531" i="1"/>
  <c r="R532" i="1"/>
  <c r="T532" i="1" s="1"/>
  <c r="R20" i="1"/>
  <c r="R533" i="1"/>
  <c r="R534" i="1"/>
  <c r="R535" i="1"/>
  <c r="R21" i="1"/>
  <c r="R536" i="1"/>
  <c r="R537" i="1"/>
  <c r="R538" i="1"/>
  <c r="R539" i="1"/>
  <c r="R22" i="1"/>
  <c r="R540" i="1"/>
  <c r="R541" i="1"/>
  <c r="R542" i="1"/>
  <c r="R23" i="1"/>
  <c r="R543" i="1"/>
  <c r="R544" i="1"/>
  <c r="R545" i="1"/>
  <c r="R546" i="1"/>
  <c r="R24" i="1"/>
  <c r="R547" i="1"/>
  <c r="T547" i="1" s="1"/>
  <c r="R548" i="1"/>
  <c r="R549" i="1"/>
  <c r="R550" i="1"/>
  <c r="R25" i="1"/>
  <c r="R551" i="1"/>
  <c r="R26" i="1"/>
  <c r="R552" i="1"/>
  <c r="R27" i="1"/>
  <c r="R553" i="1"/>
  <c r="R28" i="1"/>
  <c r="R554" i="1"/>
  <c r="R29" i="1"/>
  <c r="R555" i="1"/>
  <c r="R30" i="1"/>
  <c r="R556" i="1"/>
  <c r="R31" i="1"/>
  <c r="R557" i="1"/>
  <c r="T557" i="1" s="1"/>
  <c r="R32" i="1"/>
  <c r="R558" i="1"/>
  <c r="R33" i="1"/>
  <c r="T33" i="1" s="1"/>
  <c r="R34" i="1"/>
  <c r="R559" i="1"/>
  <c r="R560" i="1"/>
  <c r="R561" i="1"/>
  <c r="R562" i="1"/>
  <c r="R35" i="1"/>
  <c r="R563" i="1"/>
  <c r="R564" i="1"/>
  <c r="R565" i="1"/>
  <c r="R36" i="1"/>
  <c r="R566" i="1"/>
  <c r="R567" i="1"/>
  <c r="R568" i="1"/>
  <c r="R569" i="1"/>
  <c r="R37" i="1"/>
  <c r="R570" i="1"/>
  <c r="R571" i="1"/>
  <c r="R572" i="1"/>
  <c r="R38" i="1"/>
  <c r="R573" i="1"/>
  <c r="T573" i="1" s="1"/>
  <c r="R574" i="1"/>
  <c r="R575" i="1"/>
  <c r="R576" i="1"/>
  <c r="R39" i="1"/>
  <c r="R577" i="1"/>
  <c r="R578" i="1"/>
  <c r="R579" i="1"/>
  <c r="R580" i="1"/>
  <c r="R40" i="1"/>
  <c r="R581" i="1"/>
  <c r="R41" i="1"/>
  <c r="R582" i="1"/>
  <c r="R42" i="1"/>
  <c r="R583" i="1"/>
  <c r="R43" i="1"/>
  <c r="R584" i="1"/>
  <c r="R44" i="1"/>
  <c r="R585" i="1"/>
  <c r="R45" i="1"/>
  <c r="R586" i="1"/>
  <c r="T586" i="1" s="1"/>
  <c r="R46" i="1"/>
  <c r="R587" i="1"/>
  <c r="R47" i="1"/>
  <c r="R588" i="1"/>
  <c r="R48" i="1"/>
  <c r="R49" i="1"/>
  <c r="R589" i="1"/>
  <c r="R590" i="1"/>
  <c r="R591" i="1"/>
  <c r="R592" i="1"/>
  <c r="R50" i="1"/>
  <c r="R593" i="1"/>
  <c r="R594" i="1"/>
  <c r="R595" i="1"/>
  <c r="R51" i="1"/>
  <c r="R596" i="1"/>
  <c r="R597" i="1"/>
  <c r="R598" i="1"/>
  <c r="R599" i="1"/>
  <c r="R52" i="1"/>
  <c r="T52" i="1" s="1"/>
  <c r="R600" i="1"/>
  <c r="R601" i="1"/>
  <c r="R602" i="1"/>
  <c r="R53" i="1"/>
  <c r="R603" i="1"/>
  <c r="R604" i="1"/>
  <c r="R605" i="1"/>
  <c r="R606" i="1"/>
  <c r="R54" i="1"/>
  <c r="R607" i="1"/>
  <c r="R608" i="1"/>
  <c r="R609" i="1"/>
  <c r="R610" i="1"/>
  <c r="R55" i="1"/>
  <c r="R611" i="1"/>
  <c r="R56" i="1"/>
  <c r="R612" i="1"/>
  <c r="R57" i="1"/>
  <c r="R613" i="1"/>
  <c r="R58" i="1"/>
  <c r="T58" i="1" s="1"/>
  <c r="R614" i="1"/>
  <c r="R59" i="1"/>
  <c r="R615" i="1"/>
  <c r="R60" i="1"/>
  <c r="R616" i="1"/>
  <c r="R61" i="1"/>
  <c r="R617" i="1"/>
  <c r="R62" i="1"/>
  <c r="R618" i="1"/>
  <c r="R63" i="1"/>
  <c r="R64" i="1"/>
  <c r="R619" i="1"/>
  <c r="R620" i="1"/>
  <c r="R621" i="1"/>
  <c r="R622" i="1"/>
  <c r="R65" i="1"/>
  <c r="R623" i="1"/>
  <c r="R624" i="1"/>
  <c r="R625" i="1"/>
  <c r="R66" i="1"/>
  <c r="T66" i="1" s="1"/>
  <c r="R626" i="1"/>
  <c r="R627" i="1"/>
  <c r="R628" i="1"/>
  <c r="R629" i="1"/>
  <c r="R67" i="1"/>
  <c r="R630" i="1"/>
  <c r="R631" i="1"/>
  <c r="R632" i="1"/>
  <c r="R68" i="1"/>
  <c r="R633" i="1"/>
  <c r="R634" i="1"/>
  <c r="R635" i="1"/>
  <c r="R636" i="1"/>
  <c r="R69" i="1"/>
  <c r="R637" i="1"/>
  <c r="R638" i="1"/>
  <c r="R639" i="1"/>
  <c r="R640" i="1"/>
  <c r="R70" i="1"/>
  <c r="R641" i="1"/>
  <c r="T641" i="1" s="1"/>
  <c r="R71" i="1"/>
  <c r="R642" i="1"/>
  <c r="R72" i="1"/>
  <c r="R643" i="1"/>
  <c r="R73" i="1"/>
  <c r="R644" i="1"/>
  <c r="R74" i="1"/>
  <c r="R645" i="1"/>
  <c r="R75" i="1"/>
  <c r="R646" i="1"/>
  <c r="R76" i="1"/>
  <c r="R647" i="1"/>
  <c r="R77" i="1"/>
  <c r="R648" i="1"/>
  <c r="R78" i="1"/>
  <c r="R79" i="1"/>
  <c r="R649" i="1"/>
  <c r="R650" i="1"/>
  <c r="R651" i="1"/>
  <c r="R652" i="1"/>
  <c r="T652" i="1" s="1"/>
  <c r="R80" i="1"/>
  <c r="R653" i="1"/>
  <c r="R654" i="1"/>
  <c r="R655" i="1"/>
  <c r="R81" i="1"/>
  <c r="R656" i="1"/>
  <c r="R657" i="1"/>
  <c r="R658" i="1"/>
  <c r="R659" i="1"/>
  <c r="R82" i="1"/>
  <c r="R660" i="1"/>
  <c r="R661" i="1"/>
  <c r="R662" i="1"/>
  <c r="R83" i="1"/>
  <c r="R663" i="1"/>
  <c r="R664" i="1"/>
  <c r="R665" i="1"/>
  <c r="R666" i="1"/>
  <c r="R84" i="1"/>
  <c r="R667" i="1"/>
  <c r="T667" i="1" s="1"/>
  <c r="R668" i="1"/>
  <c r="R669" i="1"/>
  <c r="R670" i="1"/>
  <c r="R85" i="1"/>
  <c r="R671" i="1"/>
  <c r="R86" i="1"/>
  <c r="R672" i="1"/>
  <c r="R87" i="1"/>
  <c r="R673" i="1"/>
  <c r="R88" i="1"/>
  <c r="R674" i="1"/>
  <c r="R89" i="1"/>
  <c r="R675" i="1"/>
  <c r="R90" i="1"/>
  <c r="R676" i="1"/>
  <c r="R91" i="1"/>
  <c r="R677" i="1"/>
  <c r="R92" i="1"/>
  <c r="R678" i="1"/>
  <c r="R93" i="1"/>
  <c r="T93" i="1" s="1"/>
  <c r="R94" i="1"/>
  <c r="R679" i="1"/>
  <c r="R680" i="1"/>
  <c r="R681" i="1"/>
  <c r="R682" i="1"/>
  <c r="R95" i="1"/>
  <c r="R683" i="1"/>
  <c r="R684" i="1"/>
  <c r="R685" i="1"/>
  <c r="R96" i="1"/>
  <c r="R686" i="1"/>
  <c r="R687" i="1"/>
  <c r="R688" i="1"/>
  <c r="R689" i="1"/>
  <c r="R97" i="1"/>
  <c r="R690" i="1"/>
  <c r="R691" i="1"/>
  <c r="R692" i="1"/>
  <c r="R98" i="1"/>
  <c r="R693" i="1"/>
  <c r="T693" i="1" s="1"/>
  <c r="R694" i="1"/>
  <c r="R695" i="1"/>
  <c r="R696" i="1"/>
  <c r="R99" i="1"/>
  <c r="R697" i="1"/>
  <c r="R698" i="1"/>
  <c r="R699" i="1"/>
  <c r="R700" i="1"/>
  <c r="R701" i="1"/>
  <c r="R702" i="1"/>
  <c r="R703" i="1"/>
  <c r="R704" i="1"/>
  <c r="R1483" i="1"/>
  <c r="R1484" i="1"/>
  <c r="R1485" i="1"/>
  <c r="R1486" i="1"/>
  <c r="R1487" i="1"/>
  <c r="R1488" i="1"/>
  <c r="R1489" i="1"/>
  <c r="R1490" i="1"/>
  <c r="T1490" i="1" s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T1510" i="1" s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705" i="1"/>
  <c r="T705" i="1" s="1"/>
  <c r="R706" i="1"/>
  <c r="R707" i="1"/>
  <c r="R708" i="1"/>
  <c r="R70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T1545" i="1" s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T1565" i="1" s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T1585" i="1" s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T1605" i="1" s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T1625" i="1" s="1"/>
  <c r="R1626" i="1"/>
  <c r="R1627" i="1"/>
  <c r="R1628" i="1"/>
  <c r="R710" i="1"/>
  <c r="R711" i="1"/>
  <c r="R712" i="1"/>
  <c r="R713" i="1"/>
  <c r="R714" i="1"/>
  <c r="R715" i="1"/>
  <c r="R716" i="1"/>
  <c r="R717" i="1"/>
  <c r="R718" i="1"/>
  <c r="R100" i="1"/>
  <c r="R101" i="1"/>
  <c r="R719" i="1"/>
  <c r="R720" i="1"/>
  <c r="R721" i="1"/>
  <c r="R722" i="1"/>
  <c r="R723" i="1"/>
  <c r="R724" i="1"/>
  <c r="T724" i="1" s="1"/>
  <c r="R725" i="1"/>
  <c r="R726" i="1"/>
  <c r="R727" i="1"/>
  <c r="R728" i="1"/>
  <c r="R729" i="1"/>
  <c r="R1629" i="1"/>
  <c r="R1630" i="1"/>
  <c r="R1631" i="1"/>
  <c r="R1632" i="1"/>
  <c r="R1633" i="1"/>
  <c r="R1634" i="1"/>
  <c r="R1635" i="1"/>
  <c r="R1636" i="1"/>
  <c r="R1637" i="1"/>
  <c r="R1638" i="1"/>
  <c r="R1639" i="1"/>
  <c r="T1639" i="1" s="1"/>
  <c r="R1640" i="1"/>
  <c r="R1641" i="1"/>
  <c r="R1642" i="1"/>
  <c r="R1643" i="1"/>
  <c r="T1643" i="1" s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T1663" i="1" s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T1683" i="1" s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T1703" i="1" s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T1723" i="1" s="1"/>
  <c r="R1724" i="1"/>
  <c r="R1725" i="1"/>
  <c r="R1726" i="1"/>
  <c r="R1727" i="1"/>
  <c r="R730" i="1"/>
  <c r="R731" i="1"/>
  <c r="R732" i="1"/>
  <c r="R733" i="1"/>
  <c r="R734" i="1"/>
  <c r="R735" i="1"/>
  <c r="R736" i="1"/>
  <c r="R737" i="1"/>
  <c r="R738" i="1"/>
  <c r="R102" i="1"/>
  <c r="R103" i="1"/>
  <c r="R739" i="1"/>
  <c r="R740" i="1"/>
  <c r="R741" i="1"/>
  <c r="R742" i="1"/>
  <c r="R743" i="1"/>
  <c r="T743" i="1" s="1"/>
  <c r="R744" i="1"/>
  <c r="R745" i="1"/>
  <c r="R746" i="1"/>
  <c r="R747" i="1"/>
  <c r="R748" i="1"/>
  <c r="R749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T1741" i="1" s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T1761" i="1" s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T1781" i="1" s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T1801" i="1" s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T1821" i="1" s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T1841" i="1" s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T1861" i="1" s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T1881" i="1" s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T1901" i="1" s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T1921" i="1" s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750" i="1"/>
  <c r="R751" i="1"/>
  <c r="R752" i="1"/>
  <c r="R753" i="1"/>
  <c r="R754" i="1"/>
  <c r="R755" i="1"/>
  <c r="R756" i="1"/>
  <c r="T756" i="1" s="1"/>
  <c r="R757" i="1"/>
  <c r="R758" i="1"/>
  <c r="R104" i="1"/>
  <c r="R105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T770" i="1" s="1"/>
  <c r="R771" i="1"/>
  <c r="R772" i="1"/>
  <c r="R773" i="1"/>
  <c r="R774" i="1"/>
  <c r="T774" i="1" s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T789" i="1" s="1"/>
  <c r="R790" i="1"/>
  <c r="R791" i="1"/>
  <c r="R792" i="1"/>
  <c r="R793" i="1"/>
  <c r="R794" i="1"/>
  <c r="T794" i="1" s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T814" i="1" s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T834" i="1" s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T854" i="1" s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T874" i="1" s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T894" i="1" s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T914" i="1" s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T934" i="1" s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T954" i="1" s="1"/>
  <c r="R955" i="1"/>
  <c r="T955" i="1" s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T974" i="1" s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T994" i="1" s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T1014" i="1" s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T1034" i="1" s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6" i="1"/>
  <c r="R1053" i="1"/>
  <c r="T1053" i="1" s="1"/>
  <c r="R107" i="1"/>
  <c r="R1054" i="1"/>
  <c r="R108" i="1"/>
  <c r="R109" i="1"/>
  <c r="R1055" i="1"/>
  <c r="R110" i="1"/>
  <c r="R1056" i="1"/>
  <c r="R111" i="1"/>
  <c r="R1057" i="1"/>
  <c r="R112" i="1"/>
  <c r="R1058" i="1"/>
  <c r="R113" i="1"/>
  <c r="R1059" i="1"/>
  <c r="R114" i="1"/>
  <c r="R1060" i="1"/>
  <c r="R115" i="1"/>
  <c r="R1061" i="1"/>
  <c r="R116" i="1"/>
  <c r="R1062" i="1"/>
  <c r="R117" i="1"/>
  <c r="T117" i="1" s="1"/>
  <c r="R1063" i="1"/>
  <c r="R118" i="1"/>
  <c r="R119" i="1"/>
  <c r="R1064" i="1"/>
  <c r="R1065" i="1"/>
  <c r="R1066" i="1"/>
  <c r="R1067" i="1"/>
  <c r="R120" i="1"/>
  <c r="R1068" i="1"/>
  <c r="R1069" i="1"/>
  <c r="R1070" i="1"/>
  <c r="R121" i="1"/>
  <c r="R1071" i="1"/>
  <c r="R1072" i="1"/>
  <c r="R1073" i="1"/>
  <c r="R1074" i="1"/>
  <c r="R122" i="1"/>
  <c r="T122" i="1" s="1"/>
  <c r="R1075" i="1"/>
  <c r="R1076" i="1"/>
  <c r="R1077" i="1"/>
  <c r="T1077" i="1" s="1"/>
  <c r="R123" i="1"/>
  <c r="R1078" i="1"/>
  <c r="R1079" i="1"/>
  <c r="R1080" i="1"/>
  <c r="R1081" i="1"/>
  <c r="R124" i="1"/>
  <c r="R1082" i="1"/>
  <c r="R1083" i="1"/>
  <c r="R1084" i="1"/>
  <c r="R1085" i="1"/>
  <c r="R125" i="1"/>
  <c r="R1086" i="1"/>
  <c r="R126" i="1"/>
  <c r="R1087" i="1"/>
  <c r="R127" i="1"/>
  <c r="R1088" i="1"/>
  <c r="R128" i="1"/>
  <c r="R1089" i="1"/>
  <c r="R129" i="1"/>
  <c r="R1090" i="1"/>
  <c r="T1090" i="1" s="1"/>
  <c r="R130" i="1"/>
  <c r="R1091" i="1"/>
  <c r="R131" i="1"/>
  <c r="R1092" i="1"/>
  <c r="R132" i="1"/>
  <c r="R1093" i="1"/>
  <c r="R133" i="1"/>
  <c r="R134" i="1"/>
  <c r="R1094" i="1"/>
  <c r="R1095" i="1"/>
  <c r="R1096" i="1"/>
  <c r="R1097" i="1"/>
  <c r="R135" i="1"/>
  <c r="R1098" i="1"/>
  <c r="R1099" i="1"/>
  <c r="R1100" i="1"/>
  <c r="R136" i="1"/>
  <c r="R1101" i="1"/>
  <c r="R1102" i="1"/>
  <c r="R1103" i="1"/>
  <c r="T1103" i="1" s="1"/>
  <c r="R1104" i="1"/>
  <c r="R137" i="1"/>
  <c r="R1105" i="1"/>
  <c r="R1106" i="1"/>
  <c r="R1107" i="1"/>
  <c r="R138" i="1"/>
  <c r="R1108" i="1"/>
  <c r="R1109" i="1"/>
  <c r="R1110" i="1"/>
  <c r="R1111" i="1"/>
  <c r="R139" i="1"/>
  <c r="R1112" i="1"/>
  <c r="R1113" i="1"/>
  <c r="R1114" i="1"/>
  <c r="R1115" i="1"/>
  <c r="R140" i="1"/>
  <c r="R1116" i="1"/>
  <c r="R141" i="1"/>
  <c r="R1117" i="1"/>
  <c r="R142" i="1"/>
  <c r="T142" i="1" s="1"/>
  <c r="R1118" i="1"/>
  <c r="R143" i="1"/>
  <c r="R1119" i="1"/>
  <c r="R144" i="1"/>
  <c r="R1120" i="1"/>
  <c r="R145" i="1"/>
  <c r="R1121" i="1"/>
  <c r="R146" i="1"/>
  <c r="R1122" i="1"/>
  <c r="R147" i="1"/>
  <c r="R1123" i="1"/>
  <c r="R148" i="1"/>
  <c r="R149" i="1"/>
  <c r="R1124" i="1"/>
  <c r="R1125" i="1"/>
  <c r="R1126" i="1"/>
  <c r="R1127" i="1"/>
  <c r="R150" i="1"/>
  <c r="R1128" i="1"/>
  <c r="R1129" i="1"/>
  <c r="T1129" i="1" s="1"/>
  <c r="R1130" i="1"/>
  <c r="R151" i="1"/>
  <c r="R1131" i="1"/>
  <c r="R1132" i="1"/>
  <c r="R1133" i="1"/>
  <c r="R1134" i="1"/>
  <c r="R152" i="1"/>
  <c r="R1135" i="1"/>
  <c r="R1136" i="1"/>
  <c r="R1137" i="1"/>
  <c r="R153" i="1"/>
  <c r="R1138" i="1"/>
  <c r="R1139" i="1"/>
  <c r="R1140" i="1"/>
  <c r="R1141" i="1"/>
  <c r="R154" i="1"/>
  <c r="R1142" i="1"/>
  <c r="R1143" i="1"/>
  <c r="R1144" i="1"/>
  <c r="R1145" i="1"/>
  <c r="T1145" i="1" s="1"/>
  <c r="R155" i="1"/>
  <c r="R1146" i="1"/>
  <c r="R156" i="1"/>
  <c r="R1147" i="1"/>
  <c r="R157" i="1"/>
  <c r="R1148" i="1"/>
  <c r="R158" i="1"/>
  <c r="R1149" i="1"/>
  <c r="R159" i="1"/>
  <c r="R1150" i="1"/>
  <c r="R160" i="1"/>
  <c r="R1151" i="1"/>
  <c r="R161" i="1"/>
  <c r="R1152" i="1"/>
  <c r="R162" i="1"/>
  <c r="R1153" i="1"/>
  <c r="R163" i="1"/>
  <c r="R164" i="1"/>
  <c r="R1154" i="1"/>
  <c r="R1155" i="1"/>
  <c r="T1155" i="1" s="1"/>
  <c r="R1156" i="1"/>
  <c r="R1157" i="1"/>
  <c r="R165" i="1"/>
  <c r="R1158" i="1"/>
  <c r="R1159" i="1"/>
  <c r="R1160" i="1"/>
  <c r="R166" i="1"/>
  <c r="R1161" i="1"/>
  <c r="R1162" i="1"/>
  <c r="R1163" i="1"/>
  <c r="R1164" i="1"/>
  <c r="R167" i="1"/>
  <c r="R1165" i="1"/>
  <c r="R1166" i="1"/>
  <c r="R1167" i="1"/>
  <c r="R168" i="1"/>
  <c r="R1168" i="1"/>
  <c r="R1169" i="1"/>
  <c r="R1170" i="1"/>
  <c r="R1171" i="1"/>
  <c r="T1171" i="1" s="1"/>
  <c r="R169" i="1"/>
  <c r="R1172" i="1"/>
  <c r="R1173" i="1"/>
  <c r="R1174" i="1"/>
  <c r="R1175" i="1"/>
  <c r="R170" i="1"/>
  <c r="R1176" i="1"/>
  <c r="R171" i="1"/>
  <c r="R1177" i="1"/>
  <c r="R172" i="1"/>
  <c r="R1178" i="1"/>
  <c r="R173" i="1"/>
  <c r="R1179" i="1"/>
  <c r="R174" i="1"/>
  <c r="R1180" i="1"/>
  <c r="R175" i="1"/>
  <c r="R1181" i="1"/>
  <c r="R176" i="1"/>
  <c r="R1182" i="1"/>
  <c r="R177" i="1"/>
  <c r="T177" i="1" s="1"/>
  <c r="R1183" i="1"/>
  <c r="R178" i="1"/>
  <c r="R179" i="1"/>
  <c r="R1184" i="1"/>
  <c r="R1185" i="1"/>
  <c r="R1186" i="1"/>
  <c r="R1187" i="1"/>
  <c r="R180" i="1"/>
  <c r="R1188" i="1"/>
  <c r="R1189" i="1"/>
  <c r="R1190" i="1"/>
  <c r="R181" i="1"/>
  <c r="R1191" i="1"/>
  <c r="R1192" i="1"/>
  <c r="R1193" i="1"/>
  <c r="R1194" i="1"/>
  <c r="R182" i="1"/>
  <c r="T182" i="1" s="1"/>
  <c r="R1195" i="1"/>
  <c r="R1196" i="1"/>
  <c r="R1197" i="1"/>
  <c r="T1197" i="1" s="1"/>
  <c r="R183" i="1"/>
  <c r="R1198" i="1"/>
  <c r="R1199" i="1"/>
  <c r="R1200" i="1"/>
  <c r="R1201" i="1"/>
  <c r="R184" i="1"/>
  <c r="R1202" i="1"/>
  <c r="R1203" i="1"/>
  <c r="R1204" i="1"/>
  <c r="R1205" i="1"/>
  <c r="R185" i="1"/>
  <c r="R1206" i="1"/>
  <c r="R186" i="1"/>
  <c r="R1207" i="1"/>
  <c r="R187" i="1"/>
  <c r="R1208" i="1"/>
  <c r="R188" i="1"/>
  <c r="R1209" i="1"/>
  <c r="R189" i="1"/>
  <c r="R1210" i="1"/>
  <c r="T1210" i="1" s="1"/>
  <c r="R190" i="1"/>
  <c r="R1211" i="1"/>
  <c r="R191" i="1"/>
  <c r="R1212" i="1"/>
  <c r="R192" i="1"/>
  <c r="R1213" i="1"/>
  <c r="R193" i="1"/>
  <c r="R194" i="1"/>
  <c r="R1214" i="1"/>
  <c r="R1215" i="1"/>
  <c r="R1216" i="1"/>
  <c r="R1217" i="1"/>
  <c r="R195" i="1"/>
  <c r="R1218" i="1"/>
  <c r="R1219" i="1"/>
  <c r="R1220" i="1"/>
  <c r="R196" i="1"/>
  <c r="R1221" i="1"/>
  <c r="R1222" i="1"/>
  <c r="R1223" i="1"/>
  <c r="T1223" i="1" s="1"/>
  <c r="R1224" i="1"/>
  <c r="R197" i="1"/>
  <c r="R1225" i="1"/>
  <c r="R1226" i="1"/>
  <c r="R1227" i="1"/>
  <c r="R198" i="1"/>
  <c r="R1228" i="1"/>
  <c r="R1229" i="1"/>
  <c r="R1230" i="1"/>
  <c r="R1231" i="1"/>
  <c r="R199" i="1"/>
  <c r="R1232" i="1"/>
  <c r="R1233" i="1"/>
  <c r="R1234" i="1"/>
  <c r="R1235" i="1"/>
  <c r="R1236" i="1"/>
  <c r="R1237" i="1"/>
  <c r="R1238" i="1"/>
  <c r="R1239" i="1"/>
  <c r="R1240" i="1"/>
  <c r="T1240" i="1" s="1"/>
  <c r="AF4" i="1"/>
  <c r="AF2" i="1"/>
  <c r="AF1" i="1"/>
  <c r="T801" i="1" l="1"/>
  <c r="T1630" i="1"/>
  <c r="T617" i="1"/>
  <c r="T513" i="1"/>
  <c r="T413" i="1"/>
  <c r="T1343" i="1"/>
  <c r="T781" i="1"/>
  <c r="T941" i="1"/>
  <c r="T1928" i="1"/>
  <c r="T1788" i="1"/>
  <c r="T1710" i="1"/>
  <c r="T657" i="1"/>
  <c r="T377" i="1"/>
  <c r="T1810" i="1"/>
  <c r="T707" i="1"/>
  <c r="T700" i="1"/>
  <c r="T147" i="1"/>
  <c r="T1004" i="1"/>
  <c r="T784" i="1"/>
  <c r="T236" i="1"/>
  <c r="T1160" i="1"/>
  <c r="T749" i="1"/>
  <c r="T1629" i="1"/>
  <c r="T352" i="1"/>
  <c r="T1186" i="1"/>
  <c r="T145" i="1"/>
  <c r="T880" i="1"/>
  <c r="T1907" i="1"/>
  <c r="T1402" i="1"/>
  <c r="T1302" i="1"/>
  <c r="T940" i="1"/>
  <c r="T1927" i="1"/>
  <c r="T1847" i="1"/>
  <c r="T1787" i="1"/>
  <c r="T1669" i="1"/>
  <c r="T61" i="1"/>
  <c r="T432" i="1"/>
  <c r="T332" i="1"/>
  <c r="T1462" i="1"/>
  <c r="T1342" i="1"/>
  <c r="T523" i="1"/>
  <c r="T1300" i="1"/>
  <c r="T1213" i="1"/>
  <c r="T170" i="1"/>
  <c r="T840" i="1"/>
  <c r="T780" i="1"/>
  <c r="T1827" i="1"/>
  <c r="T1767" i="1"/>
  <c r="T1709" i="1"/>
  <c r="T656" i="1"/>
  <c r="T604" i="1"/>
  <c r="T524" i="1"/>
  <c r="T412" i="1"/>
  <c r="T203" i="1"/>
  <c r="T197" i="1"/>
  <c r="T1211" i="1"/>
  <c r="T1198" i="1"/>
  <c r="T178" i="1"/>
  <c r="T1172" i="1"/>
  <c r="T1157" i="1"/>
  <c r="T1146" i="1"/>
  <c r="T151" i="1"/>
  <c r="T143" i="1"/>
  <c r="T137" i="1"/>
  <c r="T1091" i="1"/>
  <c r="T1078" i="1"/>
  <c r="T118" i="1"/>
  <c r="T1054" i="1"/>
  <c r="T1036" i="1"/>
  <c r="T1016" i="1"/>
  <c r="T996" i="1"/>
  <c r="T976" i="1"/>
  <c r="T956" i="1"/>
  <c r="T936" i="1"/>
  <c r="T916" i="1"/>
  <c r="T896" i="1"/>
  <c r="T876" i="1"/>
  <c r="T856" i="1"/>
  <c r="T836" i="1"/>
  <c r="T816" i="1"/>
  <c r="T796" i="1"/>
  <c r="T776" i="1"/>
  <c r="T758" i="1"/>
  <c r="T1923" i="1"/>
  <c r="T1903" i="1"/>
  <c r="T1883" i="1"/>
  <c r="T1863" i="1"/>
  <c r="T1843" i="1"/>
  <c r="T1607" i="1"/>
  <c r="T1547" i="1"/>
  <c r="T408" i="1"/>
  <c r="T348" i="1"/>
  <c r="T1278" i="1"/>
  <c r="T190" i="1"/>
  <c r="T1183" i="1"/>
  <c r="T155" i="1"/>
  <c r="T1118" i="1"/>
  <c r="T130" i="1"/>
  <c r="T1063" i="1"/>
  <c r="T1035" i="1"/>
  <c r="T1015" i="1"/>
  <c r="T975" i="1"/>
  <c r="T935" i="1"/>
  <c r="T915" i="1"/>
  <c r="T875" i="1"/>
  <c r="T855" i="1"/>
  <c r="T835" i="1"/>
  <c r="T815" i="1"/>
  <c r="T795" i="1"/>
  <c r="T775" i="1"/>
  <c r="T757" i="1"/>
  <c r="T1922" i="1"/>
  <c r="T1902" i="1"/>
  <c r="T1882" i="1"/>
  <c r="T1862" i="1"/>
  <c r="T1842" i="1"/>
  <c r="T1822" i="1"/>
  <c r="T1802" i="1"/>
  <c r="T1782" i="1"/>
  <c r="T1762" i="1"/>
  <c r="T1742" i="1"/>
  <c r="T744" i="1"/>
  <c r="T1724" i="1"/>
  <c r="T1704" i="1"/>
  <c r="T1684" i="1"/>
  <c r="T1664" i="1"/>
  <c r="T1644" i="1"/>
  <c r="T725" i="1"/>
  <c r="T1626" i="1"/>
  <c r="T1606" i="1"/>
  <c r="T1586" i="1"/>
  <c r="T1566" i="1"/>
  <c r="T1546" i="1"/>
  <c r="T706" i="1"/>
  <c r="T1511" i="1"/>
  <c r="T1491" i="1"/>
  <c r="T694" i="1"/>
  <c r="T94" i="1"/>
  <c r="T668" i="1"/>
  <c r="T80" i="1"/>
  <c r="T71" i="1"/>
  <c r="T626" i="1"/>
  <c r="T614" i="1"/>
  <c r="T600" i="1"/>
  <c r="T46" i="1"/>
  <c r="T574" i="1"/>
  <c r="T34" i="1"/>
  <c r="T548" i="1"/>
  <c r="T1277" i="1"/>
  <c r="T1253" i="1"/>
  <c r="T1224" i="1"/>
  <c r="T183" i="1"/>
  <c r="T169" i="1"/>
  <c r="T1156" i="1"/>
  <c r="T1130" i="1"/>
  <c r="T1104" i="1"/>
  <c r="T123" i="1"/>
  <c r="T107" i="1"/>
  <c r="T995" i="1"/>
  <c r="T895" i="1"/>
  <c r="T1316" i="1"/>
  <c r="T1296" i="1"/>
  <c r="T1276" i="1"/>
  <c r="T1273" i="1"/>
  <c r="T357" i="1"/>
  <c r="T1057" i="1"/>
  <c r="T1003" i="1"/>
  <c r="T943" i="1"/>
  <c r="T823" i="1"/>
  <c r="T803" i="1"/>
  <c r="T1712" i="1"/>
  <c r="T1652" i="1"/>
  <c r="T15" i="1"/>
  <c r="T495" i="1"/>
  <c r="T395" i="1"/>
  <c r="T1425" i="1"/>
  <c r="T1405" i="1"/>
  <c r="T1218" i="1"/>
  <c r="T1124" i="1"/>
  <c r="T1087" i="1"/>
  <c r="T114" i="1"/>
  <c r="T848" i="1"/>
  <c r="T768" i="1"/>
  <c r="T1855" i="1"/>
  <c r="T1619" i="1"/>
  <c r="T1539" i="1"/>
  <c r="T90" i="1"/>
  <c r="T69" i="1"/>
  <c r="T460" i="1"/>
  <c r="T360" i="1"/>
  <c r="T1370" i="1"/>
  <c r="T1310" i="1"/>
  <c r="T1247" i="1"/>
  <c r="T3" i="1"/>
  <c r="T1217" i="1"/>
  <c r="T181" i="1"/>
  <c r="T167" i="1"/>
  <c r="T1138" i="1"/>
  <c r="T1112" i="1"/>
  <c r="T1086" i="1"/>
  <c r="T121" i="1"/>
  <c r="T113" i="1"/>
  <c r="T1046" i="1"/>
  <c r="T1026" i="1"/>
  <c r="T966" i="1"/>
  <c r="T946" i="1"/>
  <c r="T926" i="1"/>
  <c r="T906" i="1"/>
  <c r="T846" i="1"/>
  <c r="T806" i="1"/>
  <c r="T766" i="1"/>
  <c r="T1933" i="1"/>
  <c r="T1733" i="1"/>
  <c r="T737" i="1"/>
  <c r="T1635" i="1"/>
  <c r="T718" i="1"/>
  <c r="T1617" i="1"/>
  <c r="T1597" i="1"/>
  <c r="T1557" i="1"/>
  <c r="T1537" i="1"/>
  <c r="T1522" i="1"/>
  <c r="T704" i="1"/>
  <c r="T687" i="1"/>
  <c r="T89" i="1"/>
  <c r="T661" i="1"/>
  <c r="T647" i="1"/>
  <c r="T635" i="1"/>
  <c r="T593" i="1"/>
  <c r="T582" i="1"/>
  <c r="T541" i="1"/>
  <c r="T527" i="1"/>
  <c r="T478" i="1"/>
  <c r="T457" i="1"/>
  <c r="T321" i="1"/>
  <c r="T1219" i="1"/>
  <c r="T1193" i="1"/>
  <c r="T1180" i="1"/>
  <c r="T162" i="1"/>
  <c r="T1125" i="1"/>
  <c r="T1099" i="1"/>
  <c r="T1060" i="1"/>
  <c r="T1029" i="1"/>
  <c r="T969" i="1"/>
  <c r="T849" i="1"/>
  <c r="T1248" i="1"/>
  <c r="T1235" i="1"/>
  <c r="T187" i="1"/>
  <c r="T1167" i="1"/>
  <c r="T1141" i="1"/>
  <c r="T1115" i="1"/>
  <c r="T127" i="1"/>
  <c r="T1073" i="1"/>
  <c r="T1049" i="1"/>
  <c r="T1009" i="1"/>
  <c r="T989" i="1"/>
  <c r="T949" i="1"/>
  <c r="T929" i="1"/>
  <c r="T909" i="1"/>
  <c r="T829" i="1"/>
  <c r="T809" i="1"/>
  <c r="T1836" i="1"/>
  <c r="T1678" i="1"/>
  <c r="T719" i="1"/>
  <c r="T1505" i="1"/>
  <c r="T481" i="1"/>
  <c r="T461" i="1"/>
  <c r="T341" i="1"/>
  <c r="T281" i="1"/>
  <c r="T210" i="1"/>
  <c r="T1048" i="1"/>
  <c r="T908" i="1"/>
  <c r="T1875" i="1"/>
  <c r="T1795" i="1"/>
  <c r="T1599" i="1"/>
  <c r="T595" i="1"/>
  <c r="T480" i="1"/>
  <c r="T300" i="1"/>
  <c r="T222" i="1"/>
  <c r="T1330" i="1"/>
  <c r="T1770" i="1"/>
  <c r="T539" i="1"/>
  <c r="T458" i="1"/>
  <c r="T438" i="1"/>
  <c r="T398" i="1"/>
  <c r="T378" i="1"/>
  <c r="T338" i="1"/>
  <c r="T298" i="1"/>
  <c r="T278" i="1"/>
  <c r="T1368" i="1"/>
  <c r="T1308" i="1"/>
  <c r="T199" i="1"/>
  <c r="T1216" i="1"/>
  <c r="T185" i="1"/>
  <c r="T1190" i="1"/>
  <c r="T1178" i="1"/>
  <c r="T1164" i="1"/>
  <c r="T160" i="1"/>
  <c r="T153" i="1"/>
  <c r="T1123" i="1"/>
  <c r="T139" i="1"/>
  <c r="T1096" i="1"/>
  <c r="T125" i="1"/>
  <c r="T1070" i="1"/>
  <c r="T1058" i="1"/>
  <c r="T1045" i="1"/>
  <c r="T1025" i="1"/>
  <c r="T1005" i="1"/>
  <c r="T985" i="1"/>
  <c r="T965" i="1"/>
  <c r="T945" i="1"/>
  <c r="T925" i="1"/>
  <c r="T905" i="1"/>
  <c r="T885" i="1"/>
  <c r="T865" i="1"/>
  <c r="T845" i="1"/>
  <c r="T825" i="1"/>
  <c r="T805" i="1"/>
  <c r="T785" i="1"/>
  <c r="T765" i="1"/>
  <c r="T1932" i="1"/>
  <c r="T1912" i="1"/>
  <c r="T1892" i="1"/>
  <c r="T1872" i="1"/>
  <c r="T1852" i="1"/>
  <c r="T1832" i="1"/>
  <c r="T1812" i="1"/>
  <c r="T1752" i="1"/>
  <c r="T1732" i="1"/>
  <c r="T736" i="1"/>
  <c r="T1674" i="1"/>
  <c r="T1634" i="1"/>
  <c r="T717" i="1"/>
  <c r="T1616" i="1"/>
  <c r="T1596" i="1"/>
  <c r="T1556" i="1"/>
  <c r="T1536" i="1"/>
  <c r="T1521" i="1"/>
  <c r="T1501" i="1"/>
  <c r="T686" i="1"/>
  <c r="T674" i="1"/>
  <c r="T660" i="1"/>
  <c r="T76" i="1"/>
  <c r="T634" i="1"/>
  <c r="T50" i="1"/>
  <c r="T566" i="1"/>
  <c r="T554" i="1"/>
  <c r="T540" i="1"/>
  <c r="T16" i="1"/>
  <c r="T1367" i="1"/>
  <c r="T1076" i="1"/>
  <c r="T1033" i="1"/>
  <c r="T913" i="1"/>
  <c r="T1880" i="1"/>
  <c r="T1740" i="1"/>
  <c r="T98" i="1"/>
  <c r="T405" i="1"/>
  <c r="T365" i="1"/>
  <c r="T1455" i="1"/>
  <c r="T1435" i="1"/>
  <c r="T214" i="1"/>
  <c r="T1272" i="1"/>
  <c r="T1826" i="1"/>
  <c r="T1227" i="1"/>
  <c r="T192" i="1"/>
  <c r="T1201" i="1"/>
  <c r="T1185" i="1"/>
  <c r="T1175" i="1"/>
  <c r="T1159" i="1"/>
  <c r="T157" i="1"/>
  <c r="T1133" i="1"/>
  <c r="T1120" i="1"/>
  <c r="T1107" i="1"/>
  <c r="T132" i="1"/>
  <c r="T1081" i="1"/>
  <c r="T1065" i="1"/>
  <c r="T1055" i="1"/>
  <c r="T1039" i="1"/>
  <c r="T1019" i="1"/>
  <c r="T999" i="1"/>
  <c r="T979" i="1"/>
  <c r="T959" i="1"/>
  <c r="T939" i="1"/>
  <c r="T919" i="1"/>
  <c r="T899" i="1"/>
  <c r="T879" i="1"/>
  <c r="T859" i="1"/>
  <c r="T839" i="1"/>
  <c r="T819" i="1"/>
  <c r="T799" i="1"/>
  <c r="T779" i="1"/>
  <c r="T759" i="1"/>
  <c r="T1926" i="1"/>
  <c r="T1906" i="1"/>
  <c r="T1886" i="1"/>
  <c r="T1866" i="1"/>
  <c r="T1846" i="1"/>
  <c r="T1806" i="1"/>
  <c r="T1786" i="1"/>
  <c r="T1766" i="1"/>
  <c r="T1746" i="1"/>
  <c r="T748" i="1"/>
  <c r="T1381" i="1"/>
  <c r="T1105" i="1"/>
  <c r="T1037" i="1"/>
  <c r="T897" i="1"/>
  <c r="T1884" i="1"/>
  <c r="T1646" i="1"/>
  <c r="T1588" i="1"/>
  <c r="T708" i="1"/>
  <c r="T1493" i="1"/>
  <c r="T696" i="1"/>
  <c r="T509" i="1"/>
  <c r="T329" i="1"/>
  <c r="T249" i="1"/>
  <c r="T1479" i="1"/>
  <c r="T1279" i="1"/>
  <c r="T841" i="1"/>
  <c r="T1497" i="1"/>
  <c r="T605" i="1"/>
  <c r="T730" i="1"/>
  <c r="T1668" i="1"/>
  <c r="T711" i="1"/>
  <c r="T1570" i="1"/>
  <c r="T1515" i="1"/>
  <c r="T682" i="1"/>
  <c r="T81" i="1"/>
  <c r="T67" i="1"/>
  <c r="T603" i="1"/>
  <c r="T562" i="1"/>
  <c r="T21" i="1"/>
  <c r="T511" i="1"/>
  <c r="T451" i="1"/>
  <c r="T411" i="1"/>
  <c r="T351" i="1"/>
  <c r="T311" i="1"/>
  <c r="T251" i="1"/>
  <c r="T1481" i="1"/>
  <c r="T1421" i="1"/>
  <c r="T1321" i="1"/>
  <c r="T202" i="1"/>
  <c r="T1779" i="1"/>
  <c r="T1641" i="1"/>
  <c r="T1508" i="1"/>
  <c r="T504" i="1"/>
  <c r="T213" i="1"/>
  <c r="T1708" i="1"/>
  <c r="T1688" i="1"/>
  <c r="T1648" i="1"/>
  <c r="T729" i="1"/>
  <c r="T1610" i="1"/>
  <c r="T1590" i="1"/>
  <c r="T1550" i="1"/>
  <c r="T1530" i="1"/>
  <c r="T1495" i="1"/>
  <c r="T697" i="1"/>
  <c r="T671" i="1"/>
  <c r="T73" i="1"/>
  <c r="T616" i="1"/>
  <c r="T48" i="1"/>
  <c r="T577" i="1"/>
  <c r="T551" i="1"/>
  <c r="T13" i="1"/>
  <c r="T491" i="1"/>
  <c r="T471" i="1"/>
  <c r="T431" i="1"/>
  <c r="T391" i="1"/>
  <c r="T371" i="1"/>
  <c r="T331" i="1"/>
  <c r="T291" i="1"/>
  <c r="T271" i="1"/>
  <c r="T231" i="1"/>
  <c r="T1461" i="1"/>
  <c r="T1441" i="1"/>
  <c r="T1401" i="1"/>
  <c r="T1361" i="1"/>
  <c r="T1341" i="1"/>
  <c r="T1301" i="1"/>
  <c r="T1281" i="1"/>
  <c r="T1258" i="1"/>
  <c r="T1209" i="1"/>
  <c r="T176" i="1"/>
  <c r="T1032" i="1"/>
  <c r="T1739" i="1"/>
  <c r="T1528" i="1"/>
  <c r="T692" i="1"/>
  <c r="T666" i="1"/>
  <c r="T530" i="1"/>
  <c r="T520" i="1"/>
  <c r="T364" i="1"/>
  <c r="T1184" i="1"/>
  <c r="T1174" i="1"/>
  <c r="T1147" i="1"/>
  <c r="T144" i="1"/>
  <c r="T918" i="1"/>
  <c r="T878" i="1"/>
  <c r="T1865" i="1"/>
  <c r="T1805" i="1"/>
  <c r="T728" i="1"/>
  <c r="T709" i="1"/>
  <c r="T1514" i="1"/>
  <c r="T1494" i="1"/>
  <c r="T99" i="1"/>
  <c r="T561" i="1"/>
  <c r="T490" i="1"/>
  <c r="T270" i="1"/>
  <c r="T1257" i="1"/>
  <c r="T188" i="1"/>
  <c r="T1168" i="1"/>
  <c r="T1818" i="1"/>
  <c r="T1640" i="1"/>
  <c r="T1602" i="1"/>
  <c r="T597" i="1"/>
  <c r="T343" i="1"/>
  <c r="T263" i="1"/>
  <c r="T1473" i="1"/>
  <c r="T1393" i="1"/>
  <c r="T1372" i="1"/>
  <c r="T1312" i="1"/>
  <c r="T1222" i="1"/>
  <c r="T1196" i="1"/>
  <c r="T1182" i="1"/>
  <c r="T1154" i="1"/>
  <c r="T1144" i="1"/>
  <c r="T1117" i="1"/>
  <c r="T129" i="1"/>
  <c r="T1062" i="1"/>
  <c r="T106" i="1"/>
  <c r="T70" i="1"/>
  <c r="T613" i="1"/>
  <c r="T425" i="1"/>
  <c r="T265" i="1"/>
  <c r="T245" i="1"/>
  <c r="T238" i="1"/>
  <c r="T1468" i="1"/>
  <c r="T1448" i="1"/>
  <c r="T1428" i="1"/>
  <c r="T1408" i="1"/>
  <c r="T1288" i="1"/>
  <c r="T1578" i="1"/>
  <c r="T1239" i="1"/>
  <c r="T189" i="1"/>
  <c r="T1170" i="1"/>
  <c r="T1128" i="1"/>
  <c r="T1102" i="1"/>
  <c r="T1819" i="1"/>
  <c r="T444" i="1"/>
  <c r="T244" i="1"/>
  <c r="T477" i="1"/>
  <c r="T417" i="1"/>
  <c r="T317" i="1"/>
  <c r="T277" i="1"/>
  <c r="T219" i="1"/>
  <c r="T1447" i="1"/>
  <c r="T1387" i="1"/>
  <c r="T1307" i="1"/>
  <c r="T1264" i="1"/>
  <c r="T838" i="1"/>
  <c r="T1905" i="1"/>
  <c r="T310" i="1"/>
  <c r="T437" i="1"/>
  <c r="T397" i="1"/>
  <c r="T337" i="1"/>
  <c r="T297" i="1"/>
  <c r="T1467" i="1"/>
  <c r="T1427" i="1"/>
  <c r="T1327" i="1"/>
  <c r="T208" i="1"/>
  <c r="T1244" i="1"/>
  <c r="T1158" i="1"/>
  <c r="T1092" i="1"/>
  <c r="T978" i="1"/>
  <c r="T818" i="1"/>
  <c r="T1885" i="1"/>
  <c r="T1845" i="1"/>
  <c r="T1727" i="1"/>
  <c r="T370" i="1"/>
  <c r="T1460" i="1"/>
  <c r="T1360" i="1"/>
  <c r="T1632" i="1"/>
  <c r="T1445" i="1"/>
  <c r="T902" i="1"/>
  <c r="T1711" i="1"/>
  <c r="T684" i="1"/>
  <c r="T1202" i="1"/>
  <c r="T1056" i="1"/>
  <c r="T881" i="1"/>
  <c r="T1908" i="1"/>
  <c r="T1848" i="1"/>
  <c r="T1828" i="1"/>
  <c r="T1808" i="1"/>
  <c r="T563" i="1"/>
  <c r="T253" i="1"/>
  <c r="T1260" i="1"/>
  <c r="T1237" i="1"/>
  <c r="T196" i="1"/>
  <c r="T1181" i="1"/>
  <c r="T163" i="1"/>
  <c r="T1142" i="1"/>
  <c r="T1127" i="1"/>
  <c r="T1116" i="1"/>
  <c r="T136" i="1"/>
  <c r="T128" i="1"/>
  <c r="T1061" i="1"/>
  <c r="T1051" i="1"/>
  <c r="T1031" i="1"/>
  <c r="T1011" i="1"/>
  <c r="T991" i="1"/>
  <c r="T971" i="1"/>
  <c r="T951" i="1"/>
  <c r="T931" i="1"/>
  <c r="T911" i="1"/>
  <c r="T891" i="1"/>
  <c r="T871" i="1"/>
  <c r="T851" i="1"/>
  <c r="T831" i="1"/>
  <c r="T811" i="1"/>
  <c r="T791" i="1"/>
  <c r="T771" i="1"/>
  <c r="T753" i="1"/>
  <c r="T1918" i="1"/>
  <c r="T1898" i="1"/>
  <c r="T1878" i="1"/>
  <c r="T1858" i="1"/>
  <c r="T1838" i="1"/>
  <c r="T1798" i="1"/>
  <c r="T1778" i="1"/>
  <c r="T1758" i="1"/>
  <c r="T1738" i="1"/>
  <c r="T740" i="1"/>
  <c r="T1720" i="1"/>
  <c r="T1700" i="1"/>
  <c r="T1680" i="1"/>
  <c r="T1660" i="1"/>
  <c r="T721" i="1"/>
  <c r="T1622" i="1"/>
  <c r="T1582" i="1"/>
  <c r="T1562" i="1"/>
  <c r="T1542" i="1"/>
  <c r="T1527" i="1"/>
  <c r="T1507" i="1"/>
  <c r="T1487" i="1"/>
  <c r="T691" i="1"/>
  <c r="T677" i="1"/>
  <c r="T665" i="1"/>
  <c r="T649" i="1"/>
  <c r="T639" i="1"/>
  <c r="T623" i="1"/>
  <c r="T612" i="1"/>
  <c r="T44" i="1"/>
  <c r="T571" i="1"/>
  <c r="T545" i="1"/>
  <c r="T503" i="1"/>
  <c r="T443" i="1"/>
  <c r="T243" i="1"/>
  <c r="T1149" i="1"/>
  <c r="T120" i="1"/>
  <c r="T842" i="1"/>
  <c r="T802" i="1"/>
  <c r="T1929" i="1"/>
  <c r="T1909" i="1"/>
  <c r="T1809" i="1"/>
  <c r="T1789" i="1"/>
  <c r="T658" i="1"/>
  <c r="T606" i="1"/>
  <c r="T27" i="1"/>
  <c r="T394" i="1"/>
  <c r="T374" i="1"/>
  <c r="T1424" i="1"/>
  <c r="T1344" i="1"/>
  <c r="T1324" i="1"/>
  <c r="T1261" i="1"/>
  <c r="T1241" i="1"/>
  <c r="T20" i="1"/>
  <c r="T287" i="1"/>
  <c r="T1233" i="1"/>
  <c r="T1179" i="1"/>
  <c r="T1139" i="1"/>
  <c r="T1113" i="1"/>
  <c r="T126" i="1"/>
  <c r="T1894" i="1"/>
  <c r="T1523" i="1"/>
  <c r="T662" i="1"/>
  <c r="T1369" i="1"/>
  <c r="T1165" i="1"/>
  <c r="T186" i="1"/>
  <c r="T195" i="1"/>
  <c r="T1191" i="1"/>
  <c r="T161" i="1"/>
  <c r="T149" i="1"/>
  <c r="T135" i="1"/>
  <c r="T1027" i="1"/>
  <c r="T555" i="1"/>
  <c r="T1236" i="1"/>
  <c r="T1220" i="1"/>
  <c r="T1208" i="1"/>
  <c r="T1194" i="1"/>
  <c r="T175" i="1"/>
  <c r="T168" i="1"/>
  <c r="T1153" i="1"/>
  <c r="T154" i="1"/>
  <c r="T1126" i="1"/>
  <c r="T140" i="1"/>
  <c r="T1100" i="1"/>
  <c r="T1088" i="1"/>
  <c r="T1074" i="1"/>
  <c r="T115" i="1"/>
  <c r="T1050" i="1"/>
  <c r="T1030" i="1"/>
  <c r="T1010" i="1"/>
  <c r="T990" i="1"/>
  <c r="T970" i="1"/>
  <c r="T850" i="1"/>
  <c r="T1047" i="1"/>
  <c r="T987" i="1"/>
  <c r="T927" i="1"/>
  <c r="T867" i="1"/>
  <c r="T827" i="1"/>
  <c r="T787" i="1"/>
  <c r="T1934" i="1"/>
  <c r="T1834" i="1"/>
  <c r="T1794" i="1"/>
  <c r="T1754" i="1"/>
  <c r="T738" i="1"/>
  <c r="T1676" i="1"/>
  <c r="T100" i="1"/>
  <c r="T1538" i="1"/>
  <c r="T1483" i="1"/>
  <c r="T610" i="1"/>
  <c r="T42" i="1"/>
  <c r="T518" i="1"/>
  <c r="T479" i="1"/>
  <c r="T399" i="1"/>
  <c r="T319" i="1"/>
  <c r="T259" i="1"/>
  <c r="T221" i="1"/>
  <c r="T1429" i="1"/>
  <c r="T1349" i="1"/>
  <c r="T1309" i="1"/>
  <c r="T198" i="1"/>
  <c r="T860" i="1"/>
  <c r="T1689" i="1"/>
  <c r="T1322" i="1"/>
  <c r="T1071" i="1"/>
  <c r="T1059" i="1"/>
  <c r="T1007" i="1"/>
  <c r="T967" i="1"/>
  <c r="T947" i="1"/>
  <c r="T907" i="1"/>
  <c r="T887" i="1"/>
  <c r="T847" i="1"/>
  <c r="T807" i="1"/>
  <c r="T767" i="1"/>
  <c r="T1914" i="1"/>
  <c r="T1874" i="1"/>
  <c r="T1854" i="1"/>
  <c r="T1814" i="1"/>
  <c r="T1774" i="1"/>
  <c r="T1734" i="1"/>
  <c r="T1716" i="1"/>
  <c r="T1696" i="1"/>
  <c r="T1656" i="1"/>
  <c r="T1636" i="1"/>
  <c r="T1618" i="1"/>
  <c r="T1598" i="1"/>
  <c r="T1558" i="1"/>
  <c r="T1503" i="1"/>
  <c r="T688" i="1"/>
  <c r="T675" i="1"/>
  <c r="T77" i="1"/>
  <c r="T636" i="1"/>
  <c r="T620" i="1"/>
  <c r="T594" i="1"/>
  <c r="T568" i="1"/>
  <c r="T542" i="1"/>
  <c r="T17" i="1"/>
  <c r="T499" i="1"/>
  <c r="T459" i="1"/>
  <c r="T439" i="1"/>
  <c r="T419" i="1"/>
  <c r="T379" i="1"/>
  <c r="T359" i="1"/>
  <c r="T339" i="1"/>
  <c r="T299" i="1"/>
  <c r="T279" i="1"/>
  <c r="T239" i="1"/>
  <c r="T1469" i="1"/>
  <c r="T1449" i="1"/>
  <c r="T1409" i="1"/>
  <c r="T1389" i="1"/>
  <c r="T1329" i="1"/>
  <c r="T1289" i="1"/>
  <c r="T1266" i="1"/>
  <c r="T1246" i="1"/>
  <c r="T1000" i="1"/>
  <c r="T1747" i="1"/>
  <c r="T1516" i="1"/>
  <c r="T630" i="1"/>
  <c r="T536" i="1"/>
  <c r="T472" i="1"/>
  <c r="T1482" i="1"/>
  <c r="T1382" i="1"/>
  <c r="T1259" i="1"/>
  <c r="T1807" i="1"/>
  <c r="T644" i="1"/>
  <c r="T392" i="1"/>
  <c r="T1282" i="1"/>
  <c r="T1226" i="1"/>
  <c r="T1200" i="1"/>
  <c r="T1132" i="1"/>
  <c r="T1080" i="1"/>
  <c r="T109" i="1"/>
  <c r="T1038" i="1"/>
  <c r="T1018" i="1"/>
  <c r="T998" i="1"/>
  <c r="T958" i="1"/>
  <c r="T858" i="1"/>
  <c r="T798" i="1"/>
  <c r="T105" i="1"/>
  <c r="T1925" i="1"/>
  <c r="T1825" i="1"/>
  <c r="T1785" i="1"/>
  <c r="T1745" i="1"/>
  <c r="T747" i="1"/>
  <c r="T1707" i="1"/>
  <c r="T1687" i="1"/>
  <c r="T1667" i="1"/>
  <c r="T710" i="1"/>
  <c r="T1609" i="1"/>
  <c r="T1589" i="1"/>
  <c r="T1549" i="1"/>
  <c r="T681" i="1"/>
  <c r="T85" i="1"/>
  <c r="T655" i="1"/>
  <c r="T60" i="1"/>
  <c r="T53" i="1"/>
  <c r="T588" i="1"/>
  <c r="T39" i="1"/>
  <c r="T25" i="1"/>
  <c r="T535" i="1"/>
  <c r="T510" i="1"/>
  <c r="T470" i="1"/>
  <c r="T450" i="1"/>
  <c r="T430" i="1"/>
  <c r="T410" i="1"/>
  <c r="T390" i="1"/>
  <c r="T350" i="1"/>
  <c r="T330" i="1"/>
  <c r="T290" i="1"/>
  <c r="T250" i="1"/>
  <c r="T230" i="1"/>
  <c r="T1480" i="1"/>
  <c r="T1440" i="1"/>
  <c r="T1400" i="1"/>
  <c r="T1340" i="1"/>
  <c r="T1320" i="1"/>
  <c r="T1280" i="1"/>
  <c r="T201" i="1"/>
  <c r="T993" i="1"/>
  <c r="T933" i="1"/>
  <c r="T873" i="1"/>
  <c r="T833" i="1"/>
  <c r="T793" i="1"/>
  <c r="T773" i="1"/>
  <c r="T1900" i="1"/>
  <c r="T1860" i="1"/>
  <c r="T1840" i="1"/>
  <c r="T1820" i="1"/>
  <c r="T1800" i="1"/>
  <c r="T1780" i="1"/>
  <c r="T1760" i="1"/>
  <c r="T742" i="1"/>
  <c r="T1722" i="1"/>
  <c r="T1702" i="1"/>
  <c r="T1682" i="1"/>
  <c r="T1662" i="1"/>
  <c r="T1642" i="1"/>
  <c r="T723" i="1"/>
  <c r="T1624" i="1"/>
  <c r="T1604" i="1"/>
  <c r="T1584" i="1"/>
  <c r="T1564" i="1"/>
  <c r="T1544" i="1"/>
  <c r="T1529" i="1"/>
  <c r="T1509" i="1"/>
  <c r="T1489" i="1"/>
  <c r="T678" i="1"/>
  <c r="T84" i="1"/>
  <c r="T651" i="1"/>
  <c r="T625" i="1"/>
  <c r="T599" i="1"/>
  <c r="T45" i="1"/>
  <c r="T38" i="1"/>
  <c r="T558" i="1"/>
  <c r="T24" i="1"/>
  <c r="T531" i="1"/>
  <c r="T10" i="1"/>
  <c r="T505" i="1"/>
  <c r="T485" i="1"/>
  <c r="T465" i="1"/>
  <c r="T445" i="1"/>
  <c r="T385" i="1"/>
  <c r="T345" i="1"/>
  <c r="T325" i="1"/>
  <c r="T305" i="1"/>
  <c r="T285" i="1"/>
  <c r="T225" i="1"/>
  <c r="T1475" i="1"/>
  <c r="T1415" i="1"/>
  <c r="T1395" i="1"/>
  <c r="T1375" i="1"/>
  <c r="T1355" i="1"/>
  <c r="T1335" i="1"/>
  <c r="T1315" i="1"/>
  <c r="T1295" i="1"/>
  <c r="T1252" i="1"/>
  <c r="T1232" i="1"/>
  <c r="T1206" i="1"/>
  <c r="T173" i="1"/>
  <c r="T1006" i="1"/>
  <c r="T886" i="1"/>
  <c r="T826" i="1"/>
  <c r="T1913" i="1"/>
  <c r="T1793" i="1"/>
  <c r="T1773" i="1"/>
  <c r="T1753" i="1"/>
  <c r="T1715" i="1"/>
  <c r="T1655" i="1"/>
  <c r="T1577" i="1"/>
  <c r="T1502" i="1"/>
  <c r="T619" i="1"/>
  <c r="T567" i="1"/>
  <c r="T498" i="1"/>
  <c r="T418" i="1"/>
  <c r="T973" i="1"/>
  <c r="T893" i="1"/>
  <c r="T755" i="1"/>
  <c r="T1238" i="1"/>
  <c r="T1169" i="1"/>
  <c r="T1143" i="1"/>
  <c r="T141" i="1"/>
  <c r="T1075" i="1"/>
  <c r="T1052" i="1"/>
  <c r="T992" i="1"/>
  <c r="T952" i="1"/>
  <c r="T912" i="1"/>
  <c r="T852" i="1"/>
  <c r="T792" i="1"/>
  <c r="T754" i="1"/>
  <c r="T1859" i="1"/>
  <c r="T1799" i="1"/>
  <c r="T1721" i="1"/>
  <c r="T1681" i="1"/>
  <c r="T722" i="1"/>
  <c r="T1583" i="1"/>
  <c r="T1543" i="1"/>
  <c r="T640" i="1"/>
  <c r="T57" i="1"/>
  <c r="T585" i="1"/>
  <c r="T546" i="1"/>
  <c r="T484" i="1"/>
  <c r="T464" i="1"/>
  <c r="T424" i="1"/>
  <c r="T404" i="1"/>
  <c r="T384" i="1"/>
  <c r="T344" i="1"/>
  <c r="T324" i="1"/>
  <c r="T304" i="1"/>
  <c r="T284" i="1"/>
  <c r="T264" i="1"/>
  <c r="T224" i="1"/>
  <c r="T1474" i="1"/>
  <c r="T1454" i="1"/>
  <c r="T1434" i="1"/>
  <c r="T1414" i="1"/>
  <c r="T1394" i="1"/>
  <c r="T1374" i="1"/>
  <c r="T1354" i="1"/>
  <c r="T1334" i="1"/>
  <c r="T1314" i="1"/>
  <c r="T1294" i="1"/>
  <c r="T1271" i="1"/>
  <c r="T1251" i="1"/>
  <c r="T1772" i="1"/>
  <c r="T1714" i="1"/>
  <c r="T1694" i="1"/>
  <c r="T703" i="1"/>
  <c r="T64" i="1"/>
  <c r="T608" i="1"/>
  <c r="T41" i="1"/>
  <c r="T497" i="1"/>
  <c r="T257" i="1"/>
  <c r="T237" i="1"/>
  <c r="T1347" i="1"/>
  <c r="T1013" i="1"/>
  <c r="T953" i="1"/>
  <c r="T853" i="1"/>
  <c r="T813" i="1"/>
  <c r="T1920" i="1"/>
  <c r="T1221" i="1"/>
  <c r="T1195" i="1"/>
  <c r="T164" i="1"/>
  <c r="T150" i="1"/>
  <c r="T1101" i="1"/>
  <c r="T1089" i="1"/>
  <c r="T116" i="1"/>
  <c r="T1012" i="1"/>
  <c r="T972" i="1"/>
  <c r="T932" i="1"/>
  <c r="T892" i="1"/>
  <c r="T872" i="1"/>
  <c r="T832" i="1"/>
  <c r="T812" i="1"/>
  <c r="T772" i="1"/>
  <c r="T1919" i="1"/>
  <c r="T1899" i="1"/>
  <c r="T1879" i="1"/>
  <c r="T1839" i="1"/>
  <c r="T1759" i="1"/>
  <c r="T741" i="1"/>
  <c r="T1701" i="1"/>
  <c r="T1661" i="1"/>
  <c r="T1623" i="1"/>
  <c r="T1603" i="1"/>
  <c r="T1563" i="1"/>
  <c r="T1488" i="1"/>
  <c r="T92" i="1"/>
  <c r="T650" i="1"/>
  <c r="T624" i="1"/>
  <c r="T598" i="1"/>
  <c r="T572" i="1"/>
  <c r="T32" i="1"/>
  <c r="T529" i="1"/>
  <c r="T9" i="1"/>
  <c r="T483" i="1"/>
  <c r="T463" i="1"/>
  <c r="T423" i="1"/>
  <c r="T403" i="1"/>
  <c r="T383" i="1"/>
  <c r="T363" i="1"/>
  <c r="T323" i="1"/>
  <c r="T303" i="1"/>
  <c r="T283" i="1"/>
  <c r="T5" i="1"/>
  <c r="T1453" i="1"/>
  <c r="T1433" i="1"/>
  <c r="T1413" i="1"/>
  <c r="T1353" i="1"/>
  <c r="T1333" i="1"/>
  <c r="T212" i="1"/>
  <c r="T1250" i="1"/>
  <c r="T1313" i="1"/>
  <c r="T1293" i="1"/>
  <c r="T1270" i="1"/>
  <c r="T950" i="1"/>
  <c r="T930" i="1"/>
  <c r="T910" i="1"/>
  <c r="T890" i="1"/>
  <c r="T870" i="1"/>
  <c r="T830" i="1"/>
  <c r="T810" i="1"/>
  <c r="T790" i="1"/>
  <c r="T752" i="1"/>
  <c r="T1917" i="1"/>
  <c r="T1897" i="1"/>
  <c r="T1877" i="1"/>
  <c r="T1857" i="1"/>
  <c r="T1837" i="1"/>
  <c r="T1817" i="1"/>
  <c r="T1797" i="1"/>
  <c r="T1777" i="1"/>
  <c r="T1757" i="1"/>
  <c r="T1737" i="1"/>
  <c r="T739" i="1"/>
  <c r="T1719" i="1"/>
  <c r="T1699" i="1"/>
  <c r="T1679" i="1"/>
  <c r="T1659" i="1"/>
  <c r="T720" i="1"/>
  <c r="T1621" i="1"/>
  <c r="T1601" i="1"/>
  <c r="T1581" i="1"/>
  <c r="T1561" i="1"/>
  <c r="T1541" i="1"/>
  <c r="T1526" i="1"/>
  <c r="T1506" i="1"/>
  <c r="T1486" i="1"/>
  <c r="T690" i="1"/>
  <c r="T91" i="1"/>
  <c r="T664" i="1"/>
  <c r="T79" i="1"/>
  <c r="T638" i="1"/>
  <c r="T65" i="1"/>
  <c r="T56" i="1"/>
  <c r="T596" i="1"/>
  <c r="T584" i="1"/>
  <c r="T570" i="1"/>
  <c r="T31" i="1"/>
  <c r="T544" i="1"/>
  <c r="T19" i="1"/>
  <c r="T8" i="1"/>
  <c r="T502" i="1"/>
  <c r="T482" i="1"/>
  <c r="T462" i="1"/>
  <c r="T442" i="1"/>
  <c r="T422" i="1"/>
  <c r="T402" i="1"/>
  <c r="T382" i="1"/>
  <c r="T362" i="1"/>
  <c r="T342" i="1"/>
  <c r="T322" i="1"/>
  <c r="T302" i="1"/>
  <c r="T282" i="1"/>
  <c r="T262" i="1"/>
  <c r="T242" i="1"/>
  <c r="T4" i="1"/>
  <c r="T1472" i="1"/>
  <c r="T1452" i="1"/>
  <c r="T1412" i="1"/>
  <c r="T1392" i="1"/>
  <c r="T1352" i="1"/>
  <c r="T1332" i="1"/>
  <c r="T1292" i="1"/>
  <c r="T211" i="1"/>
  <c r="T1269" i="1"/>
  <c r="T258" i="1"/>
  <c r="T220" i="1"/>
  <c r="T1388" i="1"/>
  <c r="T1348" i="1"/>
  <c r="T1328" i="1"/>
  <c r="T2" i="1"/>
  <c r="T1245" i="1"/>
  <c r="T1231" i="1"/>
  <c r="T1205" i="1"/>
  <c r="T172" i="1"/>
  <c r="T1137" i="1"/>
  <c r="T1111" i="1"/>
  <c r="T1085" i="1"/>
  <c r="T1044" i="1"/>
  <c r="T984" i="1"/>
  <c r="T944" i="1"/>
  <c r="T904" i="1"/>
  <c r="T864" i="1"/>
  <c r="T824" i="1"/>
  <c r="T804" i="1"/>
  <c r="T764" i="1"/>
  <c r="T1931" i="1"/>
  <c r="T1911" i="1"/>
  <c r="T1891" i="1"/>
  <c r="T1871" i="1"/>
  <c r="T1555" i="1"/>
  <c r="T1215" i="1"/>
  <c r="T1189" i="1"/>
  <c r="T1163" i="1"/>
  <c r="T1150" i="1"/>
  <c r="T1095" i="1"/>
  <c r="T1069" i="1"/>
  <c r="T112" i="1"/>
  <c r="T1024" i="1"/>
  <c r="T964" i="1"/>
  <c r="T924" i="1"/>
  <c r="T884" i="1"/>
  <c r="T844" i="1"/>
  <c r="T903" i="1"/>
  <c r="T40" i="1"/>
  <c r="T235" i="1"/>
  <c r="T1851" i="1"/>
  <c r="T1831" i="1"/>
  <c r="T1811" i="1"/>
  <c r="T1791" i="1"/>
  <c r="T1771" i="1"/>
  <c r="T1751" i="1"/>
  <c r="T1731" i="1"/>
  <c r="T735" i="1"/>
  <c r="T1713" i="1"/>
  <c r="T1693" i="1"/>
  <c r="T1673" i="1"/>
  <c r="T1653" i="1"/>
  <c r="T1633" i="1"/>
  <c r="T716" i="1"/>
  <c r="T1615" i="1"/>
  <c r="T1595" i="1"/>
  <c r="T1575" i="1"/>
  <c r="T1535" i="1"/>
  <c r="T1520" i="1"/>
  <c r="T1500" i="1"/>
  <c r="T702" i="1"/>
  <c r="T96" i="1"/>
  <c r="T88" i="1"/>
  <c r="T82" i="1"/>
  <c r="T646" i="1"/>
  <c r="T633" i="1"/>
  <c r="T63" i="1"/>
  <c r="T607" i="1"/>
  <c r="T592" i="1"/>
  <c r="T581" i="1"/>
  <c r="T36" i="1"/>
  <c r="T28" i="1"/>
  <c r="T22" i="1"/>
  <c r="T526" i="1"/>
  <c r="T516" i="1"/>
  <c r="T496" i="1"/>
  <c r="T476" i="1"/>
  <c r="T456" i="1"/>
  <c r="T436" i="1"/>
  <c r="T416" i="1"/>
  <c r="T396" i="1"/>
  <c r="T376" i="1"/>
  <c r="T356" i="1"/>
  <c r="T336" i="1"/>
  <c r="T316" i="1"/>
  <c r="T296" i="1"/>
  <c r="T276" i="1"/>
  <c r="T256" i="1"/>
  <c r="T218" i="1"/>
  <c r="T1466" i="1"/>
  <c r="T1446" i="1"/>
  <c r="T1426" i="1"/>
  <c r="T1406" i="1"/>
  <c r="T1386" i="1"/>
  <c r="T1366" i="1"/>
  <c r="T1346" i="1"/>
  <c r="T1326" i="1"/>
  <c r="T1306" i="1"/>
  <c r="T1286" i="1"/>
  <c r="T207" i="1"/>
  <c r="T1263" i="1"/>
  <c r="T1243" i="1"/>
  <c r="T997" i="1"/>
  <c r="T1864" i="1"/>
  <c r="T1399" i="1"/>
  <c r="T200" i="1"/>
  <c r="T1823" i="1"/>
  <c r="T1803" i="1"/>
  <c r="T1783" i="1"/>
  <c r="T1763" i="1"/>
  <c r="T1743" i="1"/>
  <c r="T745" i="1"/>
  <c r="T1725" i="1"/>
  <c r="T1705" i="1"/>
  <c r="T1685" i="1"/>
  <c r="T1665" i="1"/>
  <c r="T1645" i="1"/>
  <c r="T726" i="1"/>
  <c r="T1627" i="1"/>
  <c r="T1587" i="1"/>
  <c r="T1567" i="1"/>
  <c r="T1512" i="1"/>
  <c r="T1492" i="1"/>
  <c r="T695" i="1"/>
  <c r="T679" i="1"/>
  <c r="T669" i="1"/>
  <c r="T653" i="1"/>
  <c r="T642" i="1"/>
  <c r="T627" i="1"/>
  <c r="T59" i="1"/>
  <c r="T601" i="1"/>
  <c r="T587" i="1"/>
  <c r="T575" i="1"/>
  <c r="T559" i="1"/>
  <c r="T549" i="1"/>
  <c r="T533" i="1"/>
  <c r="T522" i="1"/>
  <c r="T508" i="1"/>
  <c r="T488" i="1"/>
  <c r="T468" i="1"/>
  <c r="T448" i="1"/>
  <c r="T428" i="1"/>
  <c r="T388" i="1"/>
  <c r="T368" i="1"/>
  <c r="T328" i="1"/>
  <c r="T308" i="1"/>
  <c r="T288" i="1"/>
  <c r="T268" i="1"/>
  <c r="T248" i="1"/>
  <c r="T228" i="1"/>
  <c r="T1478" i="1"/>
  <c r="T1458" i="1"/>
  <c r="T1438" i="1"/>
  <c r="T1418" i="1"/>
  <c r="T1398" i="1"/>
  <c r="T1378" i="1"/>
  <c r="T1358" i="1"/>
  <c r="T1338" i="1"/>
  <c r="T1318" i="1"/>
  <c r="T1298" i="1"/>
  <c r="T1275" i="1"/>
  <c r="T1255" i="1"/>
  <c r="T1580" i="1"/>
  <c r="T11" i="1"/>
  <c r="T507" i="1"/>
  <c r="T487" i="1"/>
  <c r="T467" i="1"/>
  <c r="T447" i="1"/>
  <c r="T427" i="1"/>
  <c r="T407" i="1"/>
  <c r="T387" i="1"/>
  <c r="T367" i="1"/>
  <c r="T347" i="1"/>
  <c r="T327" i="1"/>
  <c r="T307" i="1"/>
  <c r="T267" i="1"/>
  <c r="T247" i="1"/>
  <c r="T227" i="1"/>
  <c r="T1477" i="1"/>
  <c r="T1457" i="1"/>
  <c r="T1437" i="1"/>
  <c r="T1417" i="1"/>
  <c r="T1397" i="1"/>
  <c r="T1377" i="1"/>
  <c r="T1357" i="1"/>
  <c r="T1337" i="1"/>
  <c r="T1317" i="1"/>
  <c r="T1297" i="1"/>
  <c r="T1274" i="1"/>
  <c r="T1254" i="1"/>
  <c r="T1234" i="1"/>
  <c r="T1098" i="1"/>
  <c r="T988" i="1"/>
  <c r="T750" i="1"/>
  <c r="T1895" i="1"/>
  <c r="T1835" i="1"/>
  <c r="T1579" i="1"/>
  <c r="T1524" i="1"/>
  <c r="T380" i="1"/>
  <c r="T1350" i="1"/>
  <c r="T1749" i="1"/>
  <c r="T494" i="1"/>
  <c r="T1384" i="1"/>
  <c r="T1228" i="1"/>
  <c r="T1187" i="1"/>
  <c r="T152" i="1"/>
  <c r="T1121" i="1"/>
  <c r="T133" i="1"/>
  <c r="T1748" i="1"/>
  <c r="T1728" i="1"/>
  <c r="T1690" i="1"/>
  <c r="T1670" i="1"/>
  <c r="T1517" i="1"/>
  <c r="T537" i="1"/>
  <c r="T14" i="1"/>
  <c r="T393" i="1"/>
  <c r="T1463" i="1"/>
  <c r="T1423" i="1"/>
  <c r="T1383" i="1"/>
  <c r="T1323" i="1"/>
  <c r="T983" i="1"/>
  <c r="T863" i="1"/>
  <c r="T1692" i="1"/>
  <c r="T1188" i="1"/>
  <c r="T963" i="1"/>
  <c r="T1910" i="1"/>
  <c r="T1519" i="1"/>
  <c r="T618" i="1"/>
  <c r="T375" i="1"/>
  <c r="T315" i="1"/>
  <c r="T275" i="1"/>
  <c r="T1365" i="1"/>
  <c r="T1262" i="1"/>
  <c r="T1242" i="1"/>
  <c r="T1225" i="1"/>
  <c r="T191" i="1"/>
  <c r="T1199" i="1"/>
  <c r="T179" i="1"/>
  <c r="T1173" i="1"/>
  <c r="T165" i="1"/>
  <c r="T156" i="1"/>
  <c r="T1131" i="1"/>
  <c r="T1119" i="1"/>
  <c r="T131" i="1"/>
  <c r="T1079" i="1"/>
  <c r="T119" i="1"/>
  <c r="T108" i="1"/>
  <c r="T1017" i="1"/>
  <c r="T977" i="1"/>
  <c r="T957" i="1"/>
  <c r="T937" i="1"/>
  <c r="T917" i="1"/>
  <c r="T877" i="1"/>
  <c r="T857" i="1"/>
  <c r="T837" i="1"/>
  <c r="T817" i="1"/>
  <c r="T797" i="1"/>
  <c r="T777" i="1"/>
  <c r="T104" i="1"/>
  <c r="T1924" i="1"/>
  <c r="T1904" i="1"/>
  <c r="T1844" i="1"/>
  <c r="T1824" i="1"/>
  <c r="T1804" i="1"/>
  <c r="T1784" i="1"/>
  <c r="T1764" i="1"/>
  <c r="T1744" i="1"/>
  <c r="T746" i="1"/>
  <c r="T1726" i="1"/>
  <c r="T1706" i="1"/>
  <c r="T1686" i="1"/>
  <c r="T1666" i="1"/>
  <c r="T727" i="1"/>
  <c r="T1628" i="1"/>
  <c r="T1608" i="1"/>
  <c r="T1568" i="1"/>
  <c r="T1548" i="1"/>
  <c r="T1513" i="1"/>
  <c r="T680" i="1"/>
  <c r="T670" i="1"/>
  <c r="T654" i="1"/>
  <c r="T72" i="1"/>
  <c r="T628" i="1"/>
  <c r="T615" i="1"/>
  <c r="T602" i="1"/>
  <c r="T47" i="1"/>
  <c r="T576" i="1"/>
  <c r="T560" i="1"/>
  <c r="T550" i="1"/>
  <c r="T534" i="1"/>
  <c r="T12" i="1"/>
  <c r="T489" i="1"/>
  <c r="T469" i="1"/>
  <c r="T449" i="1"/>
  <c r="T429" i="1"/>
  <c r="T409" i="1"/>
  <c r="T389" i="1"/>
  <c r="T369" i="1"/>
  <c r="T349" i="1"/>
  <c r="T309" i="1"/>
  <c r="T289" i="1"/>
  <c r="T269" i="1"/>
  <c r="T229" i="1"/>
  <c r="T1459" i="1"/>
  <c r="T1439" i="1"/>
  <c r="T1419" i="1"/>
  <c r="T1379" i="1"/>
  <c r="T1359" i="1"/>
  <c r="T1339" i="1"/>
  <c r="T1319" i="1"/>
  <c r="T1299" i="1"/>
  <c r="T1256" i="1"/>
  <c r="T889" i="1"/>
  <c r="T869" i="1"/>
  <c r="T769" i="1"/>
  <c r="T751" i="1"/>
  <c r="T1916" i="1"/>
  <c r="T1896" i="1"/>
  <c r="T1876" i="1"/>
  <c r="T1856" i="1"/>
  <c r="T1816" i="1"/>
  <c r="T1796" i="1"/>
  <c r="T1776" i="1"/>
  <c r="T1756" i="1"/>
  <c r="T1736" i="1"/>
  <c r="T103" i="1"/>
  <c r="T1718" i="1"/>
  <c r="T1698" i="1"/>
  <c r="T1658" i="1"/>
  <c r="T1638" i="1"/>
  <c r="T1620" i="1"/>
  <c r="T1600" i="1"/>
  <c r="T1560" i="1"/>
  <c r="T1540" i="1"/>
  <c r="T1525" i="1"/>
  <c r="T1485" i="1"/>
  <c r="T97" i="1"/>
  <c r="T676" i="1"/>
  <c r="T663" i="1"/>
  <c r="T78" i="1"/>
  <c r="T637" i="1"/>
  <c r="T622" i="1"/>
  <c r="T611" i="1"/>
  <c r="T51" i="1"/>
  <c r="T43" i="1"/>
  <c r="T37" i="1"/>
  <c r="T556" i="1"/>
  <c r="T543" i="1"/>
  <c r="T18" i="1"/>
  <c r="T519" i="1"/>
  <c r="T501" i="1"/>
  <c r="T441" i="1"/>
  <c r="T421" i="1"/>
  <c r="T401" i="1"/>
  <c r="T381" i="1"/>
  <c r="T361" i="1"/>
  <c r="T301" i="1"/>
  <c r="T261" i="1"/>
  <c r="T241" i="1"/>
  <c r="T223" i="1"/>
  <c r="T1471" i="1"/>
  <c r="T1451" i="1"/>
  <c r="T1431" i="1"/>
  <c r="T1411" i="1"/>
  <c r="T1391" i="1"/>
  <c r="T1371" i="1"/>
  <c r="T1351" i="1"/>
  <c r="T1331" i="1"/>
  <c r="T1311" i="1"/>
  <c r="T1291" i="1"/>
  <c r="T1268" i="1"/>
  <c r="T1207" i="1"/>
  <c r="T1192" i="1"/>
  <c r="T174" i="1"/>
  <c r="T1166" i="1"/>
  <c r="T1152" i="1"/>
  <c r="T1140" i="1"/>
  <c r="T1114" i="1"/>
  <c r="T1072" i="1"/>
  <c r="T1028" i="1"/>
  <c r="T1008" i="1"/>
  <c r="T968" i="1"/>
  <c r="T948" i="1"/>
  <c r="T928" i="1"/>
  <c r="T888" i="1"/>
  <c r="T868" i="1"/>
  <c r="T828" i="1"/>
  <c r="T808" i="1"/>
  <c r="T788" i="1"/>
  <c r="T1915" i="1"/>
  <c r="T1815" i="1"/>
  <c r="T1775" i="1"/>
  <c r="T1755" i="1"/>
  <c r="T1735" i="1"/>
  <c r="T102" i="1"/>
  <c r="T1717" i="1"/>
  <c r="T1697" i="1"/>
  <c r="T1677" i="1"/>
  <c r="T1657" i="1"/>
  <c r="T1637" i="1"/>
  <c r="T101" i="1"/>
  <c r="T1559" i="1"/>
  <c r="T1504" i="1"/>
  <c r="T1484" i="1"/>
  <c r="T689" i="1"/>
  <c r="T83" i="1"/>
  <c r="T648" i="1"/>
  <c r="T621" i="1"/>
  <c r="T55" i="1"/>
  <c r="T583" i="1"/>
  <c r="T569" i="1"/>
  <c r="T30" i="1"/>
  <c r="T23" i="1"/>
  <c r="T528" i="1"/>
  <c r="T7" i="1"/>
  <c r="T500" i="1"/>
  <c r="T440" i="1"/>
  <c r="T420" i="1"/>
  <c r="T400" i="1"/>
  <c r="T340" i="1"/>
  <c r="T320" i="1"/>
  <c r="T280" i="1"/>
  <c r="T260" i="1"/>
  <c r="T240" i="1"/>
  <c r="T1470" i="1"/>
  <c r="T1450" i="1"/>
  <c r="T1430" i="1"/>
  <c r="T1410" i="1"/>
  <c r="T1390" i="1"/>
  <c r="T1290" i="1"/>
  <c r="T209" i="1"/>
  <c r="T1267" i="1"/>
  <c r="T1214" i="1"/>
  <c r="T159" i="1"/>
  <c r="T146" i="1"/>
  <c r="T111" i="1"/>
  <c r="T962" i="1"/>
  <c r="T1889" i="1"/>
  <c r="T1769" i="1"/>
  <c r="T1729" i="1"/>
  <c r="T1651" i="1"/>
  <c r="T1533" i="1"/>
  <c r="T1498" i="1"/>
  <c r="T87" i="1"/>
  <c r="T632" i="1"/>
  <c r="T580" i="1"/>
  <c r="T538" i="1"/>
  <c r="T454" i="1"/>
  <c r="T414" i="1"/>
  <c r="T334" i="1"/>
  <c r="T274" i="1"/>
  <c r="T234" i="1"/>
  <c r="T1464" i="1"/>
  <c r="T1404" i="1"/>
  <c r="T1304" i="1"/>
  <c r="T1284" i="1"/>
  <c r="T1230" i="1"/>
  <c r="T1204" i="1"/>
  <c r="T1177" i="1"/>
  <c r="T1162" i="1"/>
  <c r="T1136" i="1"/>
  <c r="T1122" i="1"/>
  <c r="T1110" i="1"/>
  <c r="T1094" i="1"/>
  <c r="T1084" i="1"/>
  <c r="T1068" i="1"/>
  <c r="T1043" i="1"/>
  <c r="T1023" i="1"/>
  <c r="T923" i="1"/>
  <c r="T883" i="1"/>
  <c r="T843" i="1"/>
  <c r="T783" i="1"/>
  <c r="T763" i="1"/>
  <c r="T1930" i="1"/>
  <c r="T1890" i="1"/>
  <c r="T1870" i="1"/>
  <c r="T1850" i="1"/>
  <c r="T1830" i="1"/>
  <c r="T1790" i="1"/>
  <c r="T1750" i="1"/>
  <c r="T1730" i="1"/>
  <c r="T734" i="1"/>
  <c r="T1672" i="1"/>
  <c r="T715" i="1"/>
  <c r="T1614" i="1"/>
  <c r="T1594" i="1"/>
  <c r="T1574" i="1"/>
  <c r="T1554" i="1"/>
  <c r="T1534" i="1"/>
  <c r="T1499" i="1"/>
  <c r="T701" i="1"/>
  <c r="T685" i="1"/>
  <c r="T673" i="1"/>
  <c r="T659" i="1"/>
  <c r="T75" i="1"/>
  <c r="T68" i="1"/>
  <c r="T54" i="1"/>
  <c r="T591" i="1"/>
  <c r="T565" i="1"/>
  <c r="T553" i="1"/>
  <c r="T515" i="1"/>
  <c r="T475" i="1"/>
  <c r="T455" i="1"/>
  <c r="T435" i="1"/>
  <c r="T415" i="1"/>
  <c r="T355" i="1"/>
  <c r="T335" i="1"/>
  <c r="T295" i="1"/>
  <c r="T255" i="1"/>
  <c r="T217" i="1"/>
  <c r="T1465" i="1"/>
  <c r="T1325" i="1"/>
  <c r="T1305" i="1"/>
  <c r="T1285" i="1"/>
  <c r="T206" i="1"/>
  <c r="T1229" i="1"/>
  <c r="T194" i="1"/>
  <c r="T180" i="1"/>
  <c r="T171" i="1"/>
  <c r="T1135" i="1"/>
  <c r="T1042" i="1"/>
  <c r="T982" i="1"/>
  <c r="T862" i="1"/>
  <c r="T822" i="1"/>
  <c r="T762" i="1"/>
  <c r="T1869" i="1"/>
  <c r="T1829" i="1"/>
  <c r="T733" i="1"/>
  <c r="T1691" i="1"/>
  <c r="T1671" i="1"/>
  <c r="T1631" i="1"/>
  <c r="T714" i="1"/>
  <c r="T1573" i="1"/>
  <c r="T1553" i="1"/>
  <c r="T1518" i="1"/>
  <c r="T645" i="1"/>
  <c r="T62" i="1"/>
  <c r="T590" i="1"/>
  <c r="T525" i="1"/>
  <c r="T514" i="1"/>
  <c r="T474" i="1"/>
  <c r="T434" i="1"/>
  <c r="T354" i="1"/>
  <c r="T314" i="1"/>
  <c r="T294" i="1"/>
  <c r="T216" i="1"/>
  <c r="T1444" i="1"/>
  <c r="T1364" i="1"/>
  <c r="T205" i="1"/>
  <c r="T193" i="1"/>
  <c r="T1176" i="1"/>
  <c r="T158" i="1"/>
  <c r="T981" i="1"/>
  <c r="T901" i="1"/>
  <c r="T761" i="1"/>
  <c r="T1888" i="1"/>
  <c r="T732" i="1"/>
  <c r="T713" i="1"/>
  <c r="T1592" i="1"/>
  <c r="T1572" i="1"/>
  <c r="T683" i="1"/>
  <c r="T672" i="1"/>
  <c r="T589" i="1"/>
  <c r="T579" i="1"/>
  <c r="T552" i="1"/>
  <c r="T473" i="1"/>
  <c r="T433" i="1"/>
  <c r="T333" i="1"/>
  <c r="T313" i="1"/>
  <c r="T273" i="1"/>
  <c r="T1303" i="1"/>
  <c r="T1283" i="1"/>
  <c r="T1385" i="1"/>
  <c r="T1203" i="1"/>
  <c r="T1083" i="1"/>
  <c r="T1022" i="1"/>
  <c r="T942" i="1"/>
  <c r="T1040" i="1"/>
  <c r="T1020" i="1"/>
  <c r="T900" i="1"/>
  <c r="T760" i="1"/>
  <c r="T1887" i="1"/>
  <c r="T95" i="1"/>
  <c r="T292" i="1"/>
  <c r="T272" i="1"/>
  <c r="T1345" i="1"/>
  <c r="T1161" i="1"/>
  <c r="T922" i="1"/>
  <c r="T782" i="1"/>
  <c r="T1849" i="1"/>
  <c r="T1593" i="1"/>
  <c r="T1108" i="1"/>
  <c r="T1082" i="1"/>
  <c r="T1001" i="1"/>
  <c r="T961" i="1"/>
  <c r="T921" i="1"/>
  <c r="T861" i="1"/>
  <c r="T1612" i="1"/>
  <c r="T1552" i="1"/>
  <c r="T1532" i="1"/>
  <c r="T631" i="1"/>
  <c r="T373" i="1"/>
  <c r="T293" i="1"/>
  <c r="T233" i="1"/>
  <c r="T1403" i="1"/>
  <c r="T204" i="1"/>
  <c r="T184" i="1"/>
  <c r="T1148" i="1"/>
  <c r="T138" i="1"/>
  <c r="T1093" i="1"/>
  <c r="T1066" i="1"/>
  <c r="T980" i="1"/>
  <c r="T920" i="1"/>
  <c r="T800" i="1"/>
  <c r="T1649" i="1"/>
  <c r="T1611" i="1"/>
  <c r="T1591" i="1"/>
  <c r="T1551" i="1"/>
  <c r="T1531" i="1"/>
  <c r="T1496" i="1"/>
  <c r="T698" i="1"/>
  <c r="T86" i="1"/>
  <c r="T49" i="1"/>
  <c r="T578" i="1"/>
  <c r="T26" i="1"/>
  <c r="T492" i="1"/>
  <c r="T452" i="1"/>
  <c r="T372" i="1"/>
  <c r="T312" i="1"/>
  <c r="T252" i="1"/>
  <c r="T232" i="1"/>
  <c r="T1442" i="1"/>
  <c r="T1422" i="1"/>
  <c r="T1362" i="1"/>
  <c r="T166" i="1"/>
  <c r="T1067" i="1"/>
  <c r="T1041" i="1"/>
  <c r="T1021" i="1"/>
  <c r="T821" i="1"/>
  <c r="T1868" i="1"/>
  <c r="T1768" i="1"/>
  <c r="T1650" i="1"/>
  <c r="T699" i="1"/>
  <c r="T74" i="1"/>
  <c r="T493" i="1"/>
  <c r="T453" i="1"/>
  <c r="T215" i="1"/>
  <c r="T1443" i="1"/>
  <c r="T1363" i="1"/>
  <c r="T1134" i="1"/>
  <c r="T124" i="1"/>
  <c r="T110" i="1"/>
  <c r="T960" i="1"/>
  <c r="T820" i="1"/>
  <c r="T1867" i="1"/>
  <c r="T731" i="1"/>
  <c r="T712" i="1"/>
  <c r="T1571" i="1"/>
  <c r="T35" i="1"/>
  <c r="T512" i="1"/>
  <c r="T1151" i="1"/>
  <c r="T148" i="1"/>
  <c r="T1097" i="1"/>
  <c r="T986" i="1"/>
  <c r="T866" i="1"/>
  <c r="T786" i="1"/>
  <c r="T1893" i="1"/>
  <c r="T1873" i="1"/>
  <c r="T1853" i="1"/>
  <c r="T1833" i="1"/>
  <c r="T1813" i="1"/>
  <c r="T1695" i="1"/>
  <c r="T1675" i="1"/>
  <c r="T609" i="1"/>
  <c r="T29" i="1"/>
  <c r="T6" i="1"/>
  <c r="T358" i="1"/>
  <c r="T318" i="1"/>
  <c r="T1265" i="1"/>
  <c r="T1792" i="1"/>
  <c r="T1654" i="1"/>
  <c r="T1576" i="1"/>
  <c r="T517" i="1"/>
  <c r="T1407" i="1"/>
  <c r="T1287" i="1"/>
  <c r="T1212" i="1"/>
  <c r="T1106" i="1"/>
  <c r="T1064" i="1"/>
  <c r="T938" i="1"/>
  <c r="T898" i="1"/>
  <c r="T778" i="1"/>
  <c r="T1569" i="1"/>
  <c r="T643" i="1"/>
  <c r="T1420" i="1"/>
  <c r="T1380" i="1"/>
  <c r="AF5" i="1"/>
  <c r="AF3" i="1"/>
</calcChain>
</file>

<file path=xl/sharedStrings.xml><?xml version="1.0" encoding="utf-8"?>
<sst xmlns="http://schemas.openxmlformats.org/spreadsheetml/2006/main" count="7973" uniqueCount="844">
  <si>
    <t>test</t>
  </si>
  <si>
    <t>log_name</t>
  </si>
  <si>
    <t>param</t>
  </si>
  <si>
    <t>av</t>
  </si>
  <si>
    <t>std</t>
  </si>
  <si>
    <t>n</t>
  </si>
  <si>
    <t>files_found</t>
  </si>
  <si>
    <t>lim_min</t>
  </si>
  <si>
    <t>lim_max</t>
  </si>
  <si>
    <t>lim_mid</t>
  </si>
  <si>
    <t>lim_range</t>
  </si>
  <si>
    <t>meas_max</t>
  </si>
  <si>
    <t>meas_min</t>
  </si>
  <si>
    <t>meas_range</t>
  </si>
  <si>
    <t>av/std</t>
  </si>
  <si>
    <t>lim_range/meas_range</t>
  </si>
  <si>
    <t>Prod PSU</t>
  </si>
  <si>
    <t>logProcStatusTPB</t>
  </si>
  <si>
    <t>TPB.FanBay1.fan1.RPM</t>
  </si>
  <si>
    <t>no limit found</t>
  </si>
  <si>
    <t>TPB.FanBay1.fan1.Status</t>
  </si>
  <si>
    <t>inf</t>
  </si>
  <si>
    <t>TPB.FanBay1.fan2.RPM</t>
  </si>
  <si>
    <t>TPB.FanBay1.fan2.Status</t>
  </si>
  <si>
    <t>TPB.FanBay1.fan3.RPM</t>
  </si>
  <si>
    <t>TPB.FanBay1.fan3.Status</t>
  </si>
  <si>
    <t>TPB.FanBay1.fan4.RPM</t>
  </si>
  <si>
    <t>TPB.FanBay1.fan4.Status</t>
  </si>
  <si>
    <t>TPB.FanBay2.fan1.RPM</t>
  </si>
  <si>
    <t>TPB.FanBay2.fan1.Status</t>
  </si>
  <si>
    <t>TPB.FanBay2.fan2.RPM</t>
  </si>
  <si>
    <t>TPB.FanBay2.fan2.Status</t>
  </si>
  <si>
    <t>TPB.FanBay2.fan3.RPM</t>
  </si>
  <si>
    <t>TPB.FanBay2.fan3.Status</t>
  </si>
  <si>
    <t>TPB.FanBay2.fan4.RPM</t>
  </si>
  <si>
    <t>TPB.FanBay2.fan4.Status</t>
  </si>
  <si>
    <t>TPB.PsuMeasurements.CCUI.Amps.Now</t>
  </si>
  <si>
    <t>TPB.PsuMeasurements.CCUV.Volts.Now</t>
  </si>
  <si>
    <t>TPB.PsuMeasurements.MPB1I.Amps.Now</t>
  </si>
  <si>
    <t>TPB.PsuMeasurements.MPB1V.Volts.Now</t>
  </si>
  <si>
    <t>TPB.PsuMeasurements.MPB2I.Amps.Now</t>
  </si>
  <si>
    <t>TPB.PsuMeasurements.MPB2V.Volts.Now</t>
  </si>
  <si>
    <t>TPB.PsuMeasurements.MPB3I.Amps.Now</t>
  </si>
  <si>
    <t>TPB.PsuMeasurements.MPB3V.Volts.Now</t>
  </si>
  <si>
    <t>TPB.PsuMeasurements.PCS1I.Amps.Now</t>
  </si>
  <si>
    <t>TPB.PsuMeasurements.PCS1V.Volts.Now</t>
  </si>
  <si>
    <t>TPB.PsuMeasurements.PCS2I.Amps.Now</t>
  </si>
  <si>
    <t>TPB.PsuMeasurements.PCS2V.Volts.Now</t>
  </si>
  <si>
    <t>TPB.PsuMeasurements.PCS3I.Amps.Now</t>
  </si>
  <si>
    <t>TPB.PsuMeasurements.PCS3V.Volts.Now</t>
  </si>
  <si>
    <t>TPB.PsuMeasurements.PCS4I.Amps.Now</t>
  </si>
  <si>
    <t>TPB.PsuMeasurements.PCS4V.Volts.Now</t>
  </si>
  <si>
    <t>TPB.PsuMeasurements.PCS5I.Amps.Now</t>
  </si>
  <si>
    <t>TPB.PsuMeasurements.PCS5V.Volts.Now</t>
  </si>
  <si>
    <t>TPB.PsuMeasurements.PCS6I.Amps.Now</t>
  </si>
  <si>
    <t>TPB.PsuMeasurements.PCS6V.Volts.Now</t>
  </si>
  <si>
    <t>logStatusACU</t>
  </si>
  <si>
    <t>ACU.Beam1.Rx.PhiTheta.Phi</t>
  </si>
  <si>
    <t>yes</t>
  </si>
  <si>
    <t>ACU.Beam1.Rx.PhiTheta.Theta</t>
  </si>
  <si>
    <t>ACU.Beam1.Tx.PhiTheta.Phi</t>
  </si>
  <si>
    <t>ACU.Beam1.Tx.PhiTheta.Theta</t>
  </si>
  <si>
    <t>ACU.Beam2.Rx.PhiTheta.Phi</t>
  </si>
  <si>
    <t>ACU.Beam2.Rx.PhiTheta.Theta</t>
  </si>
  <si>
    <t>ACU.Beam2.Tx.PhiTheta.Phi</t>
  </si>
  <si>
    <t>ACU.Beam2.Tx.PhiTheta.Theta</t>
  </si>
  <si>
    <t>ACU.LoopbackMode.Status</t>
  </si>
  <si>
    <t>ACU.Monitor.CCU.Pl Temperature</t>
  </si>
  <si>
    <t>ACU.Monitor.CCU.Ps Temperature</t>
  </si>
  <si>
    <t>ACU.Orientation.Pitch</t>
  </si>
  <si>
    <t>ACU.Orientation.Roll</t>
  </si>
  <si>
    <t>ACU.Orientation.Yaw</t>
  </si>
  <si>
    <t>ACU.Position.Altitude</t>
  </si>
  <si>
    <t>ACU.Position.Latitude</t>
  </si>
  <si>
    <t>ACU.Position.Longitude</t>
  </si>
  <si>
    <t>NPI Pre Check TLMs Fitted</t>
  </si>
  <si>
    <t>logProcStatusACU</t>
  </si>
  <si>
    <t>acu_errors</t>
  </si>
  <si>
    <t>acu_lmkPll1</t>
  </si>
  <si>
    <t>acu_lmkPll2</t>
  </si>
  <si>
    <t>acu_lmx1</t>
  </si>
  <si>
    <t>acu_lmx2</t>
  </si>
  <si>
    <t>acu_lmx3</t>
  </si>
  <si>
    <t>acu_lmx4</t>
  </si>
  <si>
    <t>acu_mmcm</t>
  </si>
  <si>
    <t>acu_psTemp</t>
  </si>
  <si>
    <t>acu_state</t>
  </si>
  <si>
    <t>logProcStatusCAL</t>
  </si>
  <si>
    <t>cal_0_errors</t>
  </si>
  <si>
    <t>cal_0_pll_down</t>
  </si>
  <si>
    <t>cal_0_pll_up</t>
  </si>
  <si>
    <t>cal_0_state</t>
  </si>
  <si>
    <t>cal_0_temp_lmk</t>
  </si>
  <si>
    <t>cal_0_temp_ocxo</t>
  </si>
  <si>
    <t>logProcStatusFAN</t>
  </si>
  <si>
    <t>fanStatus_allTemp</t>
  </si>
  <si>
    <t>fanStatus_fanSpeed</t>
  </si>
  <si>
    <t>fanStatus_rxTemp</t>
  </si>
  <si>
    <t>fanStatus_txTemp</t>
  </si>
  <si>
    <t>logProcStatusPCS</t>
  </si>
  <si>
    <t>pcs_0_state</t>
  </si>
  <si>
    <t>pcs_0_tlm_2_pllLock1</t>
  </si>
  <si>
    <t>pcs_0_tlm_2_pllLock2</t>
  </si>
  <si>
    <t>pcs_0_tlm_5_pllLock1</t>
  </si>
  <si>
    <t>pcs_0_tlm_5_pllLock2</t>
  </si>
  <si>
    <t>pcs_0_tlm_5_pllTemp1</t>
  </si>
  <si>
    <t>pcs_0_tlm_5_pllTemp2</t>
  </si>
  <si>
    <t>pcs_1_state</t>
  </si>
  <si>
    <t>pcs_1_tlm_2_pllLock1</t>
  </si>
  <si>
    <t>pcs_1_tlm_2_pllLock2</t>
  </si>
  <si>
    <t>pcs_1_tlm_5_pllLock1</t>
  </si>
  <si>
    <t>pcs_1_tlm_5_pllLock2</t>
  </si>
  <si>
    <t>pcs_1_tlm_5_pllTemp1</t>
  </si>
  <si>
    <t>pcs_1_tlm_5_pllTemp2</t>
  </si>
  <si>
    <t>pcs_2_state</t>
  </si>
  <si>
    <t>pcs_2_tlm_2_pllLock1</t>
  </si>
  <si>
    <t>pcs_2_tlm_2_pllLock2</t>
  </si>
  <si>
    <t>pcs_2_tlm_5_pllLock1</t>
  </si>
  <si>
    <t>pcs_2_tlm_5_pllLock2</t>
  </si>
  <si>
    <t>pcs_2_tlm_5_pllTemp1</t>
  </si>
  <si>
    <t>pcs_2_tlm_5_pllTemp2</t>
  </si>
  <si>
    <t>pcs_3_state</t>
  </si>
  <si>
    <t>pcs_3_tlm_2_pllLock1</t>
  </si>
  <si>
    <t>pcs_3_tlm_2_pllLock2</t>
  </si>
  <si>
    <t>pcs_3_tlm_5_pllLock1</t>
  </si>
  <si>
    <t>pcs_3_tlm_5_pllLock2</t>
  </si>
  <si>
    <t>pcs_3_tlm_5_pllTemp1</t>
  </si>
  <si>
    <t>pcs_3_tlm_5_pllTemp2</t>
  </si>
  <si>
    <t>pcs_4_state</t>
  </si>
  <si>
    <t>pcs_4_tlm_2_pllLock1</t>
  </si>
  <si>
    <t>pcs_4_tlm_2_pllLock2</t>
  </si>
  <si>
    <t>pcs_4_tlm_5_pllLock1</t>
  </si>
  <si>
    <t>pcs_4_tlm_5_pllLock2</t>
  </si>
  <si>
    <t>pcs_4_tlm_5_pllTemp1</t>
  </si>
  <si>
    <t>pcs_4_tlm_5_pllTemp2</t>
  </si>
  <si>
    <t>pcs_5_state</t>
  </si>
  <si>
    <t>pcs_5_tlm_2_pllLock1</t>
  </si>
  <si>
    <t>pcs_5_tlm_2_pllLock2</t>
  </si>
  <si>
    <t>pcs_5_tlm_5_pllLock1</t>
  </si>
  <si>
    <t>pcs_5_tlm_5_pllLock2</t>
  </si>
  <si>
    <t>pcs_5_tlm_5_pllTemp1</t>
  </si>
  <si>
    <t>pcs_5_tlm_5_pllTemp2</t>
  </si>
  <si>
    <t>logProcStatusTLM</t>
  </si>
  <si>
    <t>pcs_0_tlm_0_errors</t>
  </si>
  <si>
    <t>pcs_0_tlm_0_rfPowerdBm</t>
  </si>
  <si>
    <t>pcs_0_tlm_0_rfic</t>
  </si>
  <si>
    <t>pcs_0_tlm_1_errors</t>
  </si>
  <si>
    <t>pcs_0_tlm_1_rfPowerdBm</t>
  </si>
  <si>
    <t>pcs_0_tlm_1_rfic</t>
  </si>
  <si>
    <t>pcs_0_tlm_2_errors</t>
  </si>
  <si>
    <t>pcs_0_tlm_2_rfPowerdBm</t>
  </si>
  <si>
    <t>pcs_0_tlm_2_rfic</t>
  </si>
  <si>
    <t>pcs_0_tlm_3_errors</t>
  </si>
  <si>
    <t>pcs_0_tlm_3_rfPowerdBm</t>
  </si>
  <si>
    <t>pcs_0_tlm_3_rfic</t>
  </si>
  <si>
    <t>pcs_0_tlm_4_errors</t>
  </si>
  <si>
    <t>pcs_0_tlm_4_rfPowerdBm</t>
  </si>
  <si>
    <t>pcs_0_tlm_4_rfic</t>
  </si>
  <si>
    <t>pcs_0_tlm_5_errors</t>
  </si>
  <si>
    <t>pcs_0_tlm_5_rfPowerdBm</t>
  </si>
  <si>
    <t>pcs_0_tlm_5_rfic</t>
  </si>
  <si>
    <t>pcs_1_tlm_0_errors</t>
  </si>
  <si>
    <t>pcs_1_tlm_0_rfPowerdBm</t>
  </si>
  <si>
    <t>pcs_1_tlm_0_rfic</t>
  </si>
  <si>
    <t>pcs_1_tlm_1_errors</t>
  </si>
  <si>
    <t>pcs_1_tlm_1_rfPowerdBm</t>
  </si>
  <si>
    <t>pcs_1_tlm_1_rfic</t>
  </si>
  <si>
    <t>pcs_1_tlm_2_errors</t>
  </si>
  <si>
    <t>pcs_1_tlm_2_rfPowerdBm</t>
  </si>
  <si>
    <t>pcs_1_tlm_2_rfic</t>
  </si>
  <si>
    <t>pcs_1_tlm_3_errors</t>
  </si>
  <si>
    <t>pcs_1_tlm_3_rfPowerdBm</t>
  </si>
  <si>
    <t>pcs_1_tlm_3_rfic</t>
  </si>
  <si>
    <t>pcs_1_tlm_4_errors</t>
  </si>
  <si>
    <t>pcs_1_tlm_4_rfPowerdBm</t>
  </si>
  <si>
    <t>pcs_1_tlm_4_rfic</t>
  </si>
  <si>
    <t>pcs_1_tlm_5_errors</t>
  </si>
  <si>
    <t>pcs_1_tlm_5_rfPowerdBm</t>
  </si>
  <si>
    <t>pcs_1_tlm_5_rfic</t>
  </si>
  <si>
    <t>pcs_2_tlm_0_errors</t>
  </si>
  <si>
    <t>pcs_2_tlm_0_rfPowerdBm</t>
  </si>
  <si>
    <t>pcs_2_tlm_0_rfic</t>
  </si>
  <si>
    <t>pcs_2_tlm_1_errors</t>
  </si>
  <si>
    <t>pcs_2_tlm_1_rfPowerdBm</t>
  </si>
  <si>
    <t>pcs_2_tlm_1_rfic</t>
  </si>
  <si>
    <t>pcs_2_tlm_2_errors</t>
  </si>
  <si>
    <t>pcs_2_tlm_2_rfPowerdBm</t>
  </si>
  <si>
    <t>pcs_2_tlm_2_rfic</t>
  </si>
  <si>
    <t>pcs_2_tlm_3_errors</t>
  </si>
  <si>
    <t>pcs_2_tlm_3_rfPowerdBm</t>
  </si>
  <si>
    <t>pcs_2_tlm_3_rfic</t>
  </si>
  <si>
    <t>pcs_2_tlm_4_errors</t>
  </si>
  <si>
    <t>pcs_2_tlm_4_rfPowerdBm</t>
  </si>
  <si>
    <t>pcs_2_tlm_4_rfic</t>
  </si>
  <si>
    <t>pcs_2_tlm_5_errors</t>
  </si>
  <si>
    <t>pcs_2_tlm_5_rfPowerdBm</t>
  </si>
  <si>
    <t>pcs_2_tlm_5_rfic</t>
  </si>
  <si>
    <t>pcs_3_tlm_0_errors</t>
  </si>
  <si>
    <t>pcs_3_tlm_0_rfPowerdBm</t>
  </si>
  <si>
    <t>pcs_3_tlm_0_rfic</t>
  </si>
  <si>
    <t>pcs_3_tlm_1_errors</t>
  </si>
  <si>
    <t>pcs_3_tlm_1_rfPowerdBm</t>
  </si>
  <si>
    <t>pcs_3_tlm_1_rfic</t>
  </si>
  <si>
    <t>pcs_3_tlm_2_errors</t>
  </si>
  <si>
    <t>pcs_3_tlm_2_rfPowerdBm</t>
  </si>
  <si>
    <t>pcs_3_tlm_2_rfic</t>
  </si>
  <si>
    <t>pcs_3_tlm_3_errors</t>
  </si>
  <si>
    <t>pcs_3_tlm_3_rfPowerdBm</t>
  </si>
  <si>
    <t>pcs_3_tlm_3_rfic</t>
  </si>
  <si>
    <t>pcs_3_tlm_4_errors</t>
  </si>
  <si>
    <t>pcs_3_tlm_4_rfPowerdBm</t>
  </si>
  <si>
    <t>pcs_3_tlm_4_rfic</t>
  </si>
  <si>
    <t>pcs_3_tlm_5_errors</t>
  </si>
  <si>
    <t>pcs_3_tlm_5_rfPowerdBm</t>
  </si>
  <si>
    <t>pcs_3_tlm_5_rfic</t>
  </si>
  <si>
    <t>pcs_4_tlm_0_errors</t>
  </si>
  <si>
    <t>pcs_4_tlm_0_rfPowerdBm</t>
  </si>
  <si>
    <t>pcs_4_tlm_0_rfic</t>
  </si>
  <si>
    <t>pcs_4_tlm_1_errors</t>
  </si>
  <si>
    <t>pcs_4_tlm_1_rfPowerdBm</t>
  </si>
  <si>
    <t>pcs_4_tlm_1_rfic</t>
  </si>
  <si>
    <t>pcs_4_tlm_2_errors</t>
  </si>
  <si>
    <t>pcs_4_tlm_2_rfPowerdBm</t>
  </si>
  <si>
    <t>pcs_4_tlm_2_rfic</t>
  </si>
  <si>
    <t>pcs_4_tlm_3_errors</t>
  </si>
  <si>
    <t>pcs_4_tlm_3_rfPowerdBm</t>
  </si>
  <si>
    <t>pcs_4_tlm_3_rfic</t>
  </si>
  <si>
    <t>pcs_4_tlm_4_errors</t>
  </si>
  <si>
    <t>pcs_4_tlm_4_rfPowerdBm</t>
  </si>
  <si>
    <t>pcs_4_tlm_4_rfic</t>
  </si>
  <si>
    <t>pcs_4_tlm_5_errors</t>
  </si>
  <si>
    <t>pcs_4_tlm_5_rfPowerdBm</t>
  </si>
  <si>
    <t>pcs_4_tlm_5_rfic</t>
  </si>
  <si>
    <t>pcs_5_tlm_0_errors</t>
  </si>
  <si>
    <t>pcs_5_tlm_0_rfPowerdBm</t>
  </si>
  <si>
    <t>pcs_5_tlm_0_rfic</t>
  </si>
  <si>
    <t>pcs_5_tlm_1_errors</t>
  </si>
  <si>
    <t>pcs_5_tlm_1_rfPowerdBm</t>
  </si>
  <si>
    <t>pcs_5_tlm_1_rfic</t>
  </si>
  <si>
    <t>pcs_5_tlm_2_errors</t>
  </si>
  <si>
    <t>pcs_5_tlm_2_rfPowerdBm</t>
  </si>
  <si>
    <t>pcs_5_tlm_2_rfic</t>
  </si>
  <si>
    <t>pcs_5_tlm_3_errors</t>
  </si>
  <si>
    <t>pcs_5_tlm_3_rfPowerdBm</t>
  </si>
  <si>
    <t>pcs_5_tlm_3_rfic</t>
  </si>
  <si>
    <t>pcs_5_tlm_4_errors</t>
  </si>
  <si>
    <t>pcs_5_tlm_4_rfPowerdBm</t>
  </si>
  <si>
    <t>pcs_5_tlm_4_rfic</t>
  </si>
  <si>
    <t>pcs_5_tlm_5_errors</t>
  </si>
  <si>
    <t>pcs_5_tlm_5_rfPowerdBm</t>
  </si>
  <si>
    <t>pcs_5_tlm_5_rfic</t>
  </si>
  <si>
    <t>logProcStatusTMU</t>
  </si>
  <si>
    <t>tmu_state</t>
  </si>
  <si>
    <t>logStatusCombinerRFIC</t>
  </si>
  <si>
    <t>TLM_1_Rx1.Lens1.RFIC0.Beam1.Power.TotalPower</t>
  </si>
  <si>
    <t>TLM_1_Rx1.Lens1.RFIC0.Beam2.Power.TotalPower</t>
  </si>
  <si>
    <t>TLM_1_Rx1.Lens1.RFIC0.Beam3.Power.TotalPower</t>
  </si>
  <si>
    <t>TLM_1_Rx1.Lens1.RFIC0.Temps.Current</t>
  </si>
  <si>
    <t>TLM_1_Rx1.Lens2.RFIC0.Beam1.Power.TotalPower</t>
  </si>
  <si>
    <t>TLM_1_Rx1.Lens2.RFIC0.Beam2.Power.TotalPower</t>
  </si>
  <si>
    <t>TLM_1_Rx1.Lens2.RFIC0.Beam3.Power.TotalPower</t>
  </si>
  <si>
    <t>TLM_1_Rx1.Lens2.RFIC0.Temps.Current</t>
  </si>
  <si>
    <t>TLM_1_Rx2.Lens1.RFIC0.Beam1.Power.TotalPower</t>
  </si>
  <si>
    <t>TLM_1_Rx2.Lens1.RFIC0.Beam2.Power.TotalPower</t>
  </si>
  <si>
    <t>TLM_1_Rx2.Lens1.RFIC0.Beam3.Power.TotalPower</t>
  </si>
  <si>
    <t>TLM_1_Rx2.Lens1.RFIC0.Temps.Current</t>
  </si>
  <si>
    <t>TLM_1_Rx2.Lens2.RFIC0.Beam1.Power.TotalPower</t>
  </si>
  <si>
    <t>TLM_1_Rx2.Lens2.RFIC0.Beam2.Power.TotalPower</t>
  </si>
  <si>
    <t>TLM_1_Rx2.Lens2.RFIC0.Beam3.Power.TotalPower</t>
  </si>
  <si>
    <t>TLM_1_Rx2.Lens2.RFIC0.Temps.Current</t>
  </si>
  <si>
    <t>TLM_1_Rx3.Lens1.RFIC0.Beam1.Power.TotalPower</t>
  </si>
  <si>
    <t>TLM_1_Rx3.Lens1.RFIC0.Beam2.Power.TotalPower</t>
  </si>
  <si>
    <t>TLM_1_Rx3.Lens1.RFIC0.Beam3.Power.TotalPower</t>
  </si>
  <si>
    <t>TLM_1_Rx3.Lens1.RFIC0.Temps.Current</t>
  </si>
  <si>
    <t>TLM_1_Rx3.Lens2.RFIC0.Beam1.Power.TotalPower</t>
  </si>
  <si>
    <t>TLM_1_Rx3.Lens2.RFIC0.Beam2.Power.TotalPower</t>
  </si>
  <si>
    <t>TLM_1_Rx3.Lens2.RFIC0.Beam3.Power.TotalPower</t>
  </si>
  <si>
    <t>TLM_1_Rx3.Lens2.RFIC0.Temps.Current</t>
  </si>
  <si>
    <t>TLM_1_Tx1.Lens1.RFIC0.Beam1.Power.TotalPower</t>
  </si>
  <si>
    <t>TLM_1_Tx1.Lens1.RFIC0.Beam2.Power.TotalPower</t>
  </si>
  <si>
    <t>TLM_1_Tx1.Lens1.RFIC0.Beam3.Power.TotalPower</t>
  </si>
  <si>
    <t>TLM_1_Tx1.Lens1.RFIC0.Temps.Current</t>
  </si>
  <si>
    <t>TLM_1_Tx1.Lens2.RFIC0.Beam1.Power.TotalPower</t>
  </si>
  <si>
    <t>TLM_1_Tx1.Lens2.RFIC0.Beam2.Power.TotalPower</t>
  </si>
  <si>
    <t>TLM_1_Tx1.Lens2.RFIC0.Beam3.Power.TotalPower</t>
  </si>
  <si>
    <t>TLM_1_Tx1.Lens2.RFIC0.Temps.Current</t>
  </si>
  <si>
    <t>TLM_1_Tx2.Lens1.RFIC0.Beam1.Power.TotalPower</t>
  </si>
  <si>
    <t>TLM_1_Tx2.Lens1.RFIC0.Beam2.Power.TotalPower</t>
  </si>
  <si>
    <t>TLM_1_Tx2.Lens1.RFIC0.Beam3.Power.TotalPower</t>
  </si>
  <si>
    <t>TLM_1_Tx2.Lens1.RFIC0.Temps.Current</t>
  </si>
  <si>
    <t>TLM_1_Tx2.Lens2.RFIC0.Beam1.Power.TotalPower</t>
  </si>
  <si>
    <t>TLM_1_Tx2.Lens2.RFIC0.Beam2.Power.TotalPower</t>
  </si>
  <si>
    <t>TLM_1_Tx2.Lens2.RFIC0.Beam3.Power.TotalPower</t>
  </si>
  <si>
    <t>TLM_1_Tx2.Lens2.RFIC0.Temps.Current</t>
  </si>
  <si>
    <t>TLM_1_Tx3.Lens1.RFIC0.Beam1.Power.TotalPower</t>
  </si>
  <si>
    <t>TLM_1_Tx3.Lens1.RFIC0.Beam2.Power.TotalPower</t>
  </si>
  <si>
    <t>TLM_1_Tx3.Lens1.RFIC0.Beam3.Power.TotalPower</t>
  </si>
  <si>
    <t>TLM_1_Tx3.Lens1.RFIC0.Temps.Current</t>
  </si>
  <si>
    <t>TLM_1_Tx3.Lens2.RFIC0.Beam1.Power.TotalPower</t>
  </si>
  <si>
    <t>TLM_1_Tx3.Lens2.RFIC0.Beam2.Power.TotalPower</t>
  </si>
  <si>
    <t>TLM_1_Tx3.Lens2.RFIC0.Beam3.Power.TotalPower</t>
  </si>
  <si>
    <t>TLM_1_Tx3.Lens2.RFIC0.Temps.Current</t>
  </si>
  <si>
    <t>TLM_2_Rx1.Lens1.RFIC0.Beam1.Power.TotalPower</t>
  </si>
  <si>
    <t>TLM_2_Rx1.Lens1.RFIC0.Beam2.Power.TotalPower</t>
  </si>
  <si>
    <t>TLM_2_Rx1.Lens1.RFIC0.Beam3.Power.TotalPower</t>
  </si>
  <si>
    <t>TLM_2_Rx1.Lens1.RFIC0.Temps.Current</t>
  </si>
  <si>
    <t>TLM_2_Rx1.Lens2.RFIC0.Beam1.Power.TotalPower</t>
  </si>
  <si>
    <t>TLM_2_Rx1.Lens2.RFIC0.Beam2.Power.TotalPower</t>
  </si>
  <si>
    <t>TLM_2_Rx1.Lens2.RFIC0.Beam3.Power.TotalPower</t>
  </si>
  <si>
    <t>TLM_2_Rx1.Lens2.RFIC0.Temps.Current</t>
  </si>
  <si>
    <t>TLM_2_Rx2.Lens1.RFIC0.Beam1.Power.TotalPower</t>
  </si>
  <si>
    <t>TLM_2_Rx2.Lens1.RFIC0.Beam2.Power.TotalPower</t>
  </si>
  <si>
    <t>TLM_2_Rx2.Lens1.RFIC0.Beam3.Power.TotalPower</t>
  </si>
  <si>
    <t>TLM_2_Rx2.Lens1.RFIC0.Temps.Current</t>
  </si>
  <si>
    <t>TLM_2_Rx2.Lens2.RFIC0.Beam1.Power.TotalPower</t>
  </si>
  <si>
    <t>TLM_2_Rx2.Lens2.RFIC0.Beam2.Power.TotalPower</t>
  </si>
  <si>
    <t>TLM_2_Rx2.Lens2.RFIC0.Beam3.Power.TotalPower</t>
  </si>
  <si>
    <t>TLM_2_Rx2.Lens2.RFIC0.Temps.Current</t>
  </si>
  <si>
    <t>TLM_2_Rx3.Lens1.RFIC0.Beam1.Power.TotalPower</t>
  </si>
  <si>
    <t>TLM_2_Rx3.Lens1.RFIC0.Beam2.Power.TotalPower</t>
  </si>
  <si>
    <t>TLM_2_Rx3.Lens1.RFIC0.Beam3.Power.TotalPower</t>
  </si>
  <si>
    <t>TLM_2_Rx3.Lens1.RFIC0.Temps.Current</t>
  </si>
  <si>
    <t>TLM_2_Rx3.Lens2.RFIC0.Beam1.Power.TotalPower</t>
  </si>
  <si>
    <t>TLM_2_Rx3.Lens2.RFIC0.Beam2.Power.TotalPower</t>
  </si>
  <si>
    <t>TLM_2_Rx3.Lens2.RFIC0.Beam3.Power.TotalPower</t>
  </si>
  <si>
    <t>TLM_2_Rx3.Lens2.RFIC0.Temps.Current</t>
  </si>
  <si>
    <t>TLM_2_Tx1.Lens1.RFIC0.Beam1.Power.TotalPower</t>
  </si>
  <si>
    <t>TLM_2_Tx1.Lens1.RFIC0.Beam2.Power.TotalPower</t>
  </si>
  <si>
    <t>TLM_2_Tx1.Lens1.RFIC0.Beam3.Power.TotalPower</t>
  </si>
  <si>
    <t>TLM_2_Tx1.Lens1.RFIC0.Temps.Current</t>
  </si>
  <si>
    <t>TLM_2_Tx1.Lens2.RFIC0.Beam1.Power.TotalPower</t>
  </si>
  <si>
    <t>TLM_2_Tx1.Lens2.RFIC0.Beam2.Power.TotalPower</t>
  </si>
  <si>
    <t>TLM_2_Tx1.Lens2.RFIC0.Beam3.Power.TotalPower</t>
  </si>
  <si>
    <t>TLM_2_Tx1.Lens2.RFIC0.Temps.Current</t>
  </si>
  <si>
    <t>TLM_2_Tx2.Lens1.RFIC0.Beam1.Power.TotalPower</t>
  </si>
  <si>
    <t>TLM_2_Tx2.Lens1.RFIC0.Beam2.Power.TotalPower</t>
  </si>
  <si>
    <t>TLM_2_Tx2.Lens1.RFIC0.Beam3.Power.TotalPower</t>
  </si>
  <si>
    <t>TLM_2_Tx2.Lens1.RFIC0.Temps.Current</t>
  </si>
  <si>
    <t>TLM_2_Tx2.Lens2.RFIC0.Beam1.Power.TotalPower</t>
  </si>
  <si>
    <t>TLM_2_Tx2.Lens2.RFIC0.Beam2.Power.TotalPower</t>
  </si>
  <si>
    <t>TLM_2_Tx2.Lens2.RFIC0.Beam3.Power.TotalPower</t>
  </si>
  <si>
    <t>TLM_2_Tx2.Lens2.RFIC0.Temps.Current</t>
  </si>
  <si>
    <t>TLM_2_Tx3.Lens1.RFIC0.Beam1.Power.TotalPower</t>
  </si>
  <si>
    <t>TLM_2_Tx3.Lens1.RFIC0.Beam2.Power.TotalPower</t>
  </si>
  <si>
    <t>TLM_2_Tx3.Lens1.RFIC0.Beam3.Power.TotalPower</t>
  </si>
  <si>
    <t>TLM_2_Tx3.Lens1.RFIC0.Temps.Current</t>
  </si>
  <si>
    <t>TLM_2_Tx3.Lens2.RFIC0.Beam1.Power.TotalPower</t>
  </si>
  <si>
    <t>TLM_2_Tx3.Lens2.RFIC0.Beam2.Power.TotalPower</t>
  </si>
  <si>
    <t>TLM_2_Tx3.Lens2.RFIC0.Beam3.Power.TotalPower</t>
  </si>
  <si>
    <t>TLM_2_Tx3.Lens2.RFIC0.Temps.Current</t>
  </si>
  <si>
    <t>TLM_3_Rx1.Lens1.RFIC0.Beam1.Power.TotalPower</t>
  </si>
  <si>
    <t>TLM_3_Rx1.Lens1.RFIC0.Beam2.Power.TotalPower</t>
  </si>
  <si>
    <t>TLM_3_Rx1.Lens1.RFIC0.Beam3.Power.TotalPower</t>
  </si>
  <si>
    <t>TLM_3_Rx1.Lens1.RFIC0.Temps.Current</t>
  </si>
  <si>
    <t>TLM_3_Rx1.Lens2.RFIC0.Beam1.Power.TotalPower</t>
  </si>
  <si>
    <t>TLM_3_Rx1.Lens2.RFIC0.Beam2.Power.TotalPower</t>
  </si>
  <si>
    <t>TLM_3_Rx1.Lens2.RFIC0.Beam3.Power.TotalPower</t>
  </si>
  <si>
    <t>TLM_3_Rx1.Lens2.RFIC0.Temps.Current</t>
  </si>
  <si>
    <t>TLM_3_Rx2.Lens1.RFIC0.Beam1.Power.TotalPower</t>
  </si>
  <si>
    <t>TLM_3_Rx2.Lens1.RFIC0.Beam2.Power.TotalPower</t>
  </si>
  <si>
    <t>TLM_3_Rx2.Lens1.RFIC0.Beam3.Power.TotalPower</t>
  </si>
  <si>
    <t>TLM_3_Rx2.Lens1.RFIC0.Temps.Current</t>
  </si>
  <si>
    <t>TLM_3_Rx2.Lens2.RFIC0.Beam1.Power.TotalPower</t>
  </si>
  <si>
    <t>TLM_3_Rx2.Lens2.RFIC0.Beam2.Power.TotalPower</t>
  </si>
  <si>
    <t>TLM_3_Rx2.Lens2.RFIC0.Beam3.Power.TotalPower</t>
  </si>
  <si>
    <t>TLM_3_Rx2.Lens2.RFIC0.Temps.Current</t>
  </si>
  <si>
    <t>TLM_3_Rx3.Lens1.RFIC0.Beam1.Power.TotalPower</t>
  </si>
  <si>
    <t>TLM_3_Rx3.Lens1.RFIC0.Beam2.Power.TotalPower</t>
  </si>
  <si>
    <t>TLM_3_Rx3.Lens1.RFIC0.Beam3.Power.TotalPower</t>
  </si>
  <si>
    <t>TLM_3_Rx3.Lens1.RFIC0.Temps.Current</t>
  </si>
  <si>
    <t>TLM_3_Rx3.Lens2.RFIC0.Beam1.Power.TotalPower</t>
  </si>
  <si>
    <t>TLM_3_Rx3.Lens2.RFIC0.Beam2.Power.TotalPower</t>
  </si>
  <si>
    <t>TLM_3_Rx3.Lens2.RFIC0.Beam3.Power.TotalPower</t>
  </si>
  <si>
    <t>TLM_3_Rx3.Lens2.RFIC0.Temps.Current</t>
  </si>
  <si>
    <t>TLM_3_Tx1.Lens1.RFIC0.Beam1.Power.TotalPower</t>
  </si>
  <si>
    <t>TLM_3_Tx1.Lens1.RFIC0.Beam2.Power.TotalPower</t>
  </si>
  <si>
    <t>TLM_3_Tx1.Lens1.RFIC0.Beam3.Power.TotalPower</t>
  </si>
  <si>
    <t>TLM_3_Tx1.Lens1.RFIC0.Temps.Current</t>
  </si>
  <si>
    <t>TLM_3_Tx1.Lens2.RFIC0.Beam1.Power.TotalPower</t>
  </si>
  <si>
    <t>TLM_3_Tx1.Lens2.RFIC0.Beam2.Power.TotalPower</t>
  </si>
  <si>
    <t>TLM_3_Tx1.Lens2.RFIC0.Beam3.Power.TotalPower</t>
  </si>
  <si>
    <t>TLM_3_Tx1.Lens2.RFIC0.Temps.Current</t>
  </si>
  <si>
    <t>TLM_3_Tx2.Lens1.RFIC0.Beam1.Power.TotalPower</t>
  </si>
  <si>
    <t>TLM_3_Tx2.Lens1.RFIC0.Beam2.Power.TotalPower</t>
  </si>
  <si>
    <t>TLM_3_Tx2.Lens1.RFIC0.Beam3.Power.TotalPower</t>
  </si>
  <si>
    <t>TLM_3_Tx2.Lens1.RFIC0.Temps.Current</t>
  </si>
  <si>
    <t>TLM_3_Tx2.Lens2.RFIC0.Beam1.Power.TotalPower</t>
  </si>
  <si>
    <t>TLM_3_Tx2.Lens2.RFIC0.Beam2.Power.TotalPower</t>
  </si>
  <si>
    <t>TLM_3_Tx2.Lens2.RFIC0.Beam3.Power.TotalPower</t>
  </si>
  <si>
    <t>TLM_3_Tx2.Lens2.RFIC0.Temps.Current</t>
  </si>
  <si>
    <t>TLM_3_Tx3.Lens1.RFIC0.Beam1.Power.TotalPower</t>
  </si>
  <si>
    <t>TLM_3_Tx3.Lens1.RFIC0.Beam2.Power.TotalPower</t>
  </si>
  <si>
    <t>TLM_3_Tx3.Lens1.RFIC0.Beam3.Power.TotalPower</t>
  </si>
  <si>
    <t>TLM_3_Tx3.Lens1.RFIC0.Temps.Current</t>
  </si>
  <si>
    <t>TLM_3_Tx3.Lens2.RFIC0.Beam1.Power.TotalPower</t>
  </si>
  <si>
    <t>TLM_3_Tx3.Lens2.RFIC0.Beam2.Power.TotalPower</t>
  </si>
  <si>
    <t>TLM_3_Tx3.Lens2.RFIC0.Beam3.Power.TotalPower</t>
  </si>
  <si>
    <t>TLM_3_Tx3.Lens2.RFIC0.Temps.Current</t>
  </si>
  <si>
    <t>TLM_4_Rx1.Lens1.RFIC0.Beam1.Power.TotalPower</t>
  </si>
  <si>
    <t>TLM_4_Rx1.Lens1.RFIC0.Beam2.Power.TotalPower</t>
  </si>
  <si>
    <t>TLM_4_Rx1.Lens1.RFIC0.Beam3.Power.TotalPower</t>
  </si>
  <si>
    <t>TLM_4_Rx1.Lens1.RFIC0.Temps.Current</t>
  </si>
  <si>
    <t>TLM_4_Rx1.Lens2.RFIC0.Beam1.Power.TotalPower</t>
  </si>
  <si>
    <t>TLM_4_Rx1.Lens2.RFIC0.Beam2.Power.TotalPower</t>
  </si>
  <si>
    <t>TLM_4_Rx1.Lens2.RFIC0.Beam3.Power.TotalPower</t>
  </si>
  <si>
    <t>TLM_4_Rx1.Lens2.RFIC0.Temps.Current</t>
  </si>
  <si>
    <t>TLM_4_Rx2.Lens1.RFIC0.Beam1.Power.TotalPower</t>
  </si>
  <si>
    <t>TLM_4_Rx2.Lens1.RFIC0.Beam2.Power.TotalPower</t>
  </si>
  <si>
    <t>TLM_4_Rx2.Lens1.RFIC0.Beam3.Power.TotalPower</t>
  </si>
  <si>
    <t>TLM_4_Rx2.Lens1.RFIC0.Temps.Current</t>
  </si>
  <si>
    <t>TLM_4_Rx2.Lens2.RFIC0.Beam1.Power.TotalPower</t>
  </si>
  <si>
    <t>TLM_4_Rx2.Lens2.RFIC0.Beam2.Power.TotalPower</t>
  </si>
  <si>
    <t>TLM_4_Rx2.Lens2.RFIC0.Beam3.Power.TotalPower</t>
  </si>
  <si>
    <t>TLM_4_Rx2.Lens2.RFIC0.Temps.Current</t>
  </si>
  <si>
    <t>TLM_4_Rx3.Lens1.RFIC0.Beam1.Power.TotalPower</t>
  </si>
  <si>
    <t>TLM_4_Rx3.Lens1.RFIC0.Beam2.Power.TotalPower</t>
  </si>
  <si>
    <t>TLM_4_Rx3.Lens1.RFIC0.Beam3.Power.TotalPower</t>
  </si>
  <si>
    <t>TLM_4_Rx3.Lens1.RFIC0.Temps.Current</t>
  </si>
  <si>
    <t>TLM_4_Rx3.Lens2.RFIC0.Beam1.Power.TotalPower</t>
  </si>
  <si>
    <t>TLM_4_Rx3.Lens2.RFIC0.Beam2.Power.TotalPower</t>
  </si>
  <si>
    <t>TLM_4_Rx3.Lens2.RFIC0.Beam3.Power.TotalPower</t>
  </si>
  <si>
    <t>TLM_4_Rx3.Lens2.RFIC0.Temps.Current</t>
  </si>
  <si>
    <t>TLM_4_Tx1.Lens1.RFIC0.Beam1.Power.TotalPower</t>
  </si>
  <si>
    <t>TLM_4_Tx1.Lens1.RFIC0.Beam2.Power.TotalPower</t>
  </si>
  <si>
    <t>TLM_4_Tx1.Lens1.RFIC0.Beam3.Power.TotalPower</t>
  </si>
  <si>
    <t>TLM_4_Tx1.Lens1.RFIC0.Temps.Current</t>
  </si>
  <si>
    <t>TLM_4_Tx1.Lens2.RFIC0.Beam1.Power.TotalPower</t>
  </si>
  <si>
    <t>TLM_4_Tx1.Lens2.RFIC0.Beam2.Power.TotalPower</t>
  </si>
  <si>
    <t>TLM_4_Tx1.Lens2.RFIC0.Beam3.Power.TotalPower</t>
  </si>
  <si>
    <t>TLM_4_Tx1.Lens2.RFIC0.Temps.Current</t>
  </si>
  <si>
    <t>TLM_4_Tx2.Lens1.RFIC0.Beam1.Power.TotalPower</t>
  </si>
  <si>
    <t>TLM_4_Tx2.Lens1.RFIC0.Beam2.Power.TotalPower</t>
  </si>
  <si>
    <t>TLM_4_Tx2.Lens1.RFIC0.Beam3.Power.TotalPower</t>
  </si>
  <si>
    <t>TLM_4_Tx2.Lens1.RFIC0.Temps.Current</t>
  </si>
  <si>
    <t>TLM_4_Tx2.Lens2.RFIC0.Beam1.Power.TotalPower</t>
  </si>
  <si>
    <t>TLM_4_Tx2.Lens2.RFIC0.Beam2.Power.TotalPower</t>
  </si>
  <si>
    <t>TLM_4_Tx2.Lens2.RFIC0.Beam3.Power.TotalPower</t>
  </si>
  <si>
    <t>TLM_4_Tx2.Lens2.RFIC0.Temps.Current</t>
  </si>
  <si>
    <t>TLM_4_Tx3.Lens1.RFIC0.Beam1.Power.TotalPower</t>
  </si>
  <si>
    <t>TLM_4_Tx3.Lens1.RFIC0.Beam2.Power.TotalPower</t>
  </si>
  <si>
    <t>TLM_4_Tx3.Lens1.RFIC0.Beam3.Power.TotalPower</t>
  </si>
  <si>
    <t>TLM_4_Tx3.Lens1.RFIC0.Temps.Current</t>
  </si>
  <si>
    <t>TLM_4_Tx3.Lens2.RFIC0.Beam1.Power.TotalPower</t>
  </si>
  <si>
    <t>TLM_4_Tx3.Lens2.RFIC0.Beam2.Power.TotalPower</t>
  </si>
  <si>
    <t>TLM_4_Tx3.Lens2.RFIC0.Beam3.Power.TotalPower</t>
  </si>
  <si>
    <t>TLM_4_Tx3.Lens2.RFIC0.Temps.Current</t>
  </si>
  <si>
    <t>TLM_5_Rx1.Lens1.RFIC0.Beam1.Power.TotalPower</t>
  </si>
  <si>
    <t>TLM_5_Rx1.Lens1.RFIC0.Beam2.Power.TotalPower</t>
  </si>
  <si>
    <t>TLM_5_Rx1.Lens1.RFIC0.Beam3.Power.TotalPower</t>
  </si>
  <si>
    <t>TLM_5_Rx1.Lens1.RFIC0.Temps.Current</t>
  </si>
  <si>
    <t>TLM_5_Rx1.Lens2.RFIC0.Beam1.Power.TotalPower</t>
  </si>
  <si>
    <t>TLM_5_Rx1.Lens2.RFIC0.Beam2.Power.TotalPower</t>
  </si>
  <si>
    <t>TLM_5_Rx1.Lens2.RFIC0.Beam3.Power.TotalPower</t>
  </si>
  <si>
    <t>TLM_5_Rx1.Lens2.RFIC0.Temps.Current</t>
  </si>
  <si>
    <t>TLM_5_Rx2.Lens1.RFIC0.Beam1.Power.TotalPower</t>
  </si>
  <si>
    <t>TLM_5_Rx2.Lens1.RFIC0.Beam2.Power.TotalPower</t>
  </si>
  <si>
    <t>TLM_5_Rx2.Lens1.RFIC0.Beam3.Power.TotalPower</t>
  </si>
  <si>
    <t>TLM_5_Rx2.Lens1.RFIC0.Temps.Current</t>
  </si>
  <si>
    <t>TLM_5_Rx2.Lens2.RFIC0.Beam1.Power.TotalPower</t>
  </si>
  <si>
    <t>TLM_5_Rx2.Lens2.RFIC0.Beam2.Power.TotalPower</t>
  </si>
  <si>
    <t>TLM_5_Rx2.Lens2.RFIC0.Beam3.Power.TotalPower</t>
  </si>
  <si>
    <t>TLM_5_Rx2.Lens2.RFIC0.Temps.Current</t>
  </si>
  <si>
    <t>TLM_5_Rx3.Lens1.RFIC0.Beam1.Power.TotalPower</t>
  </si>
  <si>
    <t>TLM_5_Rx3.Lens1.RFIC0.Beam2.Power.TotalPower</t>
  </si>
  <si>
    <t>TLM_5_Rx3.Lens1.RFIC0.Beam3.Power.TotalPower</t>
  </si>
  <si>
    <t>TLM_5_Rx3.Lens1.RFIC0.Temps.Current</t>
  </si>
  <si>
    <t>TLM_5_Rx3.Lens2.RFIC0.Beam1.Power.TotalPower</t>
  </si>
  <si>
    <t>TLM_5_Rx3.Lens2.RFIC0.Beam2.Power.TotalPower</t>
  </si>
  <si>
    <t>TLM_5_Rx3.Lens2.RFIC0.Beam3.Power.TotalPower</t>
  </si>
  <si>
    <t>TLM_5_Rx3.Lens2.RFIC0.Temps.Current</t>
  </si>
  <si>
    <t>TLM_5_Tx1.Lens1.RFIC0.Beam1.Power.TotalPower</t>
  </si>
  <si>
    <t>TLM_5_Tx1.Lens1.RFIC0.Beam2.Power.TotalPower</t>
  </si>
  <si>
    <t>TLM_5_Tx1.Lens1.RFIC0.Beam3.Power.TotalPower</t>
  </si>
  <si>
    <t>TLM_5_Tx1.Lens1.RFIC0.Temps.Current</t>
  </si>
  <si>
    <t>TLM_5_Tx1.Lens2.RFIC0.Beam1.Power.TotalPower</t>
  </si>
  <si>
    <t>TLM_5_Tx1.Lens2.RFIC0.Beam2.Power.TotalPower</t>
  </si>
  <si>
    <t>TLM_5_Tx1.Lens2.RFIC0.Beam3.Power.TotalPower</t>
  </si>
  <si>
    <t>TLM_5_Tx1.Lens2.RFIC0.Temps.Current</t>
  </si>
  <si>
    <t>TLM_5_Tx2.Lens1.RFIC0.Beam1.Power.TotalPower</t>
  </si>
  <si>
    <t>TLM_5_Tx2.Lens1.RFIC0.Beam2.Power.TotalPower</t>
  </si>
  <si>
    <t>TLM_5_Tx2.Lens1.RFIC0.Beam3.Power.TotalPower</t>
  </si>
  <si>
    <t>TLM_5_Tx2.Lens1.RFIC0.Temps.Current</t>
  </si>
  <si>
    <t>TLM_5_Tx2.Lens2.RFIC0.Beam1.Power.TotalPower</t>
  </si>
  <si>
    <t>TLM_5_Tx2.Lens2.RFIC0.Beam2.Power.TotalPower</t>
  </si>
  <si>
    <t>TLM_5_Tx2.Lens2.RFIC0.Beam3.Power.TotalPower</t>
  </si>
  <si>
    <t>TLM_5_Tx2.Lens2.RFIC0.Temps.Current</t>
  </si>
  <si>
    <t>TLM_5_Tx3.Lens1.RFIC0.Beam1.Power.TotalPower</t>
  </si>
  <si>
    <t>TLM_5_Tx3.Lens1.RFIC0.Beam2.Power.TotalPower</t>
  </si>
  <si>
    <t>TLM_5_Tx3.Lens1.RFIC0.Beam3.Power.TotalPower</t>
  </si>
  <si>
    <t>TLM_5_Tx3.Lens1.RFIC0.Temps.Current</t>
  </si>
  <si>
    <t>TLM_5_Tx3.Lens2.RFIC0.Beam1.Power.TotalPower</t>
  </si>
  <si>
    <t>TLM_5_Tx3.Lens2.RFIC0.Beam2.Power.TotalPower</t>
  </si>
  <si>
    <t>TLM_5_Tx3.Lens2.RFIC0.Beam3.Power.TotalPower</t>
  </si>
  <si>
    <t>TLM_5_Tx3.Lens2.RFIC0.Temps.Current</t>
  </si>
  <si>
    <t>TLM_6_Rx1.Lens1.RFIC0.Beam1.Power.TotalPower</t>
  </si>
  <si>
    <t>TLM_6_Rx1.Lens1.RFIC0.Beam2.Power.TotalPower</t>
  </si>
  <si>
    <t>TLM_6_Rx1.Lens1.RFIC0.Beam3.Power.TotalPower</t>
  </si>
  <si>
    <t>TLM_6_Rx1.Lens1.RFIC0.Temps.Current</t>
  </si>
  <si>
    <t>TLM_6_Rx1.Lens2.RFIC0.Beam1.Power.TotalPower</t>
  </si>
  <si>
    <t>TLM_6_Rx1.Lens2.RFIC0.Beam2.Power.TotalPower</t>
  </si>
  <si>
    <t>TLM_6_Rx1.Lens2.RFIC0.Beam3.Power.TotalPower</t>
  </si>
  <si>
    <t>TLM_6_Rx1.Lens2.RFIC0.Temps.Current</t>
  </si>
  <si>
    <t>TLM_6_Rx2.Lens1.RFIC0.Beam1.Power.TotalPower</t>
  </si>
  <si>
    <t>TLM_6_Rx2.Lens1.RFIC0.Beam2.Power.TotalPower</t>
  </si>
  <si>
    <t>TLM_6_Rx2.Lens1.RFIC0.Beam3.Power.TotalPower</t>
  </si>
  <si>
    <t>TLM_6_Rx2.Lens1.RFIC0.Temps.Current</t>
  </si>
  <si>
    <t>TLM_6_Rx2.Lens2.RFIC0.Beam1.Power.TotalPower</t>
  </si>
  <si>
    <t>TLM_6_Rx2.Lens2.RFIC0.Beam2.Power.TotalPower</t>
  </si>
  <si>
    <t>TLM_6_Rx2.Lens2.RFIC0.Beam3.Power.TotalPower</t>
  </si>
  <si>
    <t>TLM_6_Rx2.Lens2.RFIC0.Temps.Current</t>
  </si>
  <si>
    <t>TLM_6_Rx3.Lens1.RFIC0.Beam1.Power.TotalPower</t>
  </si>
  <si>
    <t>TLM_6_Rx3.Lens1.RFIC0.Beam2.Power.TotalPower</t>
  </si>
  <si>
    <t>TLM_6_Rx3.Lens1.RFIC0.Beam3.Power.TotalPower</t>
  </si>
  <si>
    <t>TLM_6_Rx3.Lens1.RFIC0.Temps.Current</t>
  </si>
  <si>
    <t>TLM_6_Rx3.Lens2.RFIC0.Beam1.Power.TotalPower</t>
  </si>
  <si>
    <t>TLM_6_Rx3.Lens2.RFIC0.Beam2.Power.TotalPower</t>
  </si>
  <si>
    <t>TLM_6_Rx3.Lens2.RFIC0.Beam3.Power.TotalPower</t>
  </si>
  <si>
    <t>TLM_6_Rx3.Lens2.RFIC0.Temps.Current</t>
  </si>
  <si>
    <t>TLM_6_Tx1.Lens1.RFIC0.Beam1.Power.TotalPower</t>
  </si>
  <si>
    <t>TLM_6_Tx1.Lens1.RFIC0.Beam2.Power.TotalPower</t>
  </si>
  <si>
    <t>TLM_6_Tx1.Lens1.RFIC0.Beam3.Power.TotalPower</t>
  </si>
  <si>
    <t>TLM_6_Tx1.Lens1.RFIC0.Temps.Current</t>
  </si>
  <si>
    <t>TLM_6_Tx1.Lens2.RFIC0.Beam1.Power.TotalPower</t>
  </si>
  <si>
    <t>TLM_6_Tx1.Lens2.RFIC0.Beam2.Power.TotalPower</t>
  </si>
  <si>
    <t>TLM_6_Tx1.Lens2.RFIC0.Beam3.Power.TotalPower</t>
  </si>
  <si>
    <t>TLM_6_Tx1.Lens2.RFIC0.Temps.Current</t>
  </si>
  <si>
    <t>TLM_6_Tx2.Lens1.RFIC0.Beam1.Power.TotalPower</t>
  </si>
  <si>
    <t>TLM_6_Tx2.Lens1.RFIC0.Beam2.Power.TotalPower</t>
  </si>
  <si>
    <t>TLM_6_Tx2.Lens1.RFIC0.Beam3.Power.TotalPower</t>
  </si>
  <si>
    <t>TLM_6_Tx2.Lens1.RFIC0.Temps.Current</t>
  </si>
  <si>
    <t>TLM_6_Tx2.Lens2.RFIC0.Beam1.Power.TotalPower</t>
  </si>
  <si>
    <t>TLM_6_Tx2.Lens2.RFIC0.Beam2.Power.TotalPower</t>
  </si>
  <si>
    <t>TLM_6_Tx2.Lens2.RFIC0.Beam3.Power.TotalPower</t>
  </si>
  <si>
    <t>TLM_6_Tx2.Lens2.RFIC0.Temps.Current</t>
  </si>
  <si>
    <t>TLM_6_Tx3.Lens1.RFIC0.Beam1.Power.TotalPower</t>
  </si>
  <si>
    <t>TLM_6_Tx3.Lens1.RFIC0.Beam2.Power.TotalPower</t>
  </si>
  <si>
    <t>TLM_6_Tx3.Lens1.RFIC0.Beam3.Power.TotalPower</t>
  </si>
  <si>
    <t>TLM_6_Tx3.Lens1.RFIC0.Temps.Current</t>
  </si>
  <si>
    <t>TLM_6_Tx3.Lens2.RFIC0.Beam1.Power.TotalPower</t>
  </si>
  <si>
    <t>TLM_6_Tx3.Lens2.RFIC0.Beam2.Power.TotalPower</t>
  </si>
  <si>
    <t>TLM_6_Tx3.Lens2.RFIC0.Beam3.Power.TotalPower</t>
  </si>
  <si>
    <t>TLM_6_Tx3.Lens2.RFIC0.Temps.Current</t>
  </si>
  <si>
    <t>logStatusMPB</t>
  </si>
  <si>
    <t>bayPower</t>
  </si>
  <si>
    <t>bayState</t>
  </si>
  <si>
    <t>devicePower</t>
  </si>
  <si>
    <t>id</t>
  </si>
  <si>
    <t>present</t>
  </si>
  <si>
    <t>temp</t>
  </si>
  <si>
    <t>logStatusTLM</t>
  </si>
  <si>
    <t>TLM_1_Rx1.PsuMeasurements.1v.Amps.Now</t>
  </si>
  <si>
    <t>TLM_1_Rx1.PsuMeasurements.1v.Volts.Now</t>
  </si>
  <si>
    <t>TLM_1_Rx1.PsuMeasurements.1v5.Amps.Now</t>
  </si>
  <si>
    <t>TLM_1_Rx1.PsuMeasurements.1v5.Volts.Now</t>
  </si>
  <si>
    <t>TLM_1_Rx1.PsuMeasurements.36v.Amps.Now</t>
  </si>
  <si>
    <t>TLM_1_Rx1.PsuMeasurements.36v.Volts.Now</t>
  </si>
  <si>
    <t>TLM_1_Rx2.PsuMeasurements.1v.Amps.Now</t>
  </si>
  <si>
    <t>TLM_1_Rx2.PsuMeasurements.1v.Volts.Now</t>
  </si>
  <si>
    <t>TLM_1_Rx2.PsuMeasurements.1v5.Amps.Now</t>
  </si>
  <si>
    <t>TLM_1_Rx2.PsuMeasurements.1v5.Volts.Now</t>
  </si>
  <si>
    <t>TLM_1_Rx2.PsuMeasurements.36v.Amps.Now</t>
  </si>
  <si>
    <t>TLM_1_Rx2.PsuMeasurements.36v.Volts.Now</t>
  </si>
  <si>
    <t>TLM_1_Rx3.PsuMeasurements.1v.Amps.Now</t>
  </si>
  <si>
    <t>TLM_1_Rx3.PsuMeasurements.1v.Volts.Now</t>
  </si>
  <si>
    <t>TLM_1_Rx3.PsuMeasurements.1v5.Amps.Now</t>
  </si>
  <si>
    <t>TLM_1_Rx3.PsuMeasurements.1v5.Volts.Now</t>
  </si>
  <si>
    <t>TLM_1_Rx3.PsuMeasurements.36v.Amps.Now</t>
  </si>
  <si>
    <t>TLM_1_Rx3.PsuMeasurements.36v.Volts.Now</t>
  </si>
  <si>
    <t>TLM_1_Tx1.PsuMeasurements.1v8.Volts.Now</t>
  </si>
  <si>
    <t>TLM_1_Tx1.PsuMeasurements.1v8_A.Amps.Now</t>
  </si>
  <si>
    <t>TLM_1_Tx1.PsuMeasurements.1v8_B.Amps.Now</t>
  </si>
  <si>
    <t>TLM_1_Tx1.PsuMeasurements.1v8_C.Amps.Now</t>
  </si>
  <si>
    <t>TLM_1_Tx1.PsuMeasurements.36v.Amps.Now</t>
  </si>
  <si>
    <t>TLM_1_Tx1.PsuMeasurements.4v.Volts.Now</t>
  </si>
  <si>
    <t>TLM_1_Tx1.PsuMeasurements.4v_A.Amps.Now</t>
  </si>
  <si>
    <t>TLM_1_Tx1.PsuMeasurements.4v_B.Amps.Now</t>
  </si>
  <si>
    <t>TLM_1_Tx1.PsuMeasurements.4v_C.Amps.Now</t>
  </si>
  <si>
    <t>TLM_1_Tx2.PsuMeasurements.1v8.Volts.Now</t>
  </si>
  <si>
    <t>TLM_1_Tx2.PsuMeasurements.1v8_A.Amps.Now</t>
  </si>
  <si>
    <t>TLM_1_Tx2.PsuMeasurements.1v8_B.Amps.Now</t>
  </si>
  <si>
    <t>TLM_1_Tx2.PsuMeasurements.1v8_C.Amps.Now</t>
  </si>
  <si>
    <t>TLM_1_Tx2.PsuMeasurements.36v.Amps.Now</t>
  </si>
  <si>
    <t>TLM_1_Tx2.PsuMeasurements.4v.Volts.Now</t>
  </si>
  <si>
    <t>TLM_1_Tx2.PsuMeasurements.4v_A.Amps.Now</t>
  </si>
  <si>
    <t>TLM_1_Tx2.PsuMeasurements.4v_B.Amps.Now</t>
  </si>
  <si>
    <t>TLM_1_Tx2.PsuMeasurements.4v_C.Amps.Now</t>
  </si>
  <si>
    <t>TLM_1_Tx3.PsuMeasurements.1v8.Volts.Now</t>
  </si>
  <si>
    <t>TLM_1_Tx3.PsuMeasurements.1v8_A.Amps.Now</t>
  </si>
  <si>
    <t>TLM_1_Tx3.PsuMeasurements.1v8_B.Amps.Now</t>
  </si>
  <si>
    <t>TLM_1_Tx3.PsuMeasurements.1v8_C.Amps.Now</t>
  </si>
  <si>
    <t>TLM_1_Tx3.PsuMeasurements.36v.Amps.Now</t>
  </si>
  <si>
    <t>TLM_1_Tx3.PsuMeasurements.4v.Volts.Now</t>
  </si>
  <si>
    <t>TLM_1_Tx3.PsuMeasurements.4v_A.Amps.Now</t>
  </si>
  <si>
    <t>TLM_1_Tx3.PsuMeasurements.4v_B.Amps.Now</t>
  </si>
  <si>
    <t>TLM_1_Tx3.PsuMeasurements.4v_C.Amps.Now</t>
  </si>
  <si>
    <t>TLM_2_Rx1.PsuMeasurements.1v.Amps.Now</t>
  </si>
  <si>
    <t>TLM_2_Rx1.PsuMeasurements.1v.Volts.Now</t>
  </si>
  <si>
    <t>TLM_2_Rx1.PsuMeasurements.1v5.Amps.Now</t>
  </si>
  <si>
    <t>TLM_2_Rx1.PsuMeasurements.1v5.Volts.Now</t>
  </si>
  <si>
    <t>TLM_2_Rx1.PsuMeasurements.36v.Amps.Now</t>
  </si>
  <si>
    <t>TLM_2_Rx1.PsuMeasurements.36v.Volts.Now</t>
  </si>
  <si>
    <t>TLM_2_Rx2.PsuMeasurements.1v.Amps.Now</t>
  </si>
  <si>
    <t>TLM_2_Rx2.PsuMeasurements.1v.Volts.Now</t>
  </si>
  <si>
    <t>TLM_2_Rx2.PsuMeasurements.1v5.Amps.Now</t>
  </si>
  <si>
    <t>TLM_2_Rx2.PsuMeasurements.1v5.Volts.Now</t>
  </si>
  <si>
    <t>TLM_2_Rx2.PsuMeasurements.36v.Amps.Now</t>
  </si>
  <si>
    <t>TLM_2_Rx2.PsuMeasurements.36v.Volts.Now</t>
  </si>
  <si>
    <t>TLM_2_Rx3.PsuMeasurements.1v.Amps.Now</t>
  </si>
  <si>
    <t>TLM_2_Rx3.PsuMeasurements.1v.Volts.Now</t>
  </si>
  <si>
    <t>TLM_2_Rx3.PsuMeasurements.1v5.Amps.Now</t>
  </si>
  <si>
    <t>TLM_2_Rx3.PsuMeasurements.1v5.Volts.Now</t>
  </si>
  <si>
    <t>TLM_2_Rx3.PsuMeasurements.36v.Amps.Now</t>
  </si>
  <si>
    <t>TLM_2_Rx3.PsuMeasurements.36v.Volts.Now</t>
  </si>
  <si>
    <t>TLM_2_Tx1.PsuMeasurements.1v8.Volts.Now</t>
  </si>
  <si>
    <t>TLM_2_Tx1.PsuMeasurements.1v8_A.Amps.Now</t>
  </si>
  <si>
    <t>TLM_2_Tx1.PsuMeasurements.1v8_B.Amps.Now</t>
  </si>
  <si>
    <t>TLM_2_Tx1.PsuMeasurements.1v8_C.Amps.Now</t>
  </si>
  <si>
    <t>TLM_2_Tx1.PsuMeasurements.36v.Amps.Now</t>
  </si>
  <si>
    <t>TLM_2_Tx1.PsuMeasurements.4v.Volts.Now</t>
  </si>
  <si>
    <t>TLM_2_Tx1.PsuMeasurements.4v_A.Amps.Now</t>
  </si>
  <si>
    <t>TLM_2_Tx1.PsuMeasurements.4v_B.Amps.Now</t>
  </si>
  <si>
    <t>TLM_2_Tx1.PsuMeasurements.4v_C.Amps.Now</t>
  </si>
  <si>
    <t>TLM_2_Tx2.PsuMeasurements.1v8.Volts.Now</t>
  </si>
  <si>
    <t>TLM_2_Tx2.PsuMeasurements.1v8_A.Amps.Now</t>
  </si>
  <si>
    <t>TLM_2_Tx2.PsuMeasurements.1v8_B.Amps.Now</t>
  </si>
  <si>
    <t>TLM_2_Tx2.PsuMeasurements.1v8_C.Amps.Now</t>
  </si>
  <si>
    <t>TLM_2_Tx2.PsuMeasurements.36v.Amps.Now</t>
  </si>
  <si>
    <t>TLM_2_Tx2.PsuMeasurements.4v.Volts.Now</t>
  </si>
  <si>
    <t>TLM_2_Tx2.PsuMeasurements.4v_A.Amps.Now</t>
  </si>
  <si>
    <t>TLM_2_Tx2.PsuMeasurements.4v_B.Amps.Now</t>
  </si>
  <si>
    <t>TLM_2_Tx2.PsuMeasurements.4v_C.Amps.Now</t>
  </si>
  <si>
    <t>TLM_2_Tx3.PsuMeasurements.1v8.Volts.Now</t>
  </si>
  <si>
    <t>TLM_2_Tx3.PsuMeasurements.1v8_A.Amps.Now</t>
  </si>
  <si>
    <t>TLM_2_Tx3.PsuMeasurements.1v8_B.Amps.Now</t>
  </si>
  <si>
    <t>TLM_2_Tx3.PsuMeasurements.1v8_C.Amps.Now</t>
  </si>
  <si>
    <t>TLM_2_Tx3.PsuMeasurements.36v.Amps.Now</t>
  </si>
  <si>
    <t>TLM_2_Tx3.PsuMeasurements.4v.Volts.Now</t>
  </si>
  <si>
    <t>TLM_2_Tx3.PsuMeasurements.4v_A.Amps.Now</t>
  </si>
  <si>
    <t>TLM_2_Tx3.PsuMeasurements.4v_B.Amps.Now</t>
  </si>
  <si>
    <t>TLM_2_Tx3.PsuMeasurements.4v_C.Amps.Now</t>
  </si>
  <si>
    <t>TLM_3_Rx1.PsuMeasurements.1v.Amps.Now</t>
  </si>
  <si>
    <t>TLM_3_Rx1.PsuMeasurements.1v.Volts.Now</t>
  </si>
  <si>
    <t>TLM_3_Rx1.PsuMeasurements.1v5.Amps.Now</t>
  </si>
  <si>
    <t>TLM_3_Rx1.PsuMeasurements.1v5.Volts.Now</t>
  </si>
  <si>
    <t>TLM_3_Rx1.PsuMeasurements.36v.Amps.Now</t>
  </si>
  <si>
    <t>TLM_3_Rx1.PsuMeasurements.36v.Volts.Now</t>
  </si>
  <si>
    <t>TLM_3_Rx2.PsuMeasurements.1v.Amps.Now</t>
  </si>
  <si>
    <t>TLM_3_Rx2.PsuMeasurements.1v.Volts.Now</t>
  </si>
  <si>
    <t>TLM_3_Rx2.PsuMeasurements.1v5.Amps.Now</t>
  </si>
  <si>
    <t>TLM_3_Rx2.PsuMeasurements.1v5.Volts.Now</t>
  </si>
  <si>
    <t>TLM_3_Rx2.PsuMeasurements.36v.Amps.Now</t>
  </si>
  <si>
    <t>TLM_3_Rx2.PsuMeasurements.36v.Volts.Now</t>
  </si>
  <si>
    <t>TLM_3_Rx3.PsuMeasurements.1v.Amps.Now</t>
  </si>
  <si>
    <t>TLM_3_Rx3.PsuMeasurements.1v.Volts.Now</t>
  </si>
  <si>
    <t>TLM_3_Rx3.PsuMeasurements.1v5.Amps.Now</t>
  </si>
  <si>
    <t>TLM_3_Rx3.PsuMeasurements.1v5.Volts.Now</t>
  </si>
  <si>
    <t>TLM_3_Rx3.PsuMeasurements.36v.Amps.Now</t>
  </si>
  <si>
    <t>TLM_3_Rx3.PsuMeasurements.36v.Volts.Now</t>
  </si>
  <si>
    <t>TLM_3_Tx1.PsuMeasurements.1v8.Volts.Now</t>
  </si>
  <si>
    <t>TLM_3_Tx1.PsuMeasurements.1v8_A.Amps.Now</t>
  </si>
  <si>
    <t>TLM_3_Tx1.PsuMeasurements.1v8_B.Amps.Now</t>
  </si>
  <si>
    <t>TLM_3_Tx1.PsuMeasurements.1v8_C.Amps.Now</t>
  </si>
  <si>
    <t>TLM_3_Tx1.PsuMeasurements.36v.Amps.Now</t>
  </si>
  <si>
    <t>TLM_3_Tx1.PsuMeasurements.4v.Volts.Now</t>
  </si>
  <si>
    <t>TLM_3_Tx1.PsuMeasurements.4v_A.Amps.Now</t>
  </si>
  <si>
    <t>TLM_3_Tx1.PsuMeasurements.4v_B.Amps.Now</t>
  </si>
  <si>
    <t>TLM_3_Tx1.PsuMeasurements.4v_C.Amps.Now</t>
  </si>
  <si>
    <t>TLM_3_Tx2.PsuMeasurements.1v8.Volts.Now</t>
  </si>
  <si>
    <t>TLM_3_Tx2.PsuMeasurements.1v8_A.Amps.Now</t>
  </si>
  <si>
    <t>TLM_3_Tx2.PsuMeasurements.1v8_B.Amps.Now</t>
  </si>
  <si>
    <t>TLM_3_Tx2.PsuMeasurements.1v8_C.Amps.Now</t>
  </si>
  <si>
    <t>TLM_3_Tx2.PsuMeasurements.36v.Amps.Now</t>
  </si>
  <si>
    <t>TLM_3_Tx2.PsuMeasurements.4v.Volts.Now</t>
  </si>
  <si>
    <t>TLM_3_Tx2.PsuMeasurements.4v_A.Amps.Now</t>
  </si>
  <si>
    <t>TLM_3_Tx2.PsuMeasurements.4v_B.Amps.Now</t>
  </si>
  <si>
    <t>TLM_3_Tx2.PsuMeasurements.4v_C.Amps.Now</t>
  </si>
  <si>
    <t>TLM_3_Tx3.PsuMeasurements.1v8.Volts.Now</t>
  </si>
  <si>
    <t>TLM_3_Tx3.PsuMeasurements.1v8_A.Amps.Now</t>
  </si>
  <si>
    <t>TLM_3_Tx3.PsuMeasurements.1v8_B.Amps.Now</t>
  </si>
  <si>
    <t>TLM_3_Tx3.PsuMeasurements.1v8_C.Amps.Now</t>
  </si>
  <si>
    <t>TLM_3_Tx3.PsuMeasurements.36v.Amps.Now</t>
  </si>
  <si>
    <t>TLM_3_Tx3.PsuMeasurements.4v.Volts.Now</t>
  </si>
  <si>
    <t>TLM_3_Tx3.PsuMeasurements.4v_A.Amps.Now</t>
  </si>
  <si>
    <t>TLM_3_Tx3.PsuMeasurements.4v_B.Amps.Now</t>
  </si>
  <si>
    <t>TLM_3_Tx3.PsuMeasurements.4v_C.Amps.Now</t>
  </si>
  <si>
    <t>TLM_4_Rx1.PsuMeasurements.1v.Amps.Now</t>
  </si>
  <si>
    <t>TLM_4_Rx1.PsuMeasurements.1v.Volts.Now</t>
  </si>
  <si>
    <t>TLM_4_Rx1.PsuMeasurements.1v5.Amps.Now</t>
  </si>
  <si>
    <t>TLM_4_Rx1.PsuMeasurements.1v5.Volts.Now</t>
  </si>
  <si>
    <t>TLM_4_Rx1.PsuMeasurements.36v.Amps.Now</t>
  </si>
  <si>
    <t>TLM_4_Rx1.PsuMeasurements.36v.Volts.Now</t>
  </si>
  <si>
    <t>TLM_4_Rx2.PsuMeasurements.1v.Amps.Now</t>
  </si>
  <si>
    <t>TLM_4_Rx2.PsuMeasurements.1v.Volts.Now</t>
  </si>
  <si>
    <t>TLM_4_Rx2.PsuMeasurements.1v5.Amps.Now</t>
  </si>
  <si>
    <t>TLM_4_Rx2.PsuMeasurements.1v5.Volts.Now</t>
  </si>
  <si>
    <t>TLM_4_Rx2.PsuMeasurements.36v.Amps.Now</t>
  </si>
  <si>
    <t>TLM_4_Rx2.PsuMeasurements.36v.Volts.Now</t>
  </si>
  <si>
    <t>TLM_4_Rx3.PsuMeasurements.1v.Amps.Now</t>
  </si>
  <si>
    <t>TLM_4_Rx3.PsuMeasurements.1v.Volts.Now</t>
  </si>
  <si>
    <t>TLM_4_Rx3.PsuMeasurements.1v5.Amps.Now</t>
  </si>
  <si>
    <t>TLM_4_Rx3.PsuMeasurements.1v5.Volts.Now</t>
  </si>
  <si>
    <t>TLM_4_Rx3.PsuMeasurements.36v.Amps.Now</t>
  </si>
  <si>
    <t>TLM_4_Rx3.PsuMeasurements.36v.Volts.Now</t>
  </si>
  <si>
    <t>TLM_4_Tx1.PsuMeasurements.1v8.Volts.Now</t>
  </si>
  <si>
    <t>TLM_4_Tx1.PsuMeasurements.1v8_A.Amps.Now</t>
  </si>
  <si>
    <t>TLM_4_Tx1.PsuMeasurements.1v8_B.Amps.Now</t>
  </si>
  <si>
    <t>TLM_4_Tx1.PsuMeasurements.1v8_C.Amps.Now</t>
  </si>
  <si>
    <t>TLM_4_Tx1.PsuMeasurements.36v.Amps.Now</t>
  </si>
  <si>
    <t>TLM_4_Tx1.PsuMeasurements.4v.Volts.Now</t>
  </si>
  <si>
    <t>TLM_4_Tx1.PsuMeasurements.4v_A.Amps.Now</t>
  </si>
  <si>
    <t>TLM_4_Tx1.PsuMeasurements.4v_B.Amps.Now</t>
  </si>
  <si>
    <t>TLM_4_Tx1.PsuMeasurements.4v_C.Amps.Now</t>
  </si>
  <si>
    <t>TLM_4_Tx2.PsuMeasurements.1v8.Volts.Now</t>
  </si>
  <si>
    <t>TLM_4_Tx2.PsuMeasurements.1v8_A.Amps.Now</t>
  </si>
  <si>
    <t>TLM_4_Tx2.PsuMeasurements.1v8_B.Amps.Now</t>
  </si>
  <si>
    <t>TLM_4_Tx2.PsuMeasurements.1v8_C.Amps.Now</t>
  </si>
  <si>
    <t>TLM_4_Tx2.PsuMeasurements.36v.Amps.Now</t>
  </si>
  <si>
    <t>TLM_4_Tx2.PsuMeasurements.4v.Volts.Now</t>
  </si>
  <si>
    <t>TLM_4_Tx2.PsuMeasurements.4v_A.Amps.Now</t>
  </si>
  <si>
    <t>TLM_4_Tx2.PsuMeasurements.4v_B.Amps.Now</t>
  </si>
  <si>
    <t>TLM_4_Tx2.PsuMeasurements.4v_C.Amps.Now</t>
  </si>
  <si>
    <t>TLM_4_Tx3.PsuMeasurements.1v8.Volts.Now</t>
  </si>
  <si>
    <t>TLM_4_Tx3.PsuMeasurements.1v8_A.Amps.Now</t>
  </si>
  <si>
    <t>TLM_4_Tx3.PsuMeasurements.1v8_B.Amps.Now</t>
  </si>
  <si>
    <t>TLM_4_Tx3.PsuMeasurements.1v8_C.Amps.Now</t>
  </si>
  <si>
    <t>TLM_4_Tx3.PsuMeasurements.36v.Amps.Now</t>
  </si>
  <si>
    <t>TLM_4_Tx3.PsuMeasurements.4v.Volts.Now</t>
  </si>
  <si>
    <t>TLM_4_Tx3.PsuMeasurements.4v_A.Amps.Now</t>
  </si>
  <si>
    <t>TLM_4_Tx3.PsuMeasurements.4v_B.Amps.Now</t>
  </si>
  <si>
    <t>TLM_4_Tx3.PsuMeasurements.4v_C.Amps.Now</t>
  </si>
  <si>
    <t>TLM_5_Rx1.PsuMeasurements.1v.Amps.Now</t>
  </si>
  <si>
    <t>TLM_5_Rx1.PsuMeasurements.1v.Volts.Now</t>
  </si>
  <si>
    <t>TLM_5_Rx1.PsuMeasurements.1v5.Amps.Now</t>
  </si>
  <si>
    <t>TLM_5_Rx1.PsuMeasurements.1v5.Volts.Now</t>
  </si>
  <si>
    <t>TLM_5_Rx1.PsuMeasurements.36v.Amps.Now</t>
  </si>
  <si>
    <t>TLM_5_Rx1.PsuMeasurements.36v.Volts.Now</t>
  </si>
  <si>
    <t>TLM_5_Rx2.PsuMeasurements.1v.Amps.Now</t>
  </si>
  <si>
    <t>TLM_5_Rx2.PsuMeasurements.1v.Volts.Now</t>
  </si>
  <si>
    <t>TLM_5_Rx2.PsuMeasurements.1v5.Amps.Now</t>
  </si>
  <si>
    <t>TLM_5_Rx2.PsuMeasurements.1v5.Volts.Now</t>
  </si>
  <si>
    <t>TLM_5_Rx2.PsuMeasurements.36v.Amps.Now</t>
  </si>
  <si>
    <t>TLM_5_Rx2.PsuMeasurements.36v.Volts.Now</t>
  </si>
  <si>
    <t>TLM_5_Rx3.PsuMeasurements.1v.Amps.Now</t>
  </si>
  <si>
    <t>TLM_5_Rx3.PsuMeasurements.1v.Volts.Now</t>
  </si>
  <si>
    <t>TLM_5_Rx3.PsuMeasurements.1v5.Amps.Now</t>
  </si>
  <si>
    <t>TLM_5_Rx3.PsuMeasurements.1v5.Volts.Now</t>
  </si>
  <si>
    <t>TLM_5_Rx3.PsuMeasurements.36v.Amps.Now</t>
  </si>
  <si>
    <t>TLM_5_Rx3.PsuMeasurements.36v.Volts.Now</t>
  </si>
  <si>
    <t>TLM_5_Tx1.PsuMeasurements.1v8.Volts.Now</t>
  </si>
  <si>
    <t>TLM_5_Tx1.PsuMeasurements.1v8_A.Amps.Now</t>
  </si>
  <si>
    <t>TLM_5_Tx1.PsuMeasurements.1v8_B.Amps.Now</t>
  </si>
  <si>
    <t>TLM_5_Tx1.PsuMeasurements.1v8_C.Amps.Now</t>
  </si>
  <si>
    <t>TLM_5_Tx1.PsuMeasurements.36v.Amps.Now</t>
  </si>
  <si>
    <t>TLM_5_Tx1.PsuMeasurements.4v.Volts.Now</t>
  </si>
  <si>
    <t>TLM_5_Tx1.PsuMeasurements.4v_A.Amps.Now</t>
  </si>
  <si>
    <t>TLM_5_Tx1.PsuMeasurements.4v_B.Amps.Now</t>
  </si>
  <si>
    <t>TLM_5_Tx1.PsuMeasurements.4v_C.Amps.Now</t>
  </si>
  <si>
    <t>TLM_5_Tx2.PsuMeasurements.1v8.Volts.Now</t>
  </si>
  <si>
    <t>TLM_5_Tx2.PsuMeasurements.1v8_A.Amps.Now</t>
  </si>
  <si>
    <t>TLM_5_Tx2.PsuMeasurements.1v8_B.Amps.Now</t>
  </si>
  <si>
    <t>TLM_5_Tx2.PsuMeasurements.1v8_C.Amps.Now</t>
  </si>
  <si>
    <t>TLM_5_Tx2.PsuMeasurements.36v.Amps.Now</t>
  </si>
  <si>
    <t>TLM_5_Tx2.PsuMeasurements.4v.Volts.Now</t>
  </si>
  <si>
    <t>TLM_5_Tx2.PsuMeasurements.4v_A.Amps.Now</t>
  </si>
  <si>
    <t>TLM_5_Tx2.PsuMeasurements.4v_B.Amps.Now</t>
  </si>
  <si>
    <t>TLM_5_Tx2.PsuMeasurements.4v_C.Amps.Now</t>
  </si>
  <si>
    <t>TLM_5_Tx3.PsuMeasurements.1v8.Volts.Now</t>
  </si>
  <si>
    <t>TLM_5_Tx3.PsuMeasurements.1v8_A.Amps.Now</t>
  </si>
  <si>
    <t>TLM_5_Tx3.PsuMeasurements.1v8_B.Amps.Now</t>
  </si>
  <si>
    <t>TLM_5_Tx3.PsuMeasurements.1v8_C.Amps.Now</t>
  </si>
  <si>
    <t>TLM_5_Tx3.PsuMeasurements.36v.Amps.Now</t>
  </si>
  <si>
    <t>TLM_5_Tx3.PsuMeasurements.4v.Volts.Now</t>
  </si>
  <si>
    <t>TLM_5_Tx3.PsuMeasurements.4v_A.Amps.Now</t>
  </si>
  <si>
    <t>TLM_5_Tx3.PsuMeasurements.4v_B.Amps.Now</t>
  </si>
  <si>
    <t>TLM_5_Tx3.PsuMeasurements.4v_C.Amps.Now</t>
  </si>
  <si>
    <t>TLM_6_Rx1.PsuMeasurements.1v.Amps.Now</t>
  </si>
  <si>
    <t>TLM_6_Rx1.PsuMeasurements.1v.Volts.Now</t>
  </si>
  <si>
    <t>TLM_6_Rx1.PsuMeasurements.1v5.Amps.Now</t>
  </si>
  <si>
    <t>TLM_6_Rx1.PsuMeasurements.1v5.Volts.Now</t>
  </si>
  <si>
    <t>TLM_6_Rx1.PsuMeasurements.36v.Amps.Now</t>
  </si>
  <si>
    <t>TLM_6_Rx1.PsuMeasurements.36v.Volts.Now</t>
  </si>
  <si>
    <t>TLM_6_Rx2.PsuMeasurements.1v.Amps.Now</t>
  </si>
  <si>
    <t>TLM_6_Rx2.PsuMeasurements.1v.Volts.Now</t>
  </si>
  <si>
    <t>TLM_6_Rx2.PsuMeasurements.1v5.Amps.Now</t>
  </si>
  <si>
    <t>TLM_6_Rx2.PsuMeasurements.1v5.Volts.Now</t>
  </si>
  <si>
    <t>TLM_6_Rx2.PsuMeasurements.36v.Amps.Now</t>
  </si>
  <si>
    <t>TLM_6_Rx2.PsuMeasurements.36v.Volts.Now</t>
  </si>
  <si>
    <t>TLM_6_Rx3.PsuMeasurements.1v.Amps.Now</t>
  </si>
  <si>
    <t>TLM_6_Rx3.PsuMeasurements.1v.Volts.Now</t>
  </si>
  <si>
    <t>TLM_6_Rx3.PsuMeasurements.1v5.Amps.Now</t>
  </si>
  <si>
    <t>TLM_6_Rx3.PsuMeasurements.1v5.Volts.Now</t>
  </si>
  <si>
    <t>TLM_6_Rx3.PsuMeasurements.36v.Amps.Now</t>
  </si>
  <si>
    <t>TLM_6_Rx3.PsuMeasurements.36v.Volts.Now</t>
  </si>
  <si>
    <t>TLM_6_Tx1.PsuMeasurements.1v8.Volts.Now</t>
  </si>
  <si>
    <t>TLM_6_Tx1.PsuMeasurements.1v8_A.Amps.Now</t>
  </si>
  <si>
    <t>TLM_6_Tx1.PsuMeasurements.1v8_B.Amps.Now</t>
  </si>
  <si>
    <t>TLM_6_Tx1.PsuMeasurements.1v8_C.Amps.Now</t>
  </si>
  <si>
    <t>TLM_6_Tx1.PsuMeasurements.36v.Amps.Now</t>
  </si>
  <si>
    <t>TLM_6_Tx1.PsuMeasurements.4v.Volts.Now</t>
  </si>
  <si>
    <t>TLM_6_Tx1.PsuMeasurements.4v_A.Amps.Now</t>
  </si>
  <si>
    <t>TLM_6_Tx1.PsuMeasurements.4v_B.Amps.Now</t>
  </si>
  <si>
    <t>TLM_6_Tx1.PsuMeasurements.4v_C.Amps.Now</t>
  </si>
  <si>
    <t>TLM_6_Tx2.PsuMeasurements.1v8.Volts.Now</t>
  </si>
  <si>
    <t>TLM_6_Tx2.PsuMeasurements.1v8_A.Amps.Now</t>
  </si>
  <si>
    <t>TLM_6_Tx2.PsuMeasurements.1v8_B.Amps.Now</t>
  </si>
  <si>
    <t>TLM_6_Tx2.PsuMeasurements.1v8_C.Amps.Now</t>
  </si>
  <si>
    <t>TLM_6_Tx2.PsuMeasurements.36v.Amps.Now</t>
  </si>
  <si>
    <t>TLM_6_Tx2.PsuMeasurements.4v.Volts.Now</t>
  </si>
  <si>
    <t>TLM_6_Tx2.PsuMeasurements.4v_A.Amps.Now</t>
  </si>
  <si>
    <t>TLM_6_Tx2.PsuMeasurements.4v_B.Amps.Now</t>
  </si>
  <si>
    <t>TLM_6_Tx2.PsuMeasurements.4v_C.Amps.Now</t>
  </si>
  <si>
    <t>TLM_6_Tx3.PsuMeasurements.1v8.Volts.Now</t>
  </si>
  <si>
    <t>TLM_6_Tx3.PsuMeasurements.1v8_A.Amps.Now</t>
  </si>
  <si>
    <t>TLM_6_Tx3.PsuMeasurements.1v8_B.Amps.Now</t>
  </si>
  <si>
    <t>TLM_6_Tx3.PsuMeasurements.1v8_C.Amps.Now</t>
  </si>
  <si>
    <t>TLM_6_Tx3.PsuMeasurements.36v.Amps.Now</t>
  </si>
  <si>
    <t>TLM_6_Tx3.PsuMeasurements.4v.Volts.Now</t>
  </si>
  <si>
    <t>TLM_6_Tx3.PsuMeasurements.4v_A.Amps.Now</t>
  </si>
  <si>
    <t>TLM_6_Tx3.PsuMeasurements.4v_B.Amps.Now</t>
  </si>
  <si>
    <t>TLM_6_Tx3.PsuMeasurements.4v_C.Amps.Now</t>
  </si>
  <si>
    <t>logStatusVN300</t>
  </si>
  <si>
    <t>ACU.Vn300Device.FirmwareVersion</t>
  </si>
  <si>
    <t>ACU.Vn300Device.ImuTemperature</t>
  </si>
  <si>
    <t>ACU.Vn300Device.InsStatusMode</t>
  </si>
  <si>
    <t>ACU.Vn300Device.ModelNumber</t>
  </si>
  <si>
    <t>ACU.Vn300Device.SerialNumber</t>
  </si>
  <si>
    <t>Prod Lower House CCU</t>
  </si>
  <si>
    <t>NPI Pre Check NO TLMs</t>
  </si>
  <si>
    <t>NPI Pre Check NO</t>
  </si>
  <si>
    <t>NPI Pre Check TLMs</t>
  </si>
  <si>
    <t>meas_no</t>
  </si>
  <si>
    <t>limits_found</t>
  </si>
  <si>
    <t>percentage_limits</t>
  </si>
  <si>
    <t>limits_available</t>
  </si>
  <si>
    <t>percentage_values</t>
  </si>
  <si>
    <t>limit_found</t>
  </si>
  <si>
    <t>limit_available</t>
  </si>
  <si>
    <t>idx</t>
  </si>
  <si>
    <t>action</t>
  </si>
  <si>
    <t>linear?</t>
  </si>
  <si>
    <t>std_lin</t>
  </si>
  <si>
    <t>av_lin</t>
  </si>
  <si>
    <t>meas_min_recalc</t>
  </si>
  <si>
    <t>meas_max_recalc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</si>
</sst>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2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0D5BD3-75F1-4D21-86F3-58477058567F}" name="Table4" displayName="Table4" ref="A1:Y1934" totalsRowShown="0" headerRowDxfId="19">
  <autoFilter ref="A1:Y1934" xr:uid="{170D5BD3-75F1-4D21-86F3-58477058567F}"/>
  <sortState xmlns:xlrd2="http://schemas.microsoft.com/office/spreadsheetml/2017/richdata2" ref="A2:S1934">
    <sortCondition descending="1" ref="S2:S1934"/>
  </sortState>
  <tableColumns count="25">
    <tableColumn id="1" xr3:uid="{BED7D5CE-4CC5-4E02-9410-3F33F9470A1E}" name="idx" dataDxfId="18"/>
    <tableColumn id="2" xr3:uid="{1F30C0C9-97DA-4598-90A1-86C327AB2B2E}" name="test"/>
    <tableColumn id="3" xr3:uid="{6354D892-109C-4BA5-85CA-4FF4F81306C7}" name="log_name"/>
    <tableColumn id="4" xr3:uid="{43FBBEB6-6949-4D09-92CB-72DCEFB21736}" name="param"/>
    <tableColumn id="5" xr3:uid="{46F86D4E-61B4-4892-B805-F041AB317965}" name="av" dataDxfId="17"/>
    <tableColumn id="6" xr3:uid="{1C41D890-BB6A-46FB-A5A6-B509ED5AB67A}" name="std" dataDxfId="16"/>
    <tableColumn id="7" xr3:uid="{EC7BF833-B762-4B0D-BEE0-2D5CC7420971}" name="n"/>
    <tableColumn id="8" xr3:uid="{797BC8B0-7E1B-4EA9-886B-899D51F91882}" name="files_found"/>
    <tableColumn id="9" xr3:uid="{930FE76A-8FD1-43A7-84E1-072BBF11FB6B}" name="lim_min" dataDxfId="15"/>
    <tableColumn id="10" xr3:uid="{452056CC-ABFA-4DF9-9E81-3E7E18398105}" name="lim_max" dataDxfId="14"/>
    <tableColumn id="11" xr3:uid="{7CDE03FB-C70C-4B67-A555-333BB30E5D5B}" name="lim_mid" dataDxfId="13"/>
    <tableColumn id="12" xr3:uid="{6F298C1B-D32D-4D4C-8BA2-8C8887D755F1}" name="lim_range" dataDxfId="12"/>
    <tableColumn id="13" xr3:uid="{A84A0DA4-42B4-4B87-80F5-60F3BA2C295D}" name="meas_max" dataDxfId="11"/>
    <tableColumn id="14" xr3:uid="{11083AD0-3F30-48C5-8554-1E295ABD174A}" name="meas_min" dataDxfId="10"/>
    <tableColumn id="15" xr3:uid="{5FDDD391-D862-422F-9E2F-22E3F2AE66A4}" name="meas_range" dataDxfId="9"/>
    <tableColumn id="16" xr3:uid="{70DDB7AA-EDFC-4167-A1FF-78D072973D05}" name="av/std" dataDxfId="8"/>
    <tableColumn id="17" xr3:uid="{DA177EC8-C5BA-4FC2-96B7-840613866D56}" name="lim_range/meas_range" dataDxfId="7"/>
    <tableColumn id="18" xr3:uid="{7AC7A65E-554A-4557-9897-C77F6A79C82D}" name="limit_found">
      <calculatedColumnFormula>IF(H2="yes","yes","no")</calculatedColumnFormula>
    </tableColumn>
    <tableColumn id="19" xr3:uid="{43F9F358-C6C4-4037-BFA9-0DDB6B961665}" name="limit_available">
      <calculatedColumnFormula>IF(I2,"yes","no")</calculatedColumnFormula>
    </tableColumn>
    <tableColumn id="20" xr3:uid="{38E2AA83-D5D0-460A-8846-5F266A25E344}" name="action" dataDxfId="6">
      <calculatedColumnFormula>IF(AND(Table4[[#This Row],[limit_found]]="yes", Table4[[#This Row],[limit_available]]="yes"),IF(Table4[[#This Row],[lim_range/meas_range]]&gt;2,"Reduce range", "Limits okay"),"Limits not applied")</calculatedColumnFormula>
    </tableColumn>
    <tableColumn id="21" xr3:uid="{84CC3B4C-C9E0-4448-8892-E92BAA483360}" name="linear?" dataDxfId="5">
      <calculatedColumnFormula>NOT(ISNUMBER(SEARCH("RFIC*POWER", D2)))</calculatedColumnFormula>
    </tableColumn>
    <tableColumn id="22" xr3:uid="{5C1863F1-7CE3-45DA-82B1-ED44E35CE682}" name="av_lin" dataDxfId="3">
      <calculatedColumnFormula>IF(Table4[[#This Row],[linear?]],Table4[[#This Row],[av]],10^(Table4[[#This Row],[av]]/10))</calculatedColumnFormula>
    </tableColumn>
    <tableColumn id="23" xr3:uid="{D708E90C-6D98-4B0C-8E9B-9A7E6AF62680}" name="std_lin" dataDxfId="2">
      <calculatedColumnFormula>IF(Table4[[#This Row],[linear?]],Table4[[#This Row],[av]],10^(Table4[[#This Row],[av]]/10))</calculatedColumnFormula>
    </tableColumn>
    <tableColumn id="25" xr3:uid="{9FA11633-2129-4022-B8C4-473BA97EBFF3}" name="meas_min_recalc" dataDxfId="1">
      <calculatedColumnFormula>Table4[[#This Row],[av_lin]]-2*Table4[[#This Row],[std_lin]]</calculatedColumnFormula>
    </tableColumn>
    <tableColumn id="24" xr3:uid="{12D8CFF0-1FA1-42AE-98F6-D9967CA9A262}" name="meas_max_recalc" dataDxfId="0">
      <calculatedColumnFormula>Table4[[#This Row],[av_lin]]+2*Table4[[#This Row],[std_lin]]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34"/>
  <sheetViews>
    <sheetView tabSelected="1" topLeftCell="F1" workbookViewId="0">
      <selection activeCell="N37" sqref="N37"/>
    </sheetView>
  </sheetViews>
  <sheetFormatPr defaultRowHeight="14.5" x14ac:dyDescent="0.35"/>
  <cols>
    <col min="1" max="1" width="7.81640625" bestFit="1" customWidth="1"/>
    <col min="2" max="2" width="22.453125" bestFit="1" customWidth="1"/>
    <col min="3" max="3" width="20.36328125" bestFit="1" customWidth="1"/>
    <col min="4" max="4" width="43.6328125" bestFit="1" customWidth="1"/>
    <col min="5" max="5" width="12.36328125" style="2" bestFit="1" customWidth="1"/>
    <col min="6" max="6" width="8" style="2" bestFit="1" customWidth="1"/>
    <col min="7" max="7" width="6.453125" bestFit="1" customWidth="1"/>
    <col min="8" max="8" width="14.7265625" bestFit="1" customWidth="1"/>
    <col min="9" max="9" width="12.08984375" style="2" bestFit="1" customWidth="1"/>
    <col min="10" max="10" width="12.453125" style="2" bestFit="1" customWidth="1"/>
    <col min="11" max="11" width="12.08984375" style="2" bestFit="1" customWidth="1"/>
    <col min="12" max="12" width="13.6328125" style="2" bestFit="1" customWidth="1"/>
    <col min="13" max="13" width="14.36328125" style="2" bestFit="1" customWidth="1"/>
    <col min="14" max="14" width="14" style="2" bestFit="1" customWidth="1"/>
    <col min="15" max="15" width="15.54296875" style="2" bestFit="1" customWidth="1"/>
    <col min="16" max="16" width="10.7265625" style="2" bestFit="1" customWidth="1"/>
    <col min="17" max="17" width="24.81640625" style="2" bestFit="1" customWidth="1"/>
    <col min="18" max="18" width="15.08984375" bestFit="1" customWidth="1"/>
    <col min="19" max="19" width="17.54296875" bestFit="1" customWidth="1"/>
    <col min="20" max="20" width="15.6328125" bestFit="1" customWidth="1"/>
    <col min="21" max="21" width="11" bestFit="1" customWidth="1"/>
    <col min="22" max="23" width="12.36328125" bestFit="1" customWidth="1"/>
    <col min="24" max="24" width="19.90625" bestFit="1" customWidth="1"/>
    <col min="25" max="25" width="20.26953125" bestFit="1" customWidth="1"/>
    <col min="31" max="31" width="16.453125" bestFit="1" customWidth="1"/>
    <col min="32" max="32" width="4.81640625" bestFit="1" customWidth="1"/>
  </cols>
  <sheetData>
    <row r="1" spans="1:32" x14ac:dyDescent="0.35">
      <c r="A1" s="1" t="s">
        <v>837</v>
      </c>
      <c r="B1" s="1" t="s">
        <v>0</v>
      </c>
      <c r="C1" s="1" t="s">
        <v>1</v>
      </c>
      <c r="D1" s="1" t="s">
        <v>2</v>
      </c>
      <c r="E1" s="5" t="s">
        <v>3</v>
      </c>
      <c r="F1" s="5" t="s">
        <v>4</v>
      </c>
      <c r="G1" s="1" t="s">
        <v>5</v>
      </c>
      <c r="H1" s="1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4" t="s">
        <v>835</v>
      </c>
      <c r="S1" s="4" t="s">
        <v>836</v>
      </c>
      <c r="T1" s="6" t="s">
        <v>838</v>
      </c>
      <c r="U1" s="6" t="s">
        <v>839</v>
      </c>
      <c r="V1" s="6" t="s">
        <v>841</v>
      </c>
      <c r="W1" s="6" t="s">
        <v>840</v>
      </c>
      <c r="X1" s="6" t="s">
        <v>842</v>
      </c>
      <c r="Y1" s="6" t="s">
        <v>843</v>
      </c>
      <c r="AE1" t="s">
        <v>830</v>
      </c>
      <c r="AF1">
        <f>MAX(A:A)+1</f>
        <v>1933</v>
      </c>
    </row>
    <row r="2" spans="1:32" x14ac:dyDescent="0.35">
      <c r="A2" s="1">
        <v>45</v>
      </c>
      <c r="B2" t="s">
        <v>16</v>
      </c>
      <c r="C2" t="s">
        <v>56</v>
      </c>
      <c r="D2" t="s">
        <v>67</v>
      </c>
      <c r="E2" s="2">
        <v>0</v>
      </c>
      <c r="F2" s="2">
        <v>0</v>
      </c>
      <c r="G2">
        <v>45</v>
      </c>
      <c r="H2" t="s">
        <v>58</v>
      </c>
      <c r="I2" s="2">
        <v>-50</v>
      </c>
      <c r="J2" s="2">
        <v>90</v>
      </c>
      <c r="K2" s="2">
        <v>20</v>
      </c>
      <c r="L2" s="2">
        <v>140</v>
      </c>
      <c r="M2" s="2">
        <v>0</v>
      </c>
      <c r="N2" s="2">
        <v>0</v>
      </c>
      <c r="O2" s="2">
        <v>0</v>
      </c>
      <c r="Q2" s="2" t="s">
        <v>21</v>
      </c>
      <c r="R2" t="str">
        <f t="shared" ref="R2:R65" si="0">IF(H2="yes","yes","no")</f>
        <v>yes</v>
      </c>
      <c r="S2" t="str">
        <f t="shared" ref="S2:S65" si="1">IF(I2,"yes","no")</f>
        <v>yes</v>
      </c>
      <c r="T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" s="2" t="b">
        <f t="shared" ref="U2:U65" si="2">NOT(ISNUMBER(SEARCH("RFIC*POWER", D2)))</f>
        <v>1</v>
      </c>
      <c r="V2" s="2">
        <f>IF(Table4[[#This Row],[linear?]],Table4[[#This Row],[av]],10^(Table4[[#This Row],[av]]/10))</f>
        <v>0</v>
      </c>
      <c r="W2" s="2">
        <f>IF(Table4[[#This Row],[linear?]],Table4[[#This Row],[av]],10^(Table4[[#This Row],[av]]/10))</f>
        <v>0</v>
      </c>
      <c r="X2" s="2">
        <f>Table4[[#This Row],[av_lin]]-2*Table4[[#This Row],[std_lin]]</f>
        <v>0</v>
      </c>
      <c r="Y2" s="2">
        <f>Table4[[#This Row],[av_lin]]+2*Table4[[#This Row],[std_lin]]</f>
        <v>0</v>
      </c>
      <c r="AE2" t="s">
        <v>831</v>
      </c>
      <c r="AF2">
        <f>COUNTIF(H:H, "yes")</f>
        <v>1238</v>
      </c>
    </row>
    <row r="3" spans="1:32" x14ac:dyDescent="0.35">
      <c r="A3" s="1">
        <v>46</v>
      </c>
      <c r="B3" t="s">
        <v>16</v>
      </c>
      <c r="C3" t="s">
        <v>56</v>
      </c>
      <c r="D3" t="s">
        <v>68</v>
      </c>
      <c r="E3" s="2">
        <v>0</v>
      </c>
      <c r="F3" s="2">
        <v>0</v>
      </c>
      <c r="G3">
        <v>45</v>
      </c>
      <c r="H3" t="s">
        <v>58</v>
      </c>
      <c r="I3" s="2">
        <v>-50</v>
      </c>
      <c r="J3" s="2">
        <v>90</v>
      </c>
      <c r="K3" s="2">
        <v>20</v>
      </c>
      <c r="L3" s="2">
        <v>140</v>
      </c>
      <c r="M3" s="2">
        <v>0</v>
      </c>
      <c r="N3" s="2">
        <v>0</v>
      </c>
      <c r="O3" s="2">
        <v>0</v>
      </c>
      <c r="Q3" s="2" t="s">
        <v>21</v>
      </c>
      <c r="R3" t="str">
        <f t="shared" si="0"/>
        <v>yes</v>
      </c>
      <c r="S3" t="str">
        <f t="shared" si="1"/>
        <v>yes</v>
      </c>
      <c r="T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" s="2" t="b">
        <f t="shared" si="2"/>
        <v>1</v>
      </c>
      <c r="V3" s="2">
        <f>IF(Table4[[#This Row],[linear?]],Table4[[#This Row],[av]],10^(Table4[[#This Row],[av]]/10))</f>
        <v>0</v>
      </c>
      <c r="W3" s="2">
        <f>IF(Table4[[#This Row],[linear?]],Table4[[#This Row],[av]],10^(Table4[[#This Row],[av]]/10))</f>
        <v>0</v>
      </c>
      <c r="X3" s="2">
        <f>Table4[[#This Row],[av_lin]]-2*Table4[[#This Row],[std_lin]]</f>
        <v>0</v>
      </c>
      <c r="Y3" s="2">
        <f>Table4[[#This Row],[av_lin]]+2*Table4[[#This Row],[std_lin]]</f>
        <v>0</v>
      </c>
      <c r="AE3" t="s">
        <v>832</v>
      </c>
      <c r="AF3" s="3">
        <f>100*AF2/AF1</f>
        <v>64.045525090532848</v>
      </c>
    </row>
    <row r="4" spans="1:32" x14ac:dyDescent="0.35">
      <c r="A4" s="1">
        <v>269</v>
      </c>
      <c r="B4" t="s">
        <v>75</v>
      </c>
      <c r="C4" t="s">
        <v>56</v>
      </c>
      <c r="D4" t="s">
        <v>67</v>
      </c>
      <c r="E4" s="2">
        <v>0</v>
      </c>
      <c r="F4" s="2">
        <v>0</v>
      </c>
      <c r="G4">
        <v>27</v>
      </c>
      <c r="H4" t="s">
        <v>58</v>
      </c>
      <c r="I4" s="2">
        <v>-50</v>
      </c>
      <c r="J4" s="2">
        <v>90</v>
      </c>
      <c r="K4" s="2">
        <v>20</v>
      </c>
      <c r="L4" s="2">
        <v>140</v>
      </c>
      <c r="M4" s="2">
        <v>0</v>
      </c>
      <c r="N4" s="2">
        <v>0</v>
      </c>
      <c r="O4" s="2">
        <v>0</v>
      </c>
      <c r="Q4" s="2" t="s">
        <v>21</v>
      </c>
      <c r="R4" t="str">
        <f t="shared" si="0"/>
        <v>yes</v>
      </c>
      <c r="S4" t="str">
        <f t="shared" si="1"/>
        <v>yes</v>
      </c>
      <c r="T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" s="2" t="b">
        <f t="shared" si="2"/>
        <v>1</v>
      </c>
      <c r="V4" s="2">
        <f>IF(Table4[[#This Row],[linear?]],Table4[[#This Row],[av]],10^(Table4[[#This Row],[av]]/10))</f>
        <v>0</v>
      </c>
      <c r="W4" s="2">
        <f>IF(Table4[[#This Row],[linear?]],Table4[[#This Row],[av]],10^(Table4[[#This Row],[av]]/10))</f>
        <v>0</v>
      </c>
      <c r="X4" s="2">
        <f>Table4[[#This Row],[av_lin]]-2*Table4[[#This Row],[std_lin]]</f>
        <v>0</v>
      </c>
      <c r="Y4" s="2">
        <f>Table4[[#This Row],[av_lin]]+2*Table4[[#This Row],[std_lin]]</f>
        <v>0</v>
      </c>
      <c r="AE4" t="s">
        <v>833</v>
      </c>
      <c r="AF4">
        <f>COUNT(I:I)</f>
        <v>198</v>
      </c>
    </row>
    <row r="5" spans="1:32" x14ac:dyDescent="0.35">
      <c r="A5" s="1">
        <v>270</v>
      </c>
      <c r="B5" t="s">
        <v>75</v>
      </c>
      <c r="C5" t="s">
        <v>56</v>
      </c>
      <c r="D5" t="s">
        <v>68</v>
      </c>
      <c r="E5" s="2">
        <v>0</v>
      </c>
      <c r="F5" s="2">
        <v>0</v>
      </c>
      <c r="G5">
        <v>27</v>
      </c>
      <c r="H5" t="s">
        <v>58</v>
      </c>
      <c r="I5" s="2">
        <v>-50</v>
      </c>
      <c r="J5" s="2">
        <v>90</v>
      </c>
      <c r="K5" s="2">
        <v>20</v>
      </c>
      <c r="L5" s="2">
        <v>140</v>
      </c>
      <c r="M5" s="2">
        <v>0</v>
      </c>
      <c r="N5" s="2">
        <v>0</v>
      </c>
      <c r="O5" s="2">
        <v>0</v>
      </c>
      <c r="Q5" s="2" t="s">
        <v>21</v>
      </c>
      <c r="R5" t="str">
        <f t="shared" si="0"/>
        <v>yes</v>
      </c>
      <c r="S5" t="str">
        <f t="shared" si="1"/>
        <v>yes</v>
      </c>
      <c r="T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" s="2" t="b">
        <f t="shared" si="2"/>
        <v>1</v>
      </c>
      <c r="V5" s="2">
        <f>IF(Table4[[#This Row],[linear?]],Table4[[#This Row],[av]],10^(Table4[[#This Row],[av]]/10))</f>
        <v>0</v>
      </c>
      <c r="W5" s="2">
        <f>IF(Table4[[#This Row],[linear?]],Table4[[#This Row],[av]],10^(Table4[[#This Row],[av]]/10))</f>
        <v>0</v>
      </c>
      <c r="X5" s="2">
        <f>Table4[[#This Row],[av_lin]]-2*Table4[[#This Row],[std_lin]]</f>
        <v>0</v>
      </c>
      <c r="Y5" s="2">
        <f>Table4[[#This Row],[av_lin]]+2*Table4[[#This Row],[std_lin]]</f>
        <v>0</v>
      </c>
      <c r="AE5" t="s">
        <v>834</v>
      </c>
      <c r="AF5">
        <f>100*AF4/AF2</f>
        <v>15.993537964458804</v>
      </c>
    </row>
    <row r="6" spans="1:32" x14ac:dyDescent="0.35">
      <c r="A6" s="1">
        <v>565</v>
      </c>
      <c r="B6" t="s">
        <v>75</v>
      </c>
      <c r="C6" t="s">
        <v>542</v>
      </c>
      <c r="D6" t="s">
        <v>543</v>
      </c>
      <c r="E6" s="2">
        <v>1</v>
      </c>
      <c r="F6" s="2">
        <v>0</v>
      </c>
      <c r="G6">
        <v>27</v>
      </c>
      <c r="H6" t="s">
        <v>58</v>
      </c>
      <c r="I6" s="2">
        <v>1</v>
      </c>
      <c r="J6" s="2">
        <v>1</v>
      </c>
      <c r="K6" s="2">
        <v>1</v>
      </c>
      <c r="L6" s="2">
        <v>0</v>
      </c>
      <c r="M6" s="2">
        <v>1</v>
      </c>
      <c r="N6" s="2">
        <v>1</v>
      </c>
      <c r="O6" s="2">
        <v>0</v>
      </c>
      <c r="P6" s="2" t="s">
        <v>21</v>
      </c>
      <c r="R6" t="str">
        <f t="shared" si="0"/>
        <v>yes</v>
      </c>
      <c r="S6" t="str">
        <f t="shared" si="1"/>
        <v>yes</v>
      </c>
      <c r="T6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6" s="2" t="b">
        <f t="shared" si="2"/>
        <v>1</v>
      </c>
      <c r="V6" s="2">
        <f>IF(Table4[[#This Row],[linear?]],Table4[[#This Row],[av]],10^(Table4[[#This Row],[av]]/10))</f>
        <v>1</v>
      </c>
      <c r="W6" s="2">
        <f>IF(Table4[[#This Row],[linear?]],Table4[[#This Row],[av]],10^(Table4[[#This Row],[av]]/10))</f>
        <v>1</v>
      </c>
      <c r="X6" s="2">
        <f>Table4[[#This Row],[av_lin]]-2*Table4[[#This Row],[std_lin]]</f>
        <v>-1</v>
      </c>
      <c r="Y6" s="2">
        <f>Table4[[#This Row],[av_lin]]+2*Table4[[#This Row],[std_lin]]</f>
        <v>3</v>
      </c>
    </row>
    <row r="7" spans="1:32" x14ac:dyDescent="0.35">
      <c r="A7" s="1">
        <v>567</v>
      </c>
      <c r="B7" t="s">
        <v>75</v>
      </c>
      <c r="C7" t="s">
        <v>542</v>
      </c>
      <c r="D7" t="s">
        <v>545</v>
      </c>
      <c r="E7" s="2">
        <v>1</v>
      </c>
      <c r="F7" s="2">
        <v>0</v>
      </c>
      <c r="G7">
        <v>27</v>
      </c>
      <c r="H7" t="s">
        <v>58</v>
      </c>
      <c r="I7" s="2">
        <v>1</v>
      </c>
      <c r="J7" s="2">
        <v>1</v>
      </c>
      <c r="K7" s="2">
        <v>1</v>
      </c>
      <c r="L7" s="2">
        <v>0</v>
      </c>
      <c r="M7" s="2">
        <v>1</v>
      </c>
      <c r="N7" s="2">
        <v>1</v>
      </c>
      <c r="O7" s="2">
        <v>0</v>
      </c>
      <c r="P7" s="2" t="s">
        <v>21</v>
      </c>
      <c r="R7" t="str">
        <f t="shared" si="0"/>
        <v>yes</v>
      </c>
      <c r="S7" t="str">
        <f t="shared" si="1"/>
        <v>yes</v>
      </c>
      <c r="T7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7" s="2" t="b">
        <f t="shared" si="2"/>
        <v>1</v>
      </c>
      <c r="V7" s="2">
        <f>IF(Table4[[#This Row],[linear?]],Table4[[#This Row],[av]],10^(Table4[[#This Row],[av]]/10))</f>
        <v>1</v>
      </c>
      <c r="W7" s="2">
        <f>IF(Table4[[#This Row],[linear?]],Table4[[#This Row],[av]],10^(Table4[[#This Row],[av]]/10))</f>
        <v>1</v>
      </c>
      <c r="X7" s="2">
        <f>Table4[[#This Row],[av_lin]]-2*Table4[[#This Row],[std_lin]]</f>
        <v>-1</v>
      </c>
      <c r="Y7" s="2">
        <f>Table4[[#This Row],[av_lin]]+2*Table4[[#This Row],[std_lin]]</f>
        <v>3</v>
      </c>
    </row>
    <row r="8" spans="1:32" x14ac:dyDescent="0.35">
      <c r="A8" s="1">
        <v>569</v>
      </c>
      <c r="B8" t="s">
        <v>75</v>
      </c>
      <c r="C8" t="s">
        <v>542</v>
      </c>
      <c r="D8" t="s">
        <v>547</v>
      </c>
      <c r="E8" s="2">
        <v>1</v>
      </c>
      <c r="F8" s="2">
        <v>0</v>
      </c>
      <c r="G8">
        <v>27</v>
      </c>
      <c r="H8" t="s">
        <v>58</v>
      </c>
      <c r="I8" s="2">
        <v>1</v>
      </c>
      <c r="J8" s="2">
        <v>1</v>
      </c>
      <c r="K8" s="2">
        <v>1</v>
      </c>
      <c r="L8" s="2">
        <v>0</v>
      </c>
      <c r="M8" s="2">
        <v>1</v>
      </c>
      <c r="N8" s="2">
        <v>1</v>
      </c>
      <c r="O8" s="2">
        <v>0</v>
      </c>
      <c r="P8" s="2" t="s">
        <v>21</v>
      </c>
      <c r="R8" t="str">
        <f t="shared" si="0"/>
        <v>yes</v>
      </c>
      <c r="S8" t="str">
        <f t="shared" si="1"/>
        <v>yes</v>
      </c>
      <c r="T8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8" s="2" t="b">
        <f t="shared" si="2"/>
        <v>1</v>
      </c>
      <c r="V8" s="2">
        <f>IF(Table4[[#This Row],[linear?]],Table4[[#This Row],[av]],10^(Table4[[#This Row],[av]]/10))</f>
        <v>1</v>
      </c>
      <c r="W8" s="2">
        <f>IF(Table4[[#This Row],[linear?]],Table4[[#This Row],[av]],10^(Table4[[#This Row],[av]]/10))</f>
        <v>1</v>
      </c>
      <c r="X8" s="2">
        <f>Table4[[#This Row],[av_lin]]-2*Table4[[#This Row],[std_lin]]</f>
        <v>-1</v>
      </c>
      <c r="Y8" s="2">
        <f>Table4[[#This Row],[av_lin]]+2*Table4[[#This Row],[std_lin]]</f>
        <v>3</v>
      </c>
    </row>
    <row r="9" spans="1:32" x14ac:dyDescent="0.35">
      <c r="A9" s="1">
        <v>570</v>
      </c>
      <c r="B9" t="s">
        <v>75</v>
      </c>
      <c r="C9" t="s">
        <v>542</v>
      </c>
      <c r="D9" t="s">
        <v>548</v>
      </c>
      <c r="E9" s="2">
        <v>28.29933333333333</v>
      </c>
      <c r="F9" s="2">
        <v>2.1468475912436729</v>
      </c>
      <c r="G9">
        <v>27</v>
      </c>
      <c r="H9" t="s">
        <v>58</v>
      </c>
      <c r="I9" s="2">
        <v>-55</v>
      </c>
      <c r="J9" s="2">
        <v>85</v>
      </c>
      <c r="K9" s="2">
        <v>15</v>
      </c>
      <c r="L9" s="2">
        <v>140</v>
      </c>
      <c r="M9" s="2">
        <v>32.593028515820677</v>
      </c>
      <c r="N9" s="2">
        <v>24.005638150845979</v>
      </c>
      <c r="O9" s="2">
        <v>8.587390364974695</v>
      </c>
      <c r="P9" s="2">
        <v>13.18180827030179</v>
      </c>
      <c r="Q9" s="2">
        <v>16.302973784796912</v>
      </c>
      <c r="R9" t="str">
        <f t="shared" si="0"/>
        <v>yes</v>
      </c>
      <c r="S9" t="str">
        <f t="shared" si="1"/>
        <v>yes</v>
      </c>
      <c r="T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" s="2" t="b">
        <f t="shared" si="2"/>
        <v>1</v>
      </c>
      <c r="V9" s="2">
        <f>IF(Table4[[#This Row],[linear?]],Table4[[#This Row],[av]],10^(Table4[[#This Row],[av]]/10))</f>
        <v>28.29933333333333</v>
      </c>
      <c r="W9" s="2">
        <f>IF(Table4[[#This Row],[linear?]],Table4[[#This Row],[av]],10^(Table4[[#This Row],[av]]/10))</f>
        <v>28.29933333333333</v>
      </c>
      <c r="X9" s="2">
        <f>Table4[[#This Row],[av_lin]]-2*Table4[[#This Row],[std_lin]]</f>
        <v>-28.29933333333333</v>
      </c>
      <c r="Y9" s="2">
        <f>Table4[[#This Row],[av_lin]]+2*Table4[[#This Row],[std_lin]]</f>
        <v>84.897999999999996</v>
      </c>
    </row>
    <row r="10" spans="1:32" x14ac:dyDescent="0.35">
      <c r="A10" s="1">
        <v>572</v>
      </c>
      <c r="B10" t="s">
        <v>75</v>
      </c>
      <c r="C10" t="s">
        <v>549</v>
      </c>
      <c r="D10" t="s">
        <v>551</v>
      </c>
      <c r="E10" s="2">
        <v>0.99525296296296284</v>
      </c>
      <c r="F10" s="2">
        <v>2.237203723286548E-3</v>
      </c>
      <c r="G10">
        <v>27</v>
      </c>
      <c r="H10" t="s">
        <v>58</v>
      </c>
      <c r="I10" s="2">
        <v>0.85</v>
      </c>
      <c r="J10" s="2">
        <v>1.2</v>
      </c>
      <c r="K10" s="2">
        <v>1.0249999999999999</v>
      </c>
      <c r="L10" s="2">
        <v>0.35</v>
      </c>
      <c r="M10" s="2">
        <v>0.99972737040953596</v>
      </c>
      <c r="N10" s="2">
        <v>0.99077855551638971</v>
      </c>
      <c r="O10" s="2">
        <v>8.9488148931462508E-3</v>
      </c>
      <c r="P10" s="2">
        <v>444.86469989460488</v>
      </c>
      <c r="Q10" s="2">
        <v>39.111324145061843</v>
      </c>
      <c r="R10" t="str">
        <f t="shared" si="0"/>
        <v>yes</v>
      </c>
      <c r="S10" t="str">
        <f t="shared" si="1"/>
        <v>yes</v>
      </c>
      <c r="T1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" s="2" t="b">
        <f t="shared" si="2"/>
        <v>1</v>
      </c>
      <c r="V10" s="2">
        <f>IF(Table4[[#This Row],[linear?]],Table4[[#This Row],[av]],10^(Table4[[#This Row],[av]]/10))</f>
        <v>0.99525296296296284</v>
      </c>
      <c r="W10" s="2">
        <f>IF(Table4[[#This Row],[linear?]],Table4[[#This Row],[av]],10^(Table4[[#This Row],[av]]/10))</f>
        <v>0.99525296296296284</v>
      </c>
      <c r="X10" s="2">
        <f>Table4[[#This Row],[av_lin]]-2*Table4[[#This Row],[std_lin]]</f>
        <v>-0.99525296296296284</v>
      </c>
      <c r="Y10" s="2">
        <f>Table4[[#This Row],[av_lin]]+2*Table4[[#This Row],[std_lin]]</f>
        <v>2.9857588888888884</v>
      </c>
    </row>
    <row r="11" spans="1:32" x14ac:dyDescent="0.35">
      <c r="A11" s="1">
        <v>574</v>
      </c>
      <c r="B11" t="s">
        <v>75</v>
      </c>
      <c r="C11" t="s">
        <v>549</v>
      </c>
      <c r="D11" t="s">
        <v>553</v>
      </c>
      <c r="E11" s="2">
        <v>1.497544444444445</v>
      </c>
      <c r="F11" s="2">
        <v>4.6376250328895672E-3</v>
      </c>
      <c r="G11">
        <v>27</v>
      </c>
      <c r="H11" t="s">
        <v>58</v>
      </c>
      <c r="I11" s="2">
        <v>1.35</v>
      </c>
      <c r="J11" s="2">
        <v>1.65</v>
      </c>
      <c r="K11" s="2">
        <v>1.5</v>
      </c>
      <c r="L11" s="2">
        <v>0.29999999999999982</v>
      </c>
      <c r="M11" s="2">
        <v>1.5068196945102239</v>
      </c>
      <c r="N11" s="2">
        <v>1.4882691943786659</v>
      </c>
      <c r="O11" s="2">
        <v>1.8550500131558231E-2</v>
      </c>
      <c r="P11" s="2">
        <v>322.91192880494032</v>
      </c>
      <c r="Q11" s="2">
        <v>16.17207071897958</v>
      </c>
      <c r="R11" t="str">
        <f t="shared" si="0"/>
        <v>yes</v>
      </c>
      <c r="S11" t="str">
        <f t="shared" si="1"/>
        <v>yes</v>
      </c>
      <c r="T1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" s="2" t="b">
        <f t="shared" si="2"/>
        <v>1</v>
      </c>
      <c r="V11" s="2">
        <f>IF(Table4[[#This Row],[linear?]],Table4[[#This Row],[av]],10^(Table4[[#This Row],[av]]/10))</f>
        <v>1.497544444444445</v>
      </c>
      <c r="W11" s="2">
        <f>IF(Table4[[#This Row],[linear?]],Table4[[#This Row],[av]],10^(Table4[[#This Row],[av]]/10))</f>
        <v>1.497544444444445</v>
      </c>
      <c r="X11" s="2">
        <f>Table4[[#This Row],[av_lin]]-2*Table4[[#This Row],[std_lin]]</f>
        <v>-1.497544444444445</v>
      </c>
      <c r="Y11" s="2">
        <f>Table4[[#This Row],[av_lin]]+2*Table4[[#This Row],[std_lin]]</f>
        <v>4.4926333333333348</v>
      </c>
    </row>
    <row r="12" spans="1:32" x14ac:dyDescent="0.35">
      <c r="A12" s="1">
        <v>576</v>
      </c>
      <c r="B12" t="s">
        <v>75</v>
      </c>
      <c r="C12" t="s">
        <v>549</v>
      </c>
      <c r="D12" t="s">
        <v>555</v>
      </c>
      <c r="E12" s="2">
        <v>35.89856839506173</v>
      </c>
      <c r="F12" s="2">
        <v>8.7284565501618394E-2</v>
      </c>
      <c r="G12">
        <v>27</v>
      </c>
      <c r="H12" t="s">
        <v>58</v>
      </c>
      <c r="I12" s="2">
        <v>34.5</v>
      </c>
      <c r="J12" s="2">
        <v>37</v>
      </c>
      <c r="K12" s="2">
        <v>35.75</v>
      </c>
      <c r="L12" s="2">
        <v>2.5</v>
      </c>
      <c r="M12" s="2">
        <v>36.073137526064968</v>
      </c>
      <c r="N12" s="2">
        <v>35.723999264058492</v>
      </c>
      <c r="O12" s="2">
        <v>0.34913826200647691</v>
      </c>
      <c r="P12" s="2">
        <v>411.28197395215437</v>
      </c>
      <c r="Q12" s="2">
        <v>7.1604870392395501</v>
      </c>
      <c r="R12" t="str">
        <f t="shared" si="0"/>
        <v>yes</v>
      </c>
      <c r="S12" t="str">
        <f t="shared" si="1"/>
        <v>yes</v>
      </c>
      <c r="T1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" s="2" t="b">
        <f t="shared" si="2"/>
        <v>1</v>
      </c>
      <c r="V12" s="2">
        <f>IF(Table4[[#This Row],[linear?]],Table4[[#This Row],[av]],10^(Table4[[#This Row],[av]]/10))</f>
        <v>35.89856839506173</v>
      </c>
      <c r="W12" s="2">
        <f>IF(Table4[[#This Row],[linear?]],Table4[[#This Row],[av]],10^(Table4[[#This Row],[av]]/10))</f>
        <v>35.89856839506173</v>
      </c>
      <c r="X12" s="2">
        <f>Table4[[#This Row],[av_lin]]-2*Table4[[#This Row],[std_lin]]</f>
        <v>-35.89856839506173</v>
      </c>
      <c r="Y12" s="2">
        <f>Table4[[#This Row],[av_lin]]+2*Table4[[#This Row],[std_lin]]</f>
        <v>107.69570518518519</v>
      </c>
    </row>
    <row r="13" spans="1:32" x14ac:dyDescent="0.35">
      <c r="A13" s="1">
        <v>578</v>
      </c>
      <c r="B13" t="s">
        <v>75</v>
      </c>
      <c r="C13" t="s">
        <v>549</v>
      </c>
      <c r="D13" t="s">
        <v>557</v>
      </c>
      <c r="E13" s="2">
        <v>0.99522888888888894</v>
      </c>
      <c r="F13" s="2">
        <v>2.1439713576673308E-3</v>
      </c>
      <c r="G13">
        <v>27</v>
      </c>
      <c r="H13" t="s">
        <v>58</v>
      </c>
      <c r="I13" s="2">
        <v>0.85</v>
      </c>
      <c r="J13" s="2">
        <v>1.2</v>
      </c>
      <c r="K13" s="2">
        <v>1.0249999999999999</v>
      </c>
      <c r="L13" s="2">
        <v>0.35</v>
      </c>
      <c r="M13" s="2">
        <v>0.99951683160422355</v>
      </c>
      <c r="N13" s="2">
        <v>0.99094094617355433</v>
      </c>
      <c r="O13" s="2">
        <v>8.5758854306692278E-3</v>
      </c>
      <c r="P13" s="2">
        <v>464.19878014215232</v>
      </c>
      <c r="Q13" s="2">
        <v>40.812112385308232</v>
      </c>
      <c r="R13" t="str">
        <f t="shared" si="0"/>
        <v>yes</v>
      </c>
      <c r="S13" t="str">
        <f t="shared" si="1"/>
        <v>yes</v>
      </c>
      <c r="T1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" s="2" t="b">
        <f t="shared" si="2"/>
        <v>1</v>
      </c>
      <c r="V13" s="2">
        <f>IF(Table4[[#This Row],[linear?]],Table4[[#This Row],[av]],10^(Table4[[#This Row],[av]]/10))</f>
        <v>0.99522888888888894</v>
      </c>
      <c r="W13" s="2">
        <f>IF(Table4[[#This Row],[linear?]],Table4[[#This Row],[av]],10^(Table4[[#This Row],[av]]/10))</f>
        <v>0.99522888888888894</v>
      </c>
      <c r="X13" s="2">
        <f>Table4[[#This Row],[av_lin]]-2*Table4[[#This Row],[std_lin]]</f>
        <v>-0.99522888888888894</v>
      </c>
      <c r="Y13" s="2">
        <f>Table4[[#This Row],[av_lin]]+2*Table4[[#This Row],[std_lin]]</f>
        <v>2.985686666666667</v>
      </c>
    </row>
    <row r="14" spans="1:32" x14ac:dyDescent="0.35">
      <c r="A14" s="1">
        <v>580</v>
      </c>
      <c r="B14" t="s">
        <v>75</v>
      </c>
      <c r="C14" t="s">
        <v>549</v>
      </c>
      <c r="D14" t="s">
        <v>559</v>
      </c>
      <c r="E14" s="2">
        <v>1.4969088888888891</v>
      </c>
      <c r="F14" s="2">
        <v>7.1472665977290366E-3</v>
      </c>
      <c r="G14">
        <v>27</v>
      </c>
      <c r="H14" t="s">
        <v>58</v>
      </c>
      <c r="I14" s="2">
        <v>1.35</v>
      </c>
      <c r="J14" s="2">
        <v>1.65</v>
      </c>
      <c r="K14" s="2">
        <v>1.5</v>
      </c>
      <c r="L14" s="2">
        <v>0.29999999999999982</v>
      </c>
      <c r="M14" s="2">
        <v>1.5112034220843471</v>
      </c>
      <c r="N14" s="2">
        <v>1.482614355693431</v>
      </c>
      <c r="O14" s="2">
        <v>2.858906639091607E-2</v>
      </c>
      <c r="P14" s="2">
        <v>209.4379534358653</v>
      </c>
      <c r="Q14" s="2">
        <v>10.493522100299231</v>
      </c>
      <c r="R14" t="str">
        <f t="shared" si="0"/>
        <v>yes</v>
      </c>
      <c r="S14" t="str">
        <f t="shared" si="1"/>
        <v>yes</v>
      </c>
      <c r="T1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" s="2" t="b">
        <f t="shared" si="2"/>
        <v>1</v>
      </c>
      <c r="V14" s="2">
        <f>IF(Table4[[#This Row],[linear?]],Table4[[#This Row],[av]],10^(Table4[[#This Row],[av]]/10))</f>
        <v>1.4969088888888891</v>
      </c>
      <c r="W14" s="2">
        <f>IF(Table4[[#This Row],[linear?]],Table4[[#This Row],[av]],10^(Table4[[#This Row],[av]]/10))</f>
        <v>1.4969088888888891</v>
      </c>
      <c r="X14" s="2">
        <f>Table4[[#This Row],[av_lin]]-2*Table4[[#This Row],[std_lin]]</f>
        <v>-1.4969088888888891</v>
      </c>
      <c r="Y14" s="2">
        <f>Table4[[#This Row],[av_lin]]+2*Table4[[#This Row],[std_lin]]</f>
        <v>4.4907266666666672</v>
      </c>
    </row>
    <row r="15" spans="1:32" x14ac:dyDescent="0.35">
      <c r="A15" s="1">
        <v>582</v>
      </c>
      <c r="B15" t="s">
        <v>75</v>
      </c>
      <c r="C15" t="s">
        <v>549</v>
      </c>
      <c r="D15" t="s">
        <v>561</v>
      </c>
      <c r="E15" s="2">
        <v>35.89494469135802</v>
      </c>
      <c r="F15" s="2">
        <v>6.3291736168726506E-2</v>
      </c>
      <c r="G15">
        <v>27</v>
      </c>
      <c r="H15" t="s">
        <v>58</v>
      </c>
      <c r="I15" s="2">
        <v>34.5</v>
      </c>
      <c r="J15" s="2">
        <v>37</v>
      </c>
      <c r="K15" s="2">
        <v>35.75</v>
      </c>
      <c r="L15" s="2">
        <v>2.5</v>
      </c>
      <c r="M15" s="2">
        <v>36.021528163695471</v>
      </c>
      <c r="N15" s="2">
        <v>35.768361219020569</v>
      </c>
      <c r="O15" s="2">
        <v>0.25316694467490208</v>
      </c>
      <c r="P15" s="2">
        <v>567.1347772111568</v>
      </c>
      <c r="Q15" s="2">
        <v>9.8749068651529992</v>
      </c>
      <c r="R15" t="str">
        <f t="shared" si="0"/>
        <v>yes</v>
      </c>
      <c r="S15" t="str">
        <f t="shared" si="1"/>
        <v>yes</v>
      </c>
      <c r="T1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" s="2" t="b">
        <f t="shared" si="2"/>
        <v>1</v>
      </c>
      <c r="V15" s="2">
        <f>IF(Table4[[#This Row],[linear?]],Table4[[#This Row],[av]],10^(Table4[[#This Row],[av]]/10))</f>
        <v>35.89494469135802</v>
      </c>
      <c r="W15" s="2">
        <f>IF(Table4[[#This Row],[linear?]],Table4[[#This Row],[av]],10^(Table4[[#This Row],[av]]/10))</f>
        <v>35.89494469135802</v>
      </c>
      <c r="X15" s="2">
        <f>Table4[[#This Row],[av_lin]]-2*Table4[[#This Row],[std_lin]]</f>
        <v>-35.89494469135802</v>
      </c>
      <c r="Y15" s="2">
        <f>Table4[[#This Row],[av_lin]]+2*Table4[[#This Row],[std_lin]]</f>
        <v>107.68483407407406</v>
      </c>
    </row>
    <row r="16" spans="1:32" x14ac:dyDescent="0.35">
      <c r="A16" s="1">
        <v>584</v>
      </c>
      <c r="B16" t="s">
        <v>75</v>
      </c>
      <c r="C16" t="s">
        <v>549</v>
      </c>
      <c r="D16" t="s">
        <v>563</v>
      </c>
      <c r="E16" s="2">
        <v>0.99558530864197514</v>
      </c>
      <c r="F16" s="2">
        <v>1.558686464027664E-3</v>
      </c>
      <c r="G16">
        <v>27</v>
      </c>
      <c r="H16" t="s">
        <v>58</v>
      </c>
      <c r="I16" s="2">
        <v>0.85</v>
      </c>
      <c r="J16" s="2">
        <v>1.2</v>
      </c>
      <c r="K16" s="2">
        <v>1.0249999999999999</v>
      </c>
      <c r="L16" s="2">
        <v>0.35</v>
      </c>
      <c r="M16" s="2">
        <v>0.9987026815700305</v>
      </c>
      <c r="N16" s="2">
        <v>0.99246793571391978</v>
      </c>
      <c r="O16" s="2">
        <v>6.2347458561107238E-3</v>
      </c>
      <c r="P16" s="2">
        <v>638.73353084068685</v>
      </c>
      <c r="Q16" s="2">
        <v>56.137011528218459</v>
      </c>
      <c r="R16" t="str">
        <f t="shared" si="0"/>
        <v>yes</v>
      </c>
      <c r="S16" t="str">
        <f t="shared" si="1"/>
        <v>yes</v>
      </c>
      <c r="T1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" s="2" t="b">
        <f t="shared" si="2"/>
        <v>1</v>
      </c>
      <c r="V16" s="2">
        <f>IF(Table4[[#This Row],[linear?]],Table4[[#This Row],[av]],10^(Table4[[#This Row],[av]]/10))</f>
        <v>0.99558530864197514</v>
      </c>
      <c r="W16" s="2">
        <f>IF(Table4[[#This Row],[linear?]],Table4[[#This Row],[av]],10^(Table4[[#This Row],[av]]/10))</f>
        <v>0.99558530864197514</v>
      </c>
      <c r="X16" s="2">
        <f>Table4[[#This Row],[av_lin]]-2*Table4[[#This Row],[std_lin]]</f>
        <v>-0.99558530864197514</v>
      </c>
      <c r="Y16" s="2">
        <f>Table4[[#This Row],[av_lin]]+2*Table4[[#This Row],[std_lin]]</f>
        <v>2.9867559259259253</v>
      </c>
    </row>
    <row r="17" spans="1:25" x14ac:dyDescent="0.35">
      <c r="A17" s="1">
        <v>586</v>
      </c>
      <c r="B17" t="s">
        <v>75</v>
      </c>
      <c r="C17" t="s">
        <v>549</v>
      </c>
      <c r="D17" t="s">
        <v>565</v>
      </c>
      <c r="E17" s="2">
        <v>1.4967538271604941</v>
      </c>
      <c r="F17" s="2">
        <v>5.880707863323972E-3</v>
      </c>
      <c r="G17">
        <v>27</v>
      </c>
      <c r="H17" t="s">
        <v>58</v>
      </c>
      <c r="I17" s="2">
        <v>1.35</v>
      </c>
      <c r="J17" s="2">
        <v>1.65</v>
      </c>
      <c r="K17" s="2">
        <v>1.5</v>
      </c>
      <c r="L17" s="2">
        <v>0.29999999999999982</v>
      </c>
      <c r="M17" s="2">
        <v>1.508515242887142</v>
      </c>
      <c r="N17" s="2">
        <v>1.484992411433846</v>
      </c>
      <c r="O17" s="2">
        <v>2.3522831453295812E-2</v>
      </c>
      <c r="P17" s="2">
        <v>254.51933031655119</v>
      </c>
      <c r="Q17" s="2">
        <v>12.753566703721219</v>
      </c>
      <c r="R17" t="str">
        <f t="shared" si="0"/>
        <v>yes</v>
      </c>
      <c r="S17" t="str">
        <f t="shared" si="1"/>
        <v>yes</v>
      </c>
      <c r="T1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" s="2" t="b">
        <f t="shared" si="2"/>
        <v>1</v>
      </c>
      <c r="V17" s="2">
        <f>IF(Table4[[#This Row],[linear?]],Table4[[#This Row],[av]],10^(Table4[[#This Row],[av]]/10))</f>
        <v>1.4967538271604941</v>
      </c>
      <c r="W17" s="2">
        <f>IF(Table4[[#This Row],[linear?]],Table4[[#This Row],[av]],10^(Table4[[#This Row],[av]]/10))</f>
        <v>1.4967538271604941</v>
      </c>
      <c r="X17" s="2">
        <f>Table4[[#This Row],[av_lin]]-2*Table4[[#This Row],[std_lin]]</f>
        <v>-1.4967538271604941</v>
      </c>
      <c r="Y17" s="2">
        <f>Table4[[#This Row],[av_lin]]+2*Table4[[#This Row],[std_lin]]</f>
        <v>4.4902614814814825</v>
      </c>
    </row>
    <row r="18" spans="1:25" x14ac:dyDescent="0.35">
      <c r="A18" s="1">
        <v>588</v>
      </c>
      <c r="B18" t="s">
        <v>75</v>
      </c>
      <c r="C18" t="s">
        <v>549</v>
      </c>
      <c r="D18" t="s">
        <v>567</v>
      </c>
      <c r="E18" s="2">
        <v>35.94529716049383</v>
      </c>
      <c r="F18" s="2">
        <v>6.7871260548677911E-2</v>
      </c>
      <c r="G18">
        <v>27</v>
      </c>
      <c r="H18" t="s">
        <v>58</v>
      </c>
      <c r="I18" s="2">
        <v>34.5</v>
      </c>
      <c r="J18" s="2">
        <v>37</v>
      </c>
      <c r="K18" s="2">
        <v>35.75</v>
      </c>
      <c r="L18" s="2">
        <v>2.5</v>
      </c>
      <c r="M18" s="2">
        <v>36.081039681591193</v>
      </c>
      <c r="N18" s="2">
        <v>35.809554639396467</v>
      </c>
      <c r="O18" s="2">
        <v>0.27148504219471192</v>
      </c>
      <c r="P18" s="2">
        <v>529.60998322277396</v>
      </c>
      <c r="Q18" s="2">
        <v>9.2086104626234757</v>
      </c>
      <c r="R18" t="str">
        <f t="shared" si="0"/>
        <v>yes</v>
      </c>
      <c r="S18" t="str">
        <f t="shared" si="1"/>
        <v>yes</v>
      </c>
      <c r="T1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" s="2" t="b">
        <f t="shared" si="2"/>
        <v>1</v>
      </c>
      <c r="V18" s="2">
        <f>IF(Table4[[#This Row],[linear?]],Table4[[#This Row],[av]],10^(Table4[[#This Row],[av]]/10))</f>
        <v>35.94529716049383</v>
      </c>
      <c r="W18" s="2">
        <f>IF(Table4[[#This Row],[linear?]],Table4[[#This Row],[av]],10^(Table4[[#This Row],[av]]/10))</f>
        <v>35.94529716049383</v>
      </c>
      <c r="X18" s="2">
        <f>Table4[[#This Row],[av_lin]]-2*Table4[[#This Row],[std_lin]]</f>
        <v>-35.94529716049383</v>
      </c>
      <c r="Y18" s="2">
        <f>Table4[[#This Row],[av_lin]]+2*Table4[[#This Row],[std_lin]]</f>
        <v>107.8358914814815</v>
      </c>
    </row>
    <row r="19" spans="1:25" x14ac:dyDescent="0.35">
      <c r="A19" s="1">
        <v>589</v>
      </c>
      <c r="B19" t="s">
        <v>75</v>
      </c>
      <c r="C19" t="s">
        <v>549</v>
      </c>
      <c r="D19" t="s">
        <v>568</v>
      </c>
      <c r="E19" s="2">
        <v>1.799947654320988</v>
      </c>
      <c r="F19" s="2">
        <v>6.5136375466318223E-3</v>
      </c>
      <c r="G19">
        <v>27</v>
      </c>
      <c r="H19" t="s">
        <v>58</v>
      </c>
      <c r="I19" s="2">
        <v>1.62</v>
      </c>
      <c r="J19" s="2">
        <v>1.98</v>
      </c>
      <c r="K19" s="2">
        <v>1.8</v>
      </c>
      <c r="L19" s="2">
        <v>0.35999999999999988</v>
      </c>
      <c r="M19" s="2">
        <v>1.8129749294142521</v>
      </c>
      <c r="N19" s="2">
        <v>1.786920379227724</v>
      </c>
      <c r="O19" s="2">
        <v>2.6054550186527251E-2</v>
      </c>
      <c r="P19" s="2">
        <v>276.33524914995218</v>
      </c>
      <c r="Q19" s="2">
        <v>13.81716427352314</v>
      </c>
      <c r="R19" t="str">
        <f t="shared" si="0"/>
        <v>yes</v>
      </c>
      <c r="S19" t="str">
        <f t="shared" si="1"/>
        <v>yes</v>
      </c>
      <c r="T1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" s="2" t="b">
        <f t="shared" si="2"/>
        <v>1</v>
      </c>
      <c r="V19" s="2">
        <f>IF(Table4[[#This Row],[linear?]],Table4[[#This Row],[av]],10^(Table4[[#This Row],[av]]/10))</f>
        <v>1.799947654320988</v>
      </c>
      <c r="W19" s="2">
        <f>IF(Table4[[#This Row],[linear?]],Table4[[#This Row],[av]],10^(Table4[[#This Row],[av]]/10))</f>
        <v>1.799947654320988</v>
      </c>
      <c r="X19" s="2">
        <f>Table4[[#This Row],[av_lin]]-2*Table4[[#This Row],[std_lin]]</f>
        <v>-1.799947654320988</v>
      </c>
      <c r="Y19" s="2">
        <f>Table4[[#This Row],[av_lin]]+2*Table4[[#This Row],[std_lin]]</f>
        <v>5.3998429629629641</v>
      </c>
    </row>
    <row r="20" spans="1:25" x14ac:dyDescent="0.35">
      <c r="A20" s="1">
        <v>594</v>
      </c>
      <c r="B20" t="s">
        <v>75</v>
      </c>
      <c r="C20" t="s">
        <v>549</v>
      </c>
      <c r="D20" t="s">
        <v>573</v>
      </c>
      <c r="E20" s="2">
        <v>3.9761114814814809</v>
      </c>
      <c r="F20" s="2">
        <v>4.6033921112374528E-3</v>
      </c>
      <c r="G20">
        <v>27</v>
      </c>
      <c r="H20" t="s">
        <v>58</v>
      </c>
      <c r="I20" s="2">
        <v>3.6</v>
      </c>
      <c r="J20" s="2">
        <v>4.4000000000000004</v>
      </c>
      <c r="K20" s="2">
        <v>4</v>
      </c>
      <c r="L20" s="2">
        <v>0.80000000000000027</v>
      </c>
      <c r="M20" s="2">
        <v>3.9853182657039561</v>
      </c>
      <c r="N20" s="2">
        <v>3.9669046972590061</v>
      </c>
      <c r="O20" s="2">
        <v>1.8413568444949568E-2</v>
      </c>
      <c r="P20" s="2">
        <v>863.73512953096008</v>
      </c>
      <c r="Q20" s="2">
        <v>43.44622295193534</v>
      </c>
      <c r="R20" t="str">
        <f t="shared" si="0"/>
        <v>yes</v>
      </c>
      <c r="S20" t="str">
        <f t="shared" si="1"/>
        <v>yes</v>
      </c>
      <c r="T2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0" s="2" t="b">
        <f t="shared" si="2"/>
        <v>1</v>
      </c>
      <c r="V20" s="2">
        <f>IF(Table4[[#This Row],[linear?]],Table4[[#This Row],[av]],10^(Table4[[#This Row],[av]]/10))</f>
        <v>3.9761114814814809</v>
      </c>
      <c r="W20" s="2">
        <f>IF(Table4[[#This Row],[linear?]],Table4[[#This Row],[av]],10^(Table4[[#This Row],[av]]/10))</f>
        <v>3.9761114814814809</v>
      </c>
      <c r="X20" s="2">
        <f>Table4[[#This Row],[av_lin]]-2*Table4[[#This Row],[std_lin]]</f>
        <v>-3.9761114814814809</v>
      </c>
      <c r="Y20" s="2">
        <f>Table4[[#This Row],[av_lin]]+2*Table4[[#This Row],[std_lin]]</f>
        <v>11.928334444444442</v>
      </c>
    </row>
    <row r="21" spans="1:25" x14ac:dyDescent="0.35">
      <c r="A21" s="1">
        <v>598</v>
      </c>
      <c r="B21" t="s">
        <v>75</v>
      </c>
      <c r="C21" t="s">
        <v>549</v>
      </c>
      <c r="D21" t="s">
        <v>577</v>
      </c>
      <c r="E21" s="2">
        <v>1.800395061728395</v>
      </c>
      <c r="F21" s="2">
        <v>3.2586170248524071E-3</v>
      </c>
      <c r="G21">
        <v>27</v>
      </c>
      <c r="H21" t="s">
        <v>58</v>
      </c>
      <c r="I21" s="2">
        <v>1.62</v>
      </c>
      <c r="J21" s="2">
        <v>1.98</v>
      </c>
      <c r="K21" s="2">
        <v>1.8</v>
      </c>
      <c r="L21" s="2">
        <v>0.35999999999999988</v>
      </c>
      <c r="M21" s="2">
        <v>1.8069122957781001</v>
      </c>
      <c r="N21" s="2">
        <v>1.79387782767869</v>
      </c>
      <c r="O21" s="2">
        <v>1.303446809940967E-2</v>
      </c>
      <c r="P21" s="2">
        <v>552.50280962671286</v>
      </c>
      <c r="Q21" s="2">
        <v>27.619078680802041</v>
      </c>
      <c r="R21" t="str">
        <f t="shared" si="0"/>
        <v>yes</v>
      </c>
      <c r="S21" t="str">
        <f t="shared" si="1"/>
        <v>yes</v>
      </c>
      <c r="T2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1" s="2" t="b">
        <f t="shared" si="2"/>
        <v>1</v>
      </c>
      <c r="V21" s="2">
        <f>IF(Table4[[#This Row],[linear?]],Table4[[#This Row],[av]],10^(Table4[[#This Row],[av]]/10))</f>
        <v>1.800395061728395</v>
      </c>
      <c r="W21" s="2">
        <f>IF(Table4[[#This Row],[linear?]],Table4[[#This Row],[av]],10^(Table4[[#This Row],[av]]/10))</f>
        <v>1.800395061728395</v>
      </c>
      <c r="X21" s="2">
        <f>Table4[[#This Row],[av_lin]]-2*Table4[[#This Row],[std_lin]]</f>
        <v>-1.800395061728395</v>
      </c>
      <c r="Y21" s="2">
        <f>Table4[[#This Row],[av_lin]]+2*Table4[[#This Row],[std_lin]]</f>
        <v>5.4011851851851853</v>
      </c>
    </row>
    <row r="22" spans="1:25" x14ac:dyDescent="0.35">
      <c r="A22" s="1">
        <v>603</v>
      </c>
      <c r="B22" t="s">
        <v>75</v>
      </c>
      <c r="C22" t="s">
        <v>549</v>
      </c>
      <c r="D22" t="s">
        <v>582</v>
      </c>
      <c r="E22" s="2">
        <v>3.9732519753086408</v>
      </c>
      <c r="F22" s="2">
        <v>1.1369659700281859E-2</v>
      </c>
      <c r="G22">
        <v>27</v>
      </c>
      <c r="H22" t="s">
        <v>58</v>
      </c>
      <c r="I22" s="2">
        <v>3.6</v>
      </c>
      <c r="J22" s="2">
        <v>4.4000000000000004</v>
      </c>
      <c r="K22" s="2">
        <v>4</v>
      </c>
      <c r="L22" s="2">
        <v>0.80000000000000027</v>
      </c>
      <c r="M22" s="2">
        <v>3.9959912947092051</v>
      </c>
      <c r="N22" s="2">
        <v>3.950512655908077</v>
      </c>
      <c r="O22" s="2">
        <v>4.547863880112768E-2</v>
      </c>
      <c r="P22" s="2">
        <v>349.46094078876803</v>
      </c>
      <c r="Q22" s="2">
        <v>17.590675998424199</v>
      </c>
      <c r="R22" t="str">
        <f t="shared" si="0"/>
        <v>yes</v>
      </c>
      <c r="S22" t="str">
        <f t="shared" si="1"/>
        <v>yes</v>
      </c>
      <c r="T2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2" s="2" t="b">
        <f t="shared" si="2"/>
        <v>1</v>
      </c>
      <c r="V22" s="2">
        <f>IF(Table4[[#This Row],[linear?]],Table4[[#This Row],[av]],10^(Table4[[#This Row],[av]]/10))</f>
        <v>3.9732519753086408</v>
      </c>
      <c r="W22" s="2">
        <f>IF(Table4[[#This Row],[linear?]],Table4[[#This Row],[av]],10^(Table4[[#This Row],[av]]/10))</f>
        <v>3.9732519753086408</v>
      </c>
      <c r="X22" s="2">
        <f>Table4[[#This Row],[av_lin]]-2*Table4[[#This Row],[std_lin]]</f>
        <v>-3.9732519753086408</v>
      </c>
      <c r="Y22" s="2">
        <f>Table4[[#This Row],[av_lin]]+2*Table4[[#This Row],[std_lin]]</f>
        <v>11.919755925925923</v>
      </c>
    </row>
    <row r="23" spans="1:25" x14ac:dyDescent="0.35">
      <c r="A23" s="1">
        <v>607</v>
      </c>
      <c r="B23" t="s">
        <v>75</v>
      </c>
      <c r="C23" t="s">
        <v>549</v>
      </c>
      <c r="D23" t="s">
        <v>586</v>
      </c>
      <c r="E23" s="2">
        <v>1.8020446913580239</v>
      </c>
      <c r="F23" s="2">
        <v>4.2860197251063693E-3</v>
      </c>
      <c r="G23">
        <v>27</v>
      </c>
      <c r="H23" t="s">
        <v>58</v>
      </c>
      <c r="I23" s="2">
        <v>1.62</v>
      </c>
      <c r="J23" s="2">
        <v>1.98</v>
      </c>
      <c r="K23" s="2">
        <v>1.8</v>
      </c>
      <c r="L23" s="2">
        <v>0.35999999999999988</v>
      </c>
      <c r="M23" s="2">
        <v>1.810616730808237</v>
      </c>
      <c r="N23" s="2">
        <v>1.793472651907811</v>
      </c>
      <c r="O23" s="2">
        <v>1.7144078900425349E-2</v>
      </c>
      <c r="P23" s="2">
        <v>420.44712972320752</v>
      </c>
      <c r="Q23" s="2">
        <v>20.99850345363658</v>
      </c>
      <c r="R23" t="str">
        <f t="shared" si="0"/>
        <v>yes</v>
      </c>
      <c r="S23" t="str">
        <f t="shared" si="1"/>
        <v>yes</v>
      </c>
      <c r="T2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3" s="2" t="b">
        <f t="shared" si="2"/>
        <v>1</v>
      </c>
      <c r="V23" s="2">
        <f>IF(Table4[[#This Row],[linear?]],Table4[[#This Row],[av]],10^(Table4[[#This Row],[av]]/10))</f>
        <v>1.8020446913580239</v>
      </c>
      <c r="W23" s="2">
        <f>IF(Table4[[#This Row],[linear?]],Table4[[#This Row],[av]],10^(Table4[[#This Row],[av]]/10))</f>
        <v>1.8020446913580239</v>
      </c>
      <c r="X23" s="2">
        <f>Table4[[#This Row],[av_lin]]-2*Table4[[#This Row],[std_lin]]</f>
        <v>-1.8020446913580239</v>
      </c>
      <c r="Y23" s="2">
        <f>Table4[[#This Row],[av_lin]]+2*Table4[[#This Row],[std_lin]]</f>
        <v>5.406134074074072</v>
      </c>
    </row>
    <row r="24" spans="1:25" x14ac:dyDescent="0.35">
      <c r="A24" s="1">
        <v>612</v>
      </c>
      <c r="B24" t="s">
        <v>75</v>
      </c>
      <c r="C24" t="s">
        <v>549</v>
      </c>
      <c r="D24" t="s">
        <v>591</v>
      </c>
      <c r="E24" s="2">
        <v>3.9671164197530859</v>
      </c>
      <c r="F24" s="2">
        <v>1.209730910158819E-2</v>
      </c>
      <c r="G24">
        <v>27</v>
      </c>
      <c r="H24" t="s">
        <v>58</v>
      </c>
      <c r="I24" s="2">
        <v>3.6</v>
      </c>
      <c r="J24" s="2">
        <v>4.4000000000000004</v>
      </c>
      <c r="K24" s="2">
        <v>4</v>
      </c>
      <c r="L24" s="2">
        <v>0.80000000000000027</v>
      </c>
      <c r="M24" s="2">
        <v>3.9913110379562622</v>
      </c>
      <c r="N24" s="2">
        <v>3.9429218015499101</v>
      </c>
      <c r="O24" s="2">
        <v>4.8389236406352509E-2</v>
      </c>
      <c r="P24" s="2">
        <v>327.93378977414608</v>
      </c>
      <c r="Q24" s="2">
        <v>16.53260227712493</v>
      </c>
      <c r="R24" t="str">
        <f t="shared" si="0"/>
        <v>yes</v>
      </c>
      <c r="S24" t="str">
        <f t="shared" si="1"/>
        <v>yes</v>
      </c>
      <c r="T2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4" s="2" t="b">
        <f t="shared" si="2"/>
        <v>1</v>
      </c>
      <c r="V24" s="2">
        <f>IF(Table4[[#This Row],[linear?]],Table4[[#This Row],[av]],10^(Table4[[#This Row],[av]]/10))</f>
        <v>3.9671164197530859</v>
      </c>
      <c r="W24" s="2">
        <f>IF(Table4[[#This Row],[linear?]],Table4[[#This Row],[av]],10^(Table4[[#This Row],[av]]/10))</f>
        <v>3.9671164197530859</v>
      </c>
      <c r="X24" s="2">
        <f>Table4[[#This Row],[av_lin]]-2*Table4[[#This Row],[std_lin]]</f>
        <v>-3.9671164197530859</v>
      </c>
      <c r="Y24" s="2">
        <f>Table4[[#This Row],[av_lin]]+2*Table4[[#This Row],[std_lin]]</f>
        <v>11.901349259259257</v>
      </c>
    </row>
    <row r="25" spans="1:25" x14ac:dyDescent="0.35">
      <c r="A25" s="1">
        <v>617</v>
      </c>
      <c r="B25" t="s">
        <v>75</v>
      </c>
      <c r="C25" t="s">
        <v>549</v>
      </c>
      <c r="D25" t="s">
        <v>596</v>
      </c>
      <c r="E25" s="2">
        <v>0.9974518518518517</v>
      </c>
      <c r="F25" s="2">
        <v>1.412828434517948E-3</v>
      </c>
      <c r="G25">
        <v>27</v>
      </c>
      <c r="H25" t="s">
        <v>58</v>
      </c>
      <c r="I25" s="2">
        <v>0.85</v>
      </c>
      <c r="J25" s="2">
        <v>1.2</v>
      </c>
      <c r="K25" s="2">
        <v>1.0249999999999999</v>
      </c>
      <c r="L25" s="2">
        <v>0.35</v>
      </c>
      <c r="M25" s="2">
        <v>1.0002775087208871</v>
      </c>
      <c r="N25" s="2">
        <v>0.99462619498281579</v>
      </c>
      <c r="O25" s="2">
        <v>5.651313738071706E-3</v>
      </c>
      <c r="P25" s="2">
        <v>705.99644477864626</v>
      </c>
      <c r="Q25" s="2">
        <v>61.932502108690933</v>
      </c>
      <c r="R25" t="str">
        <f t="shared" si="0"/>
        <v>yes</v>
      </c>
      <c r="S25" t="str">
        <f t="shared" si="1"/>
        <v>yes</v>
      </c>
      <c r="T2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5" s="2" t="b">
        <f t="shared" si="2"/>
        <v>1</v>
      </c>
      <c r="V25" s="2">
        <f>IF(Table4[[#This Row],[linear?]],Table4[[#This Row],[av]],10^(Table4[[#This Row],[av]]/10))</f>
        <v>0.9974518518518517</v>
      </c>
      <c r="W25" s="2">
        <f>IF(Table4[[#This Row],[linear?]],Table4[[#This Row],[av]],10^(Table4[[#This Row],[av]]/10))</f>
        <v>0.9974518518518517</v>
      </c>
      <c r="X25" s="2">
        <f>Table4[[#This Row],[av_lin]]-2*Table4[[#This Row],[std_lin]]</f>
        <v>-0.9974518518518517</v>
      </c>
      <c r="Y25" s="2">
        <f>Table4[[#This Row],[av_lin]]+2*Table4[[#This Row],[std_lin]]</f>
        <v>2.9923555555555552</v>
      </c>
    </row>
    <row r="26" spans="1:25" x14ac:dyDescent="0.35">
      <c r="A26" s="1">
        <v>619</v>
      </c>
      <c r="B26" t="s">
        <v>75</v>
      </c>
      <c r="C26" t="s">
        <v>549</v>
      </c>
      <c r="D26" t="s">
        <v>598</v>
      </c>
      <c r="E26" s="2">
        <v>1.5006543209876539</v>
      </c>
      <c r="F26" s="2">
        <v>4.0023803250270936E-3</v>
      </c>
      <c r="G26">
        <v>27</v>
      </c>
      <c r="H26" t="s">
        <v>58</v>
      </c>
      <c r="I26" s="2">
        <v>1.35</v>
      </c>
      <c r="J26" s="2">
        <v>1.65</v>
      </c>
      <c r="K26" s="2">
        <v>1.5</v>
      </c>
      <c r="L26" s="2">
        <v>0.29999999999999982</v>
      </c>
      <c r="M26" s="2">
        <v>1.5086590816377079</v>
      </c>
      <c r="N26" s="2">
        <v>1.4926495603376</v>
      </c>
      <c r="O26" s="2">
        <v>1.600952130010835E-2</v>
      </c>
      <c r="P26" s="2">
        <v>374.94046020663848</v>
      </c>
      <c r="Q26" s="2">
        <v>18.738848862268568</v>
      </c>
      <c r="R26" t="str">
        <f t="shared" si="0"/>
        <v>yes</v>
      </c>
      <c r="S26" t="str">
        <f t="shared" si="1"/>
        <v>yes</v>
      </c>
      <c r="T2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6" s="2" t="b">
        <f t="shared" si="2"/>
        <v>1</v>
      </c>
      <c r="V26" s="2">
        <f>IF(Table4[[#This Row],[linear?]],Table4[[#This Row],[av]],10^(Table4[[#This Row],[av]]/10))</f>
        <v>1.5006543209876539</v>
      </c>
      <c r="W26" s="2">
        <f>IF(Table4[[#This Row],[linear?]],Table4[[#This Row],[av]],10^(Table4[[#This Row],[av]]/10))</f>
        <v>1.5006543209876539</v>
      </c>
      <c r="X26" s="2">
        <f>Table4[[#This Row],[av_lin]]-2*Table4[[#This Row],[std_lin]]</f>
        <v>-1.5006543209876539</v>
      </c>
      <c r="Y26" s="2">
        <f>Table4[[#This Row],[av_lin]]+2*Table4[[#This Row],[std_lin]]</f>
        <v>4.5019629629629616</v>
      </c>
    </row>
    <row r="27" spans="1:25" x14ac:dyDescent="0.35">
      <c r="A27" s="1">
        <v>621</v>
      </c>
      <c r="B27" t="s">
        <v>75</v>
      </c>
      <c r="C27" t="s">
        <v>549</v>
      </c>
      <c r="D27" t="s">
        <v>600</v>
      </c>
      <c r="E27" s="2">
        <v>35.868230370370377</v>
      </c>
      <c r="F27" s="2">
        <v>6.9430197378496136E-2</v>
      </c>
      <c r="G27">
        <v>27</v>
      </c>
      <c r="H27" t="s">
        <v>58</v>
      </c>
      <c r="I27" s="2">
        <v>34.5</v>
      </c>
      <c r="J27" s="2">
        <v>37</v>
      </c>
      <c r="K27" s="2">
        <v>35.75</v>
      </c>
      <c r="L27" s="2">
        <v>2.5</v>
      </c>
      <c r="M27" s="2">
        <v>36.007090765127373</v>
      </c>
      <c r="N27" s="2">
        <v>35.729369975613388</v>
      </c>
      <c r="O27" s="2">
        <v>0.27772078951397822</v>
      </c>
      <c r="P27" s="2">
        <v>516.60850357137906</v>
      </c>
      <c r="Q27" s="2">
        <v>9.0018467986321582</v>
      </c>
      <c r="R27" t="str">
        <f t="shared" si="0"/>
        <v>yes</v>
      </c>
      <c r="S27" t="str">
        <f t="shared" si="1"/>
        <v>yes</v>
      </c>
      <c r="T2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7" s="2" t="b">
        <f t="shared" si="2"/>
        <v>1</v>
      </c>
      <c r="V27" s="2">
        <f>IF(Table4[[#This Row],[linear?]],Table4[[#This Row],[av]],10^(Table4[[#This Row],[av]]/10))</f>
        <v>35.868230370370377</v>
      </c>
      <c r="W27" s="2">
        <f>IF(Table4[[#This Row],[linear?]],Table4[[#This Row],[av]],10^(Table4[[#This Row],[av]]/10))</f>
        <v>35.868230370370377</v>
      </c>
      <c r="X27" s="2">
        <f>Table4[[#This Row],[av_lin]]-2*Table4[[#This Row],[std_lin]]</f>
        <v>-35.868230370370377</v>
      </c>
      <c r="Y27" s="2">
        <f>Table4[[#This Row],[av_lin]]+2*Table4[[#This Row],[std_lin]]</f>
        <v>107.60469111111112</v>
      </c>
    </row>
    <row r="28" spans="1:25" x14ac:dyDescent="0.35">
      <c r="A28" s="1">
        <v>623</v>
      </c>
      <c r="B28" t="s">
        <v>75</v>
      </c>
      <c r="C28" t="s">
        <v>549</v>
      </c>
      <c r="D28" t="s">
        <v>602</v>
      </c>
      <c r="E28" s="2">
        <v>0.99686024691358033</v>
      </c>
      <c r="F28" s="2">
        <v>1.8905065745510709E-3</v>
      </c>
      <c r="G28">
        <v>27</v>
      </c>
      <c r="H28" t="s">
        <v>58</v>
      </c>
      <c r="I28" s="2">
        <v>0.85</v>
      </c>
      <c r="J28" s="2">
        <v>1.2</v>
      </c>
      <c r="K28" s="2">
        <v>1.0249999999999999</v>
      </c>
      <c r="L28" s="2">
        <v>0.35</v>
      </c>
      <c r="M28" s="2">
        <v>1.0006412600626819</v>
      </c>
      <c r="N28" s="2">
        <v>0.99307923376447815</v>
      </c>
      <c r="O28" s="2">
        <v>7.5620262982042394E-3</v>
      </c>
      <c r="P28" s="2">
        <v>527.29795301045158</v>
      </c>
      <c r="Q28" s="2">
        <v>46.283890877649398</v>
      </c>
      <c r="R28" t="str">
        <f t="shared" si="0"/>
        <v>yes</v>
      </c>
      <c r="S28" t="str">
        <f t="shared" si="1"/>
        <v>yes</v>
      </c>
      <c r="T2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8" s="2" t="b">
        <f t="shared" si="2"/>
        <v>1</v>
      </c>
      <c r="V28" s="2">
        <f>IF(Table4[[#This Row],[linear?]],Table4[[#This Row],[av]],10^(Table4[[#This Row],[av]]/10))</f>
        <v>0.99686024691358033</v>
      </c>
      <c r="W28" s="2">
        <f>IF(Table4[[#This Row],[linear?]],Table4[[#This Row],[av]],10^(Table4[[#This Row],[av]]/10))</f>
        <v>0.99686024691358033</v>
      </c>
      <c r="X28" s="2">
        <f>Table4[[#This Row],[av_lin]]-2*Table4[[#This Row],[std_lin]]</f>
        <v>-0.99686024691358033</v>
      </c>
      <c r="Y28" s="2">
        <f>Table4[[#This Row],[av_lin]]+2*Table4[[#This Row],[std_lin]]</f>
        <v>2.9905807407407412</v>
      </c>
    </row>
    <row r="29" spans="1:25" x14ac:dyDescent="0.35">
      <c r="A29" s="1">
        <v>625</v>
      </c>
      <c r="B29" t="s">
        <v>75</v>
      </c>
      <c r="C29" t="s">
        <v>549</v>
      </c>
      <c r="D29" t="s">
        <v>604</v>
      </c>
      <c r="E29" s="2">
        <v>1.503118888888888</v>
      </c>
      <c r="F29" s="2">
        <v>3.6783462870456081E-3</v>
      </c>
      <c r="G29">
        <v>27</v>
      </c>
      <c r="H29" t="s">
        <v>58</v>
      </c>
      <c r="I29" s="2">
        <v>1.35</v>
      </c>
      <c r="J29" s="2">
        <v>1.65</v>
      </c>
      <c r="K29" s="2">
        <v>1.5</v>
      </c>
      <c r="L29" s="2">
        <v>0.29999999999999982</v>
      </c>
      <c r="M29" s="2">
        <v>1.5104755814629789</v>
      </c>
      <c r="N29" s="2">
        <v>1.4957621963147969</v>
      </c>
      <c r="O29" s="2">
        <v>1.471338514818221E-2</v>
      </c>
      <c r="P29" s="2">
        <v>408.63985377955538</v>
      </c>
      <c r="Q29" s="2">
        <v>20.38959742972974</v>
      </c>
      <c r="R29" t="str">
        <f t="shared" si="0"/>
        <v>yes</v>
      </c>
      <c r="S29" t="str">
        <f t="shared" si="1"/>
        <v>yes</v>
      </c>
      <c r="T2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9" s="2" t="b">
        <f t="shared" si="2"/>
        <v>1</v>
      </c>
      <c r="V29" s="2">
        <f>IF(Table4[[#This Row],[linear?]],Table4[[#This Row],[av]],10^(Table4[[#This Row],[av]]/10))</f>
        <v>1.503118888888888</v>
      </c>
      <c r="W29" s="2">
        <f>IF(Table4[[#This Row],[linear?]],Table4[[#This Row],[av]],10^(Table4[[#This Row],[av]]/10))</f>
        <v>1.503118888888888</v>
      </c>
      <c r="X29" s="2">
        <f>Table4[[#This Row],[av_lin]]-2*Table4[[#This Row],[std_lin]]</f>
        <v>-1.503118888888888</v>
      </c>
      <c r="Y29" s="2">
        <f>Table4[[#This Row],[av_lin]]+2*Table4[[#This Row],[std_lin]]</f>
        <v>4.5093566666666636</v>
      </c>
    </row>
    <row r="30" spans="1:25" x14ac:dyDescent="0.35">
      <c r="A30" s="1">
        <v>627</v>
      </c>
      <c r="B30" t="s">
        <v>75</v>
      </c>
      <c r="C30" t="s">
        <v>549</v>
      </c>
      <c r="D30" t="s">
        <v>606</v>
      </c>
      <c r="E30" s="2">
        <v>35.901233086419751</v>
      </c>
      <c r="F30" s="2">
        <v>0.1022905074949224</v>
      </c>
      <c r="G30">
        <v>27</v>
      </c>
      <c r="H30" t="s">
        <v>58</v>
      </c>
      <c r="I30" s="2">
        <v>34.5</v>
      </c>
      <c r="J30" s="2">
        <v>37</v>
      </c>
      <c r="K30" s="2">
        <v>35.75</v>
      </c>
      <c r="L30" s="2">
        <v>2.5</v>
      </c>
      <c r="M30" s="2">
        <v>36.105814101409592</v>
      </c>
      <c r="N30" s="2">
        <v>35.696652071429909</v>
      </c>
      <c r="O30" s="2">
        <v>0.40916202997968298</v>
      </c>
      <c r="P30" s="2">
        <v>350.97326199307258</v>
      </c>
      <c r="Q30" s="2">
        <v>6.1100488726291093</v>
      </c>
      <c r="R30" t="str">
        <f t="shared" si="0"/>
        <v>yes</v>
      </c>
      <c r="S30" t="str">
        <f t="shared" si="1"/>
        <v>yes</v>
      </c>
      <c r="T3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0" s="2" t="b">
        <f t="shared" si="2"/>
        <v>1</v>
      </c>
      <c r="V30" s="2">
        <f>IF(Table4[[#This Row],[linear?]],Table4[[#This Row],[av]],10^(Table4[[#This Row],[av]]/10))</f>
        <v>35.901233086419751</v>
      </c>
      <c r="W30" s="2">
        <f>IF(Table4[[#This Row],[linear?]],Table4[[#This Row],[av]],10^(Table4[[#This Row],[av]]/10))</f>
        <v>35.901233086419751</v>
      </c>
      <c r="X30" s="2">
        <f>Table4[[#This Row],[av_lin]]-2*Table4[[#This Row],[std_lin]]</f>
        <v>-35.901233086419751</v>
      </c>
      <c r="Y30" s="2">
        <f>Table4[[#This Row],[av_lin]]+2*Table4[[#This Row],[std_lin]]</f>
        <v>107.70369925925925</v>
      </c>
    </row>
    <row r="31" spans="1:25" x14ac:dyDescent="0.35">
      <c r="A31" s="1">
        <v>629</v>
      </c>
      <c r="B31" t="s">
        <v>75</v>
      </c>
      <c r="C31" t="s">
        <v>549</v>
      </c>
      <c r="D31" t="s">
        <v>608</v>
      </c>
      <c r="E31" s="2">
        <v>0.99771728395061721</v>
      </c>
      <c r="F31" s="2">
        <v>2.5892977953418041E-3</v>
      </c>
      <c r="G31">
        <v>27</v>
      </c>
      <c r="H31" t="s">
        <v>58</v>
      </c>
      <c r="I31" s="2">
        <v>0.85</v>
      </c>
      <c r="J31" s="2">
        <v>1.2</v>
      </c>
      <c r="K31" s="2">
        <v>1.0249999999999999</v>
      </c>
      <c r="L31" s="2">
        <v>0.35</v>
      </c>
      <c r="M31" s="2">
        <v>1.002895879541301</v>
      </c>
      <c r="N31" s="2">
        <v>0.99253868835993364</v>
      </c>
      <c r="O31" s="2">
        <v>1.035719118136713E-2</v>
      </c>
      <c r="P31" s="2">
        <v>385.32349803314611</v>
      </c>
      <c r="Q31" s="2">
        <v>33.792945777582972</v>
      </c>
      <c r="R31" t="str">
        <f t="shared" si="0"/>
        <v>yes</v>
      </c>
      <c r="S31" t="str">
        <f t="shared" si="1"/>
        <v>yes</v>
      </c>
      <c r="T3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1" s="2" t="b">
        <f t="shared" si="2"/>
        <v>1</v>
      </c>
      <c r="V31" s="2">
        <f>IF(Table4[[#This Row],[linear?]],Table4[[#This Row],[av]],10^(Table4[[#This Row],[av]]/10))</f>
        <v>0.99771728395061721</v>
      </c>
      <c r="W31" s="2">
        <f>IF(Table4[[#This Row],[linear?]],Table4[[#This Row],[av]],10^(Table4[[#This Row],[av]]/10))</f>
        <v>0.99771728395061721</v>
      </c>
      <c r="X31" s="2">
        <f>Table4[[#This Row],[av_lin]]-2*Table4[[#This Row],[std_lin]]</f>
        <v>-0.99771728395061721</v>
      </c>
      <c r="Y31" s="2">
        <f>Table4[[#This Row],[av_lin]]+2*Table4[[#This Row],[std_lin]]</f>
        <v>2.9931518518518514</v>
      </c>
    </row>
    <row r="32" spans="1:25" x14ac:dyDescent="0.35">
      <c r="A32" s="1">
        <v>631</v>
      </c>
      <c r="B32" t="s">
        <v>75</v>
      </c>
      <c r="C32" t="s">
        <v>549</v>
      </c>
      <c r="D32" t="s">
        <v>610</v>
      </c>
      <c r="E32" s="2">
        <v>1.5008838271604941</v>
      </c>
      <c r="F32" s="2">
        <v>2.9116046227212092E-3</v>
      </c>
      <c r="G32">
        <v>27</v>
      </c>
      <c r="H32" t="s">
        <v>58</v>
      </c>
      <c r="I32" s="2">
        <v>1.35</v>
      </c>
      <c r="J32" s="2">
        <v>1.65</v>
      </c>
      <c r="K32" s="2">
        <v>1.5</v>
      </c>
      <c r="L32" s="2">
        <v>0.29999999999999982</v>
      </c>
      <c r="M32" s="2">
        <v>1.506707036405937</v>
      </c>
      <c r="N32" s="2">
        <v>1.4950606179150521</v>
      </c>
      <c r="O32" s="2">
        <v>1.164641849088488E-2</v>
      </c>
      <c r="P32" s="2">
        <v>515.4833920265437</v>
      </c>
      <c r="Q32" s="2">
        <v>25.758991936859911</v>
      </c>
      <c r="R32" t="str">
        <f t="shared" si="0"/>
        <v>yes</v>
      </c>
      <c r="S32" t="str">
        <f t="shared" si="1"/>
        <v>yes</v>
      </c>
      <c r="T3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2" s="2" t="b">
        <f t="shared" si="2"/>
        <v>1</v>
      </c>
      <c r="V32" s="2">
        <f>IF(Table4[[#This Row],[linear?]],Table4[[#This Row],[av]],10^(Table4[[#This Row],[av]]/10))</f>
        <v>1.5008838271604941</v>
      </c>
      <c r="W32" s="2">
        <f>IF(Table4[[#This Row],[linear?]],Table4[[#This Row],[av]],10^(Table4[[#This Row],[av]]/10))</f>
        <v>1.5008838271604941</v>
      </c>
      <c r="X32" s="2">
        <f>Table4[[#This Row],[av_lin]]-2*Table4[[#This Row],[std_lin]]</f>
        <v>-1.5008838271604941</v>
      </c>
      <c r="Y32" s="2">
        <f>Table4[[#This Row],[av_lin]]+2*Table4[[#This Row],[std_lin]]</f>
        <v>4.5026514814814824</v>
      </c>
    </row>
    <row r="33" spans="1:25" x14ac:dyDescent="0.35">
      <c r="A33" s="1">
        <v>633</v>
      </c>
      <c r="B33" t="s">
        <v>75</v>
      </c>
      <c r="C33" t="s">
        <v>549</v>
      </c>
      <c r="D33" t="s">
        <v>612</v>
      </c>
      <c r="E33" s="2">
        <v>35.927605679012338</v>
      </c>
      <c r="F33" s="2">
        <v>6.3208408834077537E-2</v>
      </c>
      <c r="G33">
        <v>27</v>
      </c>
      <c r="H33" t="s">
        <v>58</v>
      </c>
      <c r="I33" s="2">
        <v>34.5</v>
      </c>
      <c r="J33" s="2">
        <v>37</v>
      </c>
      <c r="K33" s="2">
        <v>35.75</v>
      </c>
      <c r="L33" s="2">
        <v>2.5</v>
      </c>
      <c r="M33" s="2">
        <v>36.054022496680503</v>
      </c>
      <c r="N33" s="2">
        <v>35.80118886134418</v>
      </c>
      <c r="O33" s="2">
        <v>0.25283363533631592</v>
      </c>
      <c r="P33" s="2">
        <v>568.39914722932713</v>
      </c>
      <c r="Q33" s="2">
        <v>9.8879249063303387</v>
      </c>
      <c r="R33" t="str">
        <f t="shared" si="0"/>
        <v>yes</v>
      </c>
      <c r="S33" t="str">
        <f t="shared" si="1"/>
        <v>yes</v>
      </c>
      <c r="T3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3" s="2" t="b">
        <f t="shared" si="2"/>
        <v>1</v>
      </c>
      <c r="V33" s="2">
        <f>IF(Table4[[#This Row],[linear?]],Table4[[#This Row],[av]],10^(Table4[[#This Row],[av]]/10))</f>
        <v>35.927605679012338</v>
      </c>
      <c r="W33" s="2">
        <f>IF(Table4[[#This Row],[linear?]],Table4[[#This Row],[av]],10^(Table4[[#This Row],[av]]/10))</f>
        <v>35.927605679012338</v>
      </c>
      <c r="X33" s="2">
        <f>Table4[[#This Row],[av_lin]]-2*Table4[[#This Row],[std_lin]]</f>
        <v>-35.927605679012338</v>
      </c>
      <c r="Y33" s="2">
        <f>Table4[[#This Row],[av_lin]]+2*Table4[[#This Row],[std_lin]]</f>
        <v>107.78281703703701</v>
      </c>
    </row>
    <row r="34" spans="1:25" x14ac:dyDescent="0.35">
      <c r="A34" s="1">
        <v>634</v>
      </c>
      <c r="B34" t="s">
        <v>75</v>
      </c>
      <c r="C34" t="s">
        <v>549</v>
      </c>
      <c r="D34" t="s">
        <v>613</v>
      </c>
      <c r="E34" s="2">
        <v>1.807033703703703</v>
      </c>
      <c r="F34" s="2">
        <v>5.4886431794932402E-3</v>
      </c>
      <c r="G34">
        <v>27</v>
      </c>
      <c r="H34" t="s">
        <v>58</v>
      </c>
      <c r="I34" s="2">
        <v>1.62</v>
      </c>
      <c r="J34" s="2">
        <v>1.98</v>
      </c>
      <c r="K34" s="2">
        <v>1.8</v>
      </c>
      <c r="L34" s="2">
        <v>0.35999999999999988</v>
      </c>
      <c r="M34" s="2">
        <v>1.81801099006269</v>
      </c>
      <c r="N34" s="2">
        <v>1.796056417344716</v>
      </c>
      <c r="O34" s="2">
        <v>2.1954572717973079E-2</v>
      </c>
      <c r="P34" s="2">
        <v>329.23140466758201</v>
      </c>
      <c r="Q34" s="2">
        <v>16.397495165336849</v>
      </c>
      <c r="R34" t="str">
        <f t="shared" si="0"/>
        <v>yes</v>
      </c>
      <c r="S34" t="str">
        <f t="shared" si="1"/>
        <v>yes</v>
      </c>
      <c r="T3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4" s="2" t="b">
        <f t="shared" si="2"/>
        <v>1</v>
      </c>
      <c r="V34" s="2">
        <f>IF(Table4[[#This Row],[linear?]],Table4[[#This Row],[av]],10^(Table4[[#This Row],[av]]/10))</f>
        <v>1.807033703703703</v>
      </c>
      <c r="W34" s="2">
        <f>IF(Table4[[#This Row],[linear?]],Table4[[#This Row],[av]],10^(Table4[[#This Row],[av]]/10))</f>
        <v>1.807033703703703</v>
      </c>
      <c r="X34" s="2">
        <f>Table4[[#This Row],[av_lin]]-2*Table4[[#This Row],[std_lin]]</f>
        <v>-1.807033703703703</v>
      </c>
      <c r="Y34" s="2">
        <f>Table4[[#This Row],[av_lin]]+2*Table4[[#This Row],[std_lin]]</f>
        <v>5.4211011111111089</v>
      </c>
    </row>
    <row r="35" spans="1:25" x14ac:dyDescent="0.35">
      <c r="A35" s="1">
        <v>639</v>
      </c>
      <c r="B35" t="s">
        <v>75</v>
      </c>
      <c r="C35" t="s">
        <v>549</v>
      </c>
      <c r="D35" t="s">
        <v>618</v>
      </c>
      <c r="E35" s="2">
        <v>3.981052345679013</v>
      </c>
      <c r="F35" s="2">
        <v>1.3721538567181229E-2</v>
      </c>
      <c r="G35">
        <v>27</v>
      </c>
      <c r="H35" t="s">
        <v>58</v>
      </c>
      <c r="I35" s="2">
        <v>3.6</v>
      </c>
      <c r="J35" s="2">
        <v>4.4000000000000004</v>
      </c>
      <c r="K35" s="2">
        <v>4</v>
      </c>
      <c r="L35" s="2">
        <v>0.80000000000000027</v>
      </c>
      <c r="M35" s="2">
        <v>4.0084954228133753</v>
      </c>
      <c r="N35" s="2">
        <v>3.9536092685446511</v>
      </c>
      <c r="O35" s="2">
        <v>5.4886154268724667E-2</v>
      </c>
      <c r="P35" s="2">
        <v>290.13162964106488</v>
      </c>
      <c r="Q35" s="2">
        <v>14.575624957856769</v>
      </c>
      <c r="R35" t="str">
        <f t="shared" si="0"/>
        <v>yes</v>
      </c>
      <c r="S35" t="str">
        <f t="shared" si="1"/>
        <v>yes</v>
      </c>
      <c r="T3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5" s="2" t="b">
        <f t="shared" si="2"/>
        <v>1</v>
      </c>
      <c r="V35" s="2">
        <f>IF(Table4[[#This Row],[linear?]],Table4[[#This Row],[av]],10^(Table4[[#This Row],[av]]/10))</f>
        <v>3.981052345679013</v>
      </c>
      <c r="W35" s="2">
        <f>IF(Table4[[#This Row],[linear?]],Table4[[#This Row],[av]],10^(Table4[[#This Row],[av]]/10))</f>
        <v>3.981052345679013</v>
      </c>
      <c r="X35" s="2">
        <f>Table4[[#This Row],[av_lin]]-2*Table4[[#This Row],[std_lin]]</f>
        <v>-3.981052345679013</v>
      </c>
      <c r="Y35" s="2">
        <f>Table4[[#This Row],[av_lin]]+2*Table4[[#This Row],[std_lin]]</f>
        <v>11.943157037037039</v>
      </c>
    </row>
    <row r="36" spans="1:25" x14ac:dyDescent="0.35">
      <c r="A36" s="1">
        <v>643</v>
      </c>
      <c r="B36" t="s">
        <v>75</v>
      </c>
      <c r="C36" t="s">
        <v>549</v>
      </c>
      <c r="D36" t="s">
        <v>622</v>
      </c>
      <c r="E36" s="2">
        <v>1.805436296296296</v>
      </c>
      <c r="F36" s="2">
        <v>5.9682071489826211E-3</v>
      </c>
      <c r="G36">
        <v>27</v>
      </c>
      <c r="H36" t="s">
        <v>58</v>
      </c>
      <c r="I36" s="2">
        <v>1.62</v>
      </c>
      <c r="J36" s="2">
        <v>1.98</v>
      </c>
      <c r="K36" s="2">
        <v>1.8</v>
      </c>
      <c r="L36" s="2">
        <v>0.35999999999999988</v>
      </c>
      <c r="M36" s="2">
        <v>1.817372710594261</v>
      </c>
      <c r="N36" s="2">
        <v>1.793499881998331</v>
      </c>
      <c r="O36" s="2">
        <v>2.3872828595930429E-2</v>
      </c>
      <c r="P36" s="2">
        <v>302.50898657297148</v>
      </c>
      <c r="Q36" s="2">
        <v>15.079905531654029</v>
      </c>
      <c r="R36" t="str">
        <f t="shared" si="0"/>
        <v>yes</v>
      </c>
      <c r="S36" t="str">
        <f t="shared" si="1"/>
        <v>yes</v>
      </c>
      <c r="T3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6" s="2" t="b">
        <f t="shared" si="2"/>
        <v>1</v>
      </c>
      <c r="V36" s="2">
        <f>IF(Table4[[#This Row],[linear?]],Table4[[#This Row],[av]],10^(Table4[[#This Row],[av]]/10))</f>
        <v>1.805436296296296</v>
      </c>
      <c r="W36" s="2">
        <f>IF(Table4[[#This Row],[linear?]],Table4[[#This Row],[av]],10^(Table4[[#This Row],[av]]/10))</f>
        <v>1.805436296296296</v>
      </c>
      <c r="X36" s="2">
        <f>Table4[[#This Row],[av_lin]]-2*Table4[[#This Row],[std_lin]]</f>
        <v>-1.805436296296296</v>
      </c>
      <c r="Y36" s="2">
        <f>Table4[[#This Row],[av_lin]]+2*Table4[[#This Row],[std_lin]]</f>
        <v>5.4163088888888877</v>
      </c>
    </row>
    <row r="37" spans="1:25" x14ac:dyDescent="0.35">
      <c r="A37" s="1">
        <v>648</v>
      </c>
      <c r="B37" t="s">
        <v>75</v>
      </c>
      <c r="C37" t="s">
        <v>549</v>
      </c>
      <c r="D37" t="s">
        <v>627</v>
      </c>
      <c r="E37" s="2">
        <v>3.9755804938271608</v>
      </c>
      <c r="F37" s="2">
        <v>9.8846700779517561E-3</v>
      </c>
      <c r="G37">
        <v>27</v>
      </c>
      <c r="H37" t="s">
        <v>58</v>
      </c>
      <c r="I37" s="2">
        <v>3.6</v>
      </c>
      <c r="J37" s="2">
        <v>4.4000000000000004</v>
      </c>
      <c r="K37" s="2">
        <v>4</v>
      </c>
      <c r="L37" s="2">
        <v>0.80000000000000027</v>
      </c>
      <c r="M37" s="2">
        <v>3.995349833983064</v>
      </c>
      <c r="N37" s="2">
        <v>3.9558111536712568</v>
      </c>
      <c r="O37" s="2">
        <v>3.9538680311807177E-2</v>
      </c>
      <c r="P37" s="2">
        <v>402.19657939771702</v>
      </c>
      <c r="Q37" s="2">
        <v>20.23335108028634</v>
      </c>
      <c r="R37" t="str">
        <f t="shared" si="0"/>
        <v>yes</v>
      </c>
      <c r="S37" t="str">
        <f t="shared" si="1"/>
        <v>yes</v>
      </c>
      <c r="T3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7" s="2" t="b">
        <f t="shared" si="2"/>
        <v>1</v>
      </c>
      <c r="V37" s="2">
        <f>IF(Table4[[#This Row],[linear?]],Table4[[#This Row],[av]],10^(Table4[[#This Row],[av]]/10))</f>
        <v>3.9755804938271608</v>
      </c>
      <c r="W37" s="2">
        <f>IF(Table4[[#This Row],[linear?]],Table4[[#This Row],[av]],10^(Table4[[#This Row],[av]]/10))</f>
        <v>3.9755804938271608</v>
      </c>
      <c r="X37" s="2">
        <f>Table4[[#This Row],[av_lin]]-2*Table4[[#This Row],[std_lin]]</f>
        <v>-3.9755804938271608</v>
      </c>
      <c r="Y37" s="2">
        <f>Table4[[#This Row],[av_lin]]+2*Table4[[#This Row],[std_lin]]</f>
        <v>11.926741481481482</v>
      </c>
    </row>
    <row r="38" spans="1:25" x14ac:dyDescent="0.35">
      <c r="A38" s="1">
        <v>652</v>
      </c>
      <c r="B38" t="s">
        <v>75</v>
      </c>
      <c r="C38" t="s">
        <v>549</v>
      </c>
      <c r="D38" t="s">
        <v>631</v>
      </c>
      <c r="E38" s="2">
        <v>1.802168518518519</v>
      </c>
      <c r="F38" s="2">
        <v>4.0303118133450978E-3</v>
      </c>
      <c r="G38">
        <v>27</v>
      </c>
      <c r="H38" t="s">
        <v>58</v>
      </c>
      <c r="I38" s="2">
        <v>1.62</v>
      </c>
      <c r="J38" s="2">
        <v>1.98</v>
      </c>
      <c r="K38" s="2">
        <v>1.8</v>
      </c>
      <c r="L38" s="2">
        <v>0.35999999999999988</v>
      </c>
      <c r="M38" s="2">
        <v>1.810229142145209</v>
      </c>
      <c r="N38" s="2">
        <v>1.794107894891829</v>
      </c>
      <c r="O38" s="2">
        <v>1.6121247253380488E-2</v>
      </c>
      <c r="P38" s="2">
        <v>447.15362036039249</v>
      </c>
      <c r="Q38" s="2">
        <v>22.330778403296989</v>
      </c>
      <c r="R38" t="str">
        <f t="shared" si="0"/>
        <v>yes</v>
      </c>
      <c r="S38" t="str">
        <f t="shared" si="1"/>
        <v>yes</v>
      </c>
      <c r="T3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8" s="2" t="b">
        <f t="shared" si="2"/>
        <v>1</v>
      </c>
      <c r="V38" s="2">
        <f>IF(Table4[[#This Row],[linear?]],Table4[[#This Row],[av]],10^(Table4[[#This Row],[av]]/10))</f>
        <v>1.802168518518519</v>
      </c>
      <c r="W38" s="2">
        <f>IF(Table4[[#This Row],[linear?]],Table4[[#This Row],[av]],10^(Table4[[#This Row],[av]]/10))</f>
        <v>1.802168518518519</v>
      </c>
      <c r="X38" s="2">
        <f>Table4[[#This Row],[av_lin]]-2*Table4[[#This Row],[std_lin]]</f>
        <v>-1.802168518518519</v>
      </c>
      <c r="Y38" s="2">
        <f>Table4[[#This Row],[av_lin]]+2*Table4[[#This Row],[std_lin]]</f>
        <v>5.4065055555555572</v>
      </c>
    </row>
    <row r="39" spans="1:25" x14ac:dyDescent="0.35">
      <c r="A39" s="1">
        <v>657</v>
      </c>
      <c r="B39" t="s">
        <v>75</v>
      </c>
      <c r="C39" t="s">
        <v>549</v>
      </c>
      <c r="D39" t="s">
        <v>636</v>
      </c>
      <c r="E39" s="2">
        <v>3.972071481481481</v>
      </c>
      <c r="F39" s="2">
        <v>8.1843392628627078E-3</v>
      </c>
      <c r="G39">
        <v>27</v>
      </c>
      <c r="H39" t="s">
        <v>58</v>
      </c>
      <c r="I39" s="2">
        <v>3.6</v>
      </c>
      <c r="J39" s="2">
        <v>4.4000000000000004</v>
      </c>
      <c r="K39" s="2">
        <v>4</v>
      </c>
      <c r="L39" s="2">
        <v>0.80000000000000027</v>
      </c>
      <c r="M39" s="2">
        <v>3.9884401600072059</v>
      </c>
      <c r="N39" s="2">
        <v>3.9557028029557562</v>
      </c>
      <c r="O39" s="2">
        <v>3.2737357051450637E-2</v>
      </c>
      <c r="P39" s="2">
        <v>485.32585880269772</v>
      </c>
      <c r="Q39" s="2">
        <v>24.43691464594119</v>
      </c>
      <c r="R39" t="str">
        <f t="shared" si="0"/>
        <v>yes</v>
      </c>
      <c r="S39" t="str">
        <f t="shared" si="1"/>
        <v>yes</v>
      </c>
      <c r="T3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9" s="2" t="b">
        <f t="shared" si="2"/>
        <v>1</v>
      </c>
      <c r="V39" s="2">
        <f>IF(Table4[[#This Row],[linear?]],Table4[[#This Row],[av]],10^(Table4[[#This Row],[av]]/10))</f>
        <v>3.972071481481481</v>
      </c>
      <c r="W39" s="2">
        <f>IF(Table4[[#This Row],[linear?]],Table4[[#This Row],[av]],10^(Table4[[#This Row],[av]]/10))</f>
        <v>3.972071481481481</v>
      </c>
      <c r="X39" s="2">
        <f>Table4[[#This Row],[av_lin]]-2*Table4[[#This Row],[std_lin]]</f>
        <v>-3.972071481481481</v>
      </c>
      <c r="Y39" s="2">
        <f>Table4[[#This Row],[av_lin]]+2*Table4[[#This Row],[std_lin]]</f>
        <v>11.916214444444442</v>
      </c>
    </row>
    <row r="40" spans="1:25" x14ac:dyDescent="0.35">
      <c r="A40" s="1">
        <v>662</v>
      </c>
      <c r="B40" t="s">
        <v>75</v>
      </c>
      <c r="C40" t="s">
        <v>549</v>
      </c>
      <c r="D40" t="s">
        <v>641</v>
      </c>
      <c r="E40" s="2">
        <v>0.99626691358024688</v>
      </c>
      <c r="F40" s="2">
        <v>1.695569188437275E-3</v>
      </c>
      <c r="G40">
        <v>27</v>
      </c>
      <c r="H40" t="s">
        <v>58</v>
      </c>
      <c r="I40" s="2">
        <v>0.85</v>
      </c>
      <c r="J40" s="2">
        <v>1.2</v>
      </c>
      <c r="K40" s="2">
        <v>1.0249999999999999</v>
      </c>
      <c r="L40" s="2">
        <v>0.35</v>
      </c>
      <c r="M40" s="2">
        <v>0.99965805195712143</v>
      </c>
      <c r="N40" s="2">
        <v>0.99287577520337233</v>
      </c>
      <c r="O40" s="2">
        <v>6.7822767537490947E-3</v>
      </c>
      <c r="P40" s="2">
        <v>587.57078176117273</v>
      </c>
      <c r="Q40" s="2">
        <v>51.605089663515663</v>
      </c>
      <c r="R40" t="str">
        <f t="shared" si="0"/>
        <v>yes</v>
      </c>
      <c r="S40" t="str">
        <f t="shared" si="1"/>
        <v>yes</v>
      </c>
      <c r="T4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0" s="2" t="b">
        <f t="shared" si="2"/>
        <v>1</v>
      </c>
      <c r="V40" s="2">
        <f>IF(Table4[[#This Row],[linear?]],Table4[[#This Row],[av]],10^(Table4[[#This Row],[av]]/10))</f>
        <v>0.99626691358024688</v>
      </c>
      <c r="W40" s="2">
        <f>IF(Table4[[#This Row],[linear?]],Table4[[#This Row],[av]],10^(Table4[[#This Row],[av]]/10))</f>
        <v>0.99626691358024688</v>
      </c>
      <c r="X40" s="2">
        <f>Table4[[#This Row],[av_lin]]-2*Table4[[#This Row],[std_lin]]</f>
        <v>-0.99626691358024688</v>
      </c>
      <c r="Y40" s="2">
        <f>Table4[[#This Row],[av_lin]]+2*Table4[[#This Row],[std_lin]]</f>
        <v>2.9888007407407406</v>
      </c>
    </row>
    <row r="41" spans="1:25" x14ac:dyDescent="0.35">
      <c r="A41" s="1">
        <v>664</v>
      </c>
      <c r="B41" t="s">
        <v>75</v>
      </c>
      <c r="C41" t="s">
        <v>549</v>
      </c>
      <c r="D41" t="s">
        <v>643</v>
      </c>
      <c r="E41" s="2">
        <v>1.499985308641975</v>
      </c>
      <c r="F41" s="2">
        <v>3.087286291633158E-3</v>
      </c>
      <c r="G41">
        <v>27</v>
      </c>
      <c r="H41" t="s">
        <v>58</v>
      </c>
      <c r="I41" s="2">
        <v>1.35</v>
      </c>
      <c r="J41" s="2">
        <v>1.65</v>
      </c>
      <c r="K41" s="2">
        <v>1.5</v>
      </c>
      <c r="L41" s="2">
        <v>0.29999999999999982</v>
      </c>
      <c r="M41" s="2">
        <v>1.506159881225241</v>
      </c>
      <c r="N41" s="2">
        <v>1.493810736058709</v>
      </c>
      <c r="O41" s="2">
        <v>1.2349145166532519E-2</v>
      </c>
      <c r="P41" s="2">
        <v>485.85883100866897</v>
      </c>
      <c r="Q41" s="2">
        <v>24.29317948363191</v>
      </c>
      <c r="R41" t="str">
        <f t="shared" si="0"/>
        <v>yes</v>
      </c>
      <c r="S41" t="str">
        <f t="shared" si="1"/>
        <v>yes</v>
      </c>
      <c r="T4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1" s="2" t="b">
        <f t="shared" si="2"/>
        <v>1</v>
      </c>
      <c r="V41" s="2">
        <f>IF(Table4[[#This Row],[linear?]],Table4[[#This Row],[av]],10^(Table4[[#This Row],[av]]/10))</f>
        <v>1.499985308641975</v>
      </c>
      <c r="W41" s="2">
        <f>IF(Table4[[#This Row],[linear?]],Table4[[#This Row],[av]],10^(Table4[[#This Row],[av]]/10))</f>
        <v>1.499985308641975</v>
      </c>
      <c r="X41" s="2">
        <f>Table4[[#This Row],[av_lin]]-2*Table4[[#This Row],[std_lin]]</f>
        <v>-1.499985308641975</v>
      </c>
      <c r="Y41" s="2">
        <f>Table4[[#This Row],[av_lin]]+2*Table4[[#This Row],[std_lin]]</f>
        <v>4.4999559259259252</v>
      </c>
    </row>
    <row r="42" spans="1:25" x14ac:dyDescent="0.35">
      <c r="A42" s="1">
        <v>666</v>
      </c>
      <c r="B42" t="s">
        <v>75</v>
      </c>
      <c r="C42" t="s">
        <v>549</v>
      </c>
      <c r="D42" t="s">
        <v>645</v>
      </c>
      <c r="E42" s="2">
        <v>35.83708037037038</v>
      </c>
      <c r="F42" s="2">
        <v>0.1059490486297669</v>
      </c>
      <c r="G42">
        <v>27</v>
      </c>
      <c r="H42" t="s">
        <v>58</v>
      </c>
      <c r="I42" s="2">
        <v>34.5</v>
      </c>
      <c r="J42" s="2">
        <v>37</v>
      </c>
      <c r="K42" s="2">
        <v>35.75</v>
      </c>
      <c r="L42" s="2">
        <v>2.5</v>
      </c>
      <c r="M42" s="2">
        <v>36.048978467629922</v>
      </c>
      <c r="N42" s="2">
        <v>35.625182273110838</v>
      </c>
      <c r="O42" s="2">
        <v>0.42379619451907052</v>
      </c>
      <c r="P42" s="2">
        <v>338.24825077572029</v>
      </c>
      <c r="Q42" s="2">
        <v>5.8990619366864134</v>
      </c>
      <c r="R42" t="str">
        <f t="shared" si="0"/>
        <v>yes</v>
      </c>
      <c r="S42" t="str">
        <f t="shared" si="1"/>
        <v>yes</v>
      </c>
      <c r="T4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2" s="2" t="b">
        <f t="shared" si="2"/>
        <v>1</v>
      </c>
      <c r="V42" s="2">
        <f>IF(Table4[[#This Row],[linear?]],Table4[[#This Row],[av]],10^(Table4[[#This Row],[av]]/10))</f>
        <v>35.83708037037038</v>
      </c>
      <c r="W42" s="2">
        <f>IF(Table4[[#This Row],[linear?]],Table4[[#This Row],[av]],10^(Table4[[#This Row],[av]]/10))</f>
        <v>35.83708037037038</v>
      </c>
      <c r="X42" s="2">
        <f>Table4[[#This Row],[av_lin]]-2*Table4[[#This Row],[std_lin]]</f>
        <v>-35.83708037037038</v>
      </c>
      <c r="Y42" s="2">
        <f>Table4[[#This Row],[av_lin]]+2*Table4[[#This Row],[std_lin]]</f>
        <v>107.51124111111113</v>
      </c>
    </row>
    <row r="43" spans="1:25" x14ac:dyDescent="0.35">
      <c r="A43" s="1">
        <v>668</v>
      </c>
      <c r="B43" t="s">
        <v>75</v>
      </c>
      <c r="C43" t="s">
        <v>549</v>
      </c>
      <c r="D43" t="s">
        <v>647</v>
      </c>
      <c r="E43" s="2">
        <v>0.99738037037037031</v>
      </c>
      <c r="F43" s="2">
        <v>1.1952187209498619E-3</v>
      </c>
      <c r="G43">
        <v>27</v>
      </c>
      <c r="H43" t="s">
        <v>58</v>
      </c>
      <c r="I43" s="2">
        <v>0.85</v>
      </c>
      <c r="J43" s="2">
        <v>1.2</v>
      </c>
      <c r="K43" s="2">
        <v>1.0249999999999999</v>
      </c>
      <c r="L43" s="2">
        <v>0.35</v>
      </c>
      <c r="M43" s="2">
        <v>0.99977080781227001</v>
      </c>
      <c r="N43" s="2">
        <v>0.9949899329284706</v>
      </c>
      <c r="O43" s="2">
        <v>4.7808748837994131E-3</v>
      </c>
      <c r="P43" s="2">
        <v>834.47519093219535</v>
      </c>
      <c r="Q43" s="2">
        <v>73.208357990295525</v>
      </c>
      <c r="R43" t="str">
        <f t="shared" si="0"/>
        <v>yes</v>
      </c>
      <c r="S43" t="str">
        <f t="shared" si="1"/>
        <v>yes</v>
      </c>
      <c r="T4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3" s="2" t="b">
        <f t="shared" si="2"/>
        <v>1</v>
      </c>
      <c r="V43" s="2">
        <f>IF(Table4[[#This Row],[linear?]],Table4[[#This Row],[av]],10^(Table4[[#This Row],[av]]/10))</f>
        <v>0.99738037037037031</v>
      </c>
      <c r="W43" s="2">
        <f>IF(Table4[[#This Row],[linear?]],Table4[[#This Row],[av]],10^(Table4[[#This Row],[av]]/10))</f>
        <v>0.99738037037037031</v>
      </c>
      <c r="X43" s="2">
        <f>Table4[[#This Row],[av_lin]]-2*Table4[[#This Row],[std_lin]]</f>
        <v>-0.99738037037037031</v>
      </c>
      <c r="Y43" s="2">
        <f>Table4[[#This Row],[av_lin]]+2*Table4[[#This Row],[std_lin]]</f>
        <v>2.9921411111111107</v>
      </c>
    </row>
    <row r="44" spans="1:25" x14ac:dyDescent="0.35">
      <c r="A44" s="1">
        <v>670</v>
      </c>
      <c r="B44" t="s">
        <v>75</v>
      </c>
      <c r="C44" t="s">
        <v>549</v>
      </c>
      <c r="D44" t="s">
        <v>649</v>
      </c>
      <c r="E44" s="2">
        <v>1.501698765432099</v>
      </c>
      <c r="F44" s="2">
        <v>2.8201116648276579E-3</v>
      </c>
      <c r="G44">
        <v>27</v>
      </c>
      <c r="H44" t="s">
        <v>58</v>
      </c>
      <c r="I44" s="2">
        <v>1.35</v>
      </c>
      <c r="J44" s="2">
        <v>1.65</v>
      </c>
      <c r="K44" s="2">
        <v>1.5</v>
      </c>
      <c r="L44" s="2">
        <v>0.29999999999999982</v>
      </c>
      <c r="M44" s="2">
        <v>1.5073389887617541</v>
      </c>
      <c r="N44" s="2">
        <v>1.4960585421024439</v>
      </c>
      <c r="O44" s="2">
        <v>1.1280446659310611E-2</v>
      </c>
      <c r="P44" s="2">
        <v>532.49620721095471</v>
      </c>
      <c r="Q44" s="2">
        <v>26.594691598704301</v>
      </c>
      <c r="R44" t="str">
        <f t="shared" si="0"/>
        <v>yes</v>
      </c>
      <c r="S44" t="str">
        <f t="shared" si="1"/>
        <v>yes</v>
      </c>
      <c r="T4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4" s="2" t="b">
        <f t="shared" si="2"/>
        <v>1</v>
      </c>
      <c r="V44" s="2">
        <f>IF(Table4[[#This Row],[linear?]],Table4[[#This Row],[av]],10^(Table4[[#This Row],[av]]/10))</f>
        <v>1.501698765432099</v>
      </c>
      <c r="W44" s="2">
        <f>IF(Table4[[#This Row],[linear?]],Table4[[#This Row],[av]],10^(Table4[[#This Row],[av]]/10))</f>
        <v>1.501698765432099</v>
      </c>
      <c r="X44" s="2">
        <f>Table4[[#This Row],[av_lin]]-2*Table4[[#This Row],[std_lin]]</f>
        <v>-1.501698765432099</v>
      </c>
      <c r="Y44" s="2">
        <f>Table4[[#This Row],[av_lin]]+2*Table4[[#This Row],[std_lin]]</f>
        <v>4.5050962962962968</v>
      </c>
    </row>
    <row r="45" spans="1:25" x14ac:dyDescent="0.35">
      <c r="A45" s="1">
        <v>672</v>
      </c>
      <c r="B45" t="s">
        <v>75</v>
      </c>
      <c r="C45" t="s">
        <v>549</v>
      </c>
      <c r="D45" t="s">
        <v>651</v>
      </c>
      <c r="E45" s="2">
        <v>35.929459135802468</v>
      </c>
      <c r="F45" s="2">
        <v>8.1653310808986232E-2</v>
      </c>
      <c r="G45">
        <v>27</v>
      </c>
      <c r="H45" t="s">
        <v>58</v>
      </c>
      <c r="I45" s="2">
        <v>34.5</v>
      </c>
      <c r="J45" s="2">
        <v>37</v>
      </c>
      <c r="K45" s="2">
        <v>35.75</v>
      </c>
      <c r="L45" s="2">
        <v>2.5</v>
      </c>
      <c r="M45" s="2">
        <v>36.092765757420437</v>
      </c>
      <c r="N45" s="2">
        <v>35.766152514184498</v>
      </c>
      <c r="O45" s="2">
        <v>0.32661324323593988</v>
      </c>
      <c r="P45" s="2">
        <v>440.02452294743091</v>
      </c>
      <c r="Q45" s="2">
        <v>7.6543130193714841</v>
      </c>
      <c r="R45" t="str">
        <f t="shared" si="0"/>
        <v>yes</v>
      </c>
      <c r="S45" t="str">
        <f t="shared" si="1"/>
        <v>yes</v>
      </c>
      <c r="T4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5" s="2" t="b">
        <f t="shared" si="2"/>
        <v>1</v>
      </c>
      <c r="V45" s="2">
        <f>IF(Table4[[#This Row],[linear?]],Table4[[#This Row],[av]],10^(Table4[[#This Row],[av]]/10))</f>
        <v>35.929459135802468</v>
      </c>
      <c r="W45" s="2">
        <f>IF(Table4[[#This Row],[linear?]],Table4[[#This Row],[av]],10^(Table4[[#This Row],[av]]/10))</f>
        <v>35.929459135802468</v>
      </c>
      <c r="X45" s="2">
        <f>Table4[[#This Row],[av_lin]]-2*Table4[[#This Row],[std_lin]]</f>
        <v>-35.929459135802468</v>
      </c>
      <c r="Y45" s="2">
        <f>Table4[[#This Row],[av_lin]]+2*Table4[[#This Row],[std_lin]]</f>
        <v>107.78837740740741</v>
      </c>
    </row>
    <row r="46" spans="1:25" x14ac:dyDescent="0.35">
      <c r="A46" s="1">
        <v>674</v>
      </c>
      <c r="B46" t="s">
        <v>75</v>
      </c>
      <c r="C46" t="s">
        <v>549</v>
      </c>
      <c r="D46" t="s">
        <v>653</v>
      </c>
      <c r="E46" s="2">
        <v>0.99525888888888903</v>
      </c>
      <c r="F46" s="2">
        <v>2.3795019180319851E-3</v>
      </c>
      <c r="G46">
        <v>27</v>
      </c>
      <c r="H46" t="s">
        <v>58</v>
      </c>
      <c r="I46" s="2">
        <v>0.85</v>
      </c>
      <c r="J46" s="2">
        <v>1.2</v>
      </c>
      <c r="K46" s="2">
        <v>1.0249999999999999</v>
      </c>
      <c r="L46" s="2">
        <v>0.35</v>
      </c>
      <c r="M46" s="2">
        <v>1.000017892724953</v>
      </c>
      <c r="N46" s="2">
        <v>0.99049988505282505</v>
      </c>
      <c r="O46" s="2">
        <v>9.5180076721279594E-3</v>
      </c>
      <c r="P46" s="2">
        <v>418.26353714900051</v>
      </c>
      <c r="Q46" s="2">
        <v>36.77240154207081</v>
      </c>
      <c r="R46" t="str">
        <f t="shared" si="0"/>
        <v>yes</v>
      </c>
      <c r="S46" t="str">
        <f t="shared" si="1"/>
        <v>yes</v>
      </c>
      <c r="T4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6" s="2" t="b">
        <f t="shared" si="2"/>
        <v>1</v>
      </c>
      <c r="V46" s="2">
        <f>IF(Table4[[#This Row],[linear?]],Table4[[#This Row],[av]],10^(Table4[[#This Row],[av]]/10))</f>
        <v>0.99525888888888903</v>
      </c>
      <c r="W46" s="2">
        <f>IF(Table4[[#This Row],[linear?]],Table4[[#This Row],[av]],10^(Table4[[#This Row],[av]]/10))</f>
        <v>0.99525888888888903</v>
      </c>
      <c r="X46" s="2">
        <f>Table4[[#This Row],[av_lin]]-2*Table4[[#This Row],[std_lin]]</f>
        <v>-0.99525888888888903</v>
      </c>
      <c r="Y46" s="2">
        <f>Table4[[#This Row],[av_lin]]+2*Table4[[#This Row],[std_lin]]</f>
        <v>2.9857766666666672</v>
      </c>
    </row>
    <row r="47" spans="1:25" x14ac:dyDescent="0.35">
      <c r="A47" s="1">
        <v>676</v>
      </c>
      <c r="B47" t="s">
        <v>75</v>
      </c>
      <c r="C47" t="s">
        <v>549</v>
      </c>
      <c r="D47" t="s">
        <v>655</v>
      </c>
      <c r="E47" s="2">
        <v>1.502216296296297</v>
      </c>
      <c r="F47" s="2">
        <v>3.9825507394544444E-3</v>
      </c>
      <c r="G47">
        <v>27</v>
      </c>
      <c r="H47" t="s">
        <v>58</v>
      </c>
      <c r="I47" s="2">
        <v>1.35</v>
      </c>
      <c r="J47" s="2">
        <v>1.65</v>
      </c>
      <c r="K47" s="2">
        <v>1.5</v>
      </c>
      <c r="L47" s="2">
        <v>0.29999999999999982</v>
      </c>
      <c r="M47" s="2">
        <v>1.5101813977752061</v>
      </c>
      <c r="N47" s="2">
        <v>1.494251194817388</v>
      </c>
      <c r="O47" s="2">
        <v>1.5930202957817659E-2</v>
      </c>
      <c r="P47" s="2">
        <v>377.19953732518678</v>
      </c>
      <c r="Q47" s="2">
        <v>18.832151780764121</v>
      </c>
      <c r="R47" t="str">
        <f t="shared" si="0"/>
        <v>yes</v>
      </c>
      <c r="S47" t="str">
        <f t="shared" si="1"/>
        <v>yes</v>
      </c>
      <c r="T4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7" s="2" t="b">
        <f t="shared" si="2"/>
        <v>1</v>
      </c>
      <c r="V47" s="2">
        <f>IF(Table4[[#This Row],[linear?]],Table4[[#This Row],[av]],10^(Table4[[#This Row],[av]]/10))</f>
        <v>1.502216296296297</v>
      </c>
      <c r="W47" s="2">
        <f>IF(Table4[[#This Row],[linear?]],Table4[[#This Row],[av]],10^(Table4[[#This Row],[av]]/10))</f>
        <v>1.502216296296297</v>
      </c>
      <c r="X47" s="2">
        <f>Table4[[#This Row],[av_lin]]-2*Table4[[#This Row],[std_lin]]</f>
        <v>-1.502216296296297</v>
      </c>
      <c r="Y47" s="2">
        <f>Table4[[#This Row],[av_lin]]+2*Table4[[#This Row],[std_lin]]</f>
        <v>4.5066488888888916</v>
      </c>
    </row>
    <row r="48" spans="1:25" x14ac:dyDescent="0.35">
      <c r="A48" s="1">
        <v>678</v>
      </c>
      <c r="B48" t="s">
        <v>75</v>
      </c>
      <c r="C48" t="s">
        <v>549</v>
      </c>
      <c r="D48" t="s">
        <v>657</v>
      </c>
      <c r="E48" s="2">
        <v>35.87713049382716</v>
      </c>
      <c r="F48" s="2">
        <v>0.1293140540739991</v>
      </c>
      <c r="G48">
        <v>27</v>
      </c>
      <c r="H48" t="s">
        <v>58</v>
      </c>
      <c r="I48" s="2">
        <v>34.5</v>
      </c>
      <c r="J48" s="2">
        <v>37</v>
      </c>
      <c r="K48" s="2">
        <v>35.75</v>
      </c>
      <c r="L48" s="2">
        <v>2.5</v>
      </c>
      <c r="M48" s="2">
        <v>36.135758601975162</v>
      </c>
      <c r="N48" s="2">
        <v>35.618502385679157</v>
      </c>
      <c r="O48" s="2">
        <v>0.51725621629599061</v>
      </c>
      <c r="P48" s="2">
        <v>277.44185077746238</v>
      </c>
      <c r="Q48" s="2">
        <v>4.8331946939220929</v>
      </c>
      <c r="R48" t="str">
        <f t="shared" si="0"/>
        <v>yes</v>
      </c>
      <c r="S48" t="str">
        <f t="shared" si="1"/>
        <v>yes</v>
      </c>
      <c r="T4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8" s="2" t="b">
        <f t="shared" si="2"/>
        <v>1</v>
      </c>
      <c r="V48" s="2">
        <f>IF(Table4[[#This Row],[linear?]],Table4[[#This Row],[av]],10^(Table4[[#This Row],[av]]/10))</f>
        <v>35.87713049382716</v>
      </c>
      <c r="W48" s="2">
        <f>IF(Table4[[#This Row],[linear?]],Table4[[#This Row],[av]],10^(Table4[[#This Row],[av]]/10))</f>
        <v>35.87713049382716</v>
      </c>
      <c r="X48" s="2">
        <f>Table4[[#This Row],[av_lin]]-2*Table4[[#This Row],[std_lin]]</f>
        <v>-35.87713049382716</v>
      </c>
      <c r="Y48" s="2">
        <f>Table4[[#This Row],[av_lin]]+2*Table4[[#This Row],[std_lin]]</f>
        <v>107.63139148148147</v>
      </c>
    </row>
    <row r="49" spans="1:25" x14ac:dyDescent="0.35">
      <c r="A49" s="1">
        <v>679</v>
      </c>
      <c r="B49" t="s">
        <v>75</v>
      </c>
      <c r="C49" t="s">
        <v>549</v>
      </c>
      <c r="D49" t="s">
        <v>658</v>
      </c>
      <c r="E49" s="2">
        <v>1.803112222222222</v>
      </c>
      <c r="F49" s="2">
        <v>3.6064915586428992E-3</v>
      </c>
      <c r="G49">
        <v>27</v>
      </c>
      <c r="H49" t="s">
        <v>58</v>
      </c>
      <c r="I49" s="2">
        <v>1.62</v>
      </c>
      <c r="J49" s="2">
        <v>1.98</v>
      </c>
      <c r="K49" s="2">
        <v>1.8</v>
      </c>
      <c r="L49" s="2">
        <v>0.35999999999999988</v>
      </c>
      <c r="M49" s="2">
        <v>1.810325205339508</v>
      </c>
      <c r="N49" s="2">
        <v>1.795899239104936</v>
      </c>
      <c r="O49" s="2">
        <v>1.44259662345716E-2</v>
      </c>
      <c r="P49" s="2">
        <v>499.96296758302191</v>
      </c>
      <c r="Q49" s="2">
        <v>24.95500087455256</v>
      </c>
      <c r="R49" t="str">
        <f t="shared" si="0"/>
        <v>yes</v>
      </c>
      <c r="S49" t="str">
        <f t="shared" si="1"/>
        <v>yes</v>
      </c>
      <c r="T4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9" s="2" t="b">
        <f t="shared" si="2"/>
        <v>1</v>
      </c>
      <c r="V49" s="2">
        <f>IF(Table4[[#This Row],[linear?]],Table4[[#This Row],[av]],10^(Table4[[#This Row],[av]]/10))</f>
        <v>1.803112222222222</v>
      </c>
      <c r="W49" s="2">
        <f>IF(Table4[[#This Row],[linear?]],Table4[[#This Row],[av]],10^(Table4[[#This Row],[av]]/10))</f>
        <v>1.803112222222222</v>
      </c>
      <c r="X49" s="2">
        <f>Table4[[#This Row],[av_lin]]-2*Table4[[#This Row],[std_lin]]</f>
        <v>-1.803112222222222</v>
      </c>
      <c r="Y49" s="2">
        <f>Table4[[#This Row],[av_lin]]+2*Table4[[#This Row],[std_lin]]</f>
        <v>5.4093366666666665</v>
      </c>
    </row>
    <row r="50" spans="1:25" x14ac:dyDescent="0.35">
      <c r="A50" s="1">
        <v>684</v>
      </c>
      <c r="B50" t="s">
        <v>75</v>
      </c>
      <c r="C50" t="s">
        <v>549</v>
      </c>
      <c r="D50" t="s">
        <v>663</v>
      </c>
      <c r="E50" s="2">
        <v>3.982198395061729</v>
      </c>
      <c r="F50" s="2">
        <v>1.0474769364809421E-2</v>
      </c>
      <c r="G50">
        <v>27</v>
      </c>
      <c r="H50" t="s">
        <v>58</v>
      </c>
      <c r="I50" s="2">
        <v>3.6</v>
      </c>
      <c r="J50" s="2">
        <v>4.4000000000000004</v>
      </c>
      <c r="K50" s="2">
        <v>4</v>
      </c>
      <c r="L50" s="2">
        <v>0.80000000000000027</v>
      </c>
      <c r="M50" s="2">
        <v>4.0031479337913476</v>
      </c>
      <c r="N50" s="2">
        <v>3.96124885633211</v>
      </c>
      <c r="O50" s="2">
        <v>4.1899077459237599E-2</v>
      </c>
      <c r="P50" s="2">
        <v>380.17050842571763</v>
      </c>
      <c r="Q50" s="2">
        <v>19.093499153490839</v>
      </c>
      <c r="R50" t="str">
        <f t="shared" si="0"/>
        <v>yes</v>
      </c>
      <c r="S50" t="str">
        <f t="shared" si="1"/>
        <v>yes</v>
      </c>
      <c r="T5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0" s="2" t="b">
        <f t="shared" si="2"/>
        <v>1</v>
      </c>
      <c r="V50" s="2">
        <f>IF(Table4[[#This Row],[linear?]],Table4[[#This Row],[av]],10^(Table4[[#This Row],[av]]/10))</f>
        <v>3.982198395061729</v>
      </c>
      <c r="W50" s="2">
        <f>IF(Table4[[#This Row],[linear?]],Table4[[#This Row],[av]],10^(Table4[[#This Row],[av]]/10))</f>
        <v>3.982198395061729</v>
      </c>
      <c r="X50" s="2">
        <f>Table4[[#This Row],[av_lin]]-2*Table4[[#This Row],[std_lin]]</f>
        <v>-3.982198395061729</v>
      </c>
      <c r="Y50" s="2">
        <f>Table4[[#This Row],[av_lin]]+2*Table4[[#This Row],[std_lin]]</f>
        <v>11.946595185185187</v>
      </c>
    </row>
    <row r="51" spans="1:25" x14ac:dyDescent="0.35">
      <c r="A51" s="1">
        <v>688</v>
      </c>
      <c r="B51" t="s">
        <v>75</v>
      </c>
      <c r="C51" t="s">
        <v>549</v>
      </c>
      <c r="D51" t="s">
        <v>667</v>
      </c>
      <c r="E51" s="2">
        <v>1.7998422222222219</v>
      </c>
      <c r="F51" s="2">
        <v>5.9654366848561251E-3</v>
      </c>
      <c r="G51">
        <v>27</v>
      </c>
      <c r="H51" t="s">
        <v>58</v>
      </c>
      <c r="I51" s="2">
        <v>1.62</v>
      </c>
      <c r="J51" s="2">
        <v>1.98</v>
      </c>
      <c r="K51" s="2">
        <v>1.8</v>
      </c>
      <c r="L51" s="2">
        <v>0.35999999999999988</v>
      </c>
      <c r="M51" s="2">
        <v>1.811773095591934</v>
      </c>
      <c r="N51" s="2">
        <v>1.78791134885251</v>
      </c>
      <c r="O51" s="2">
        <v>2.386174673942465E-2</v>
      </c>
      <c r="P51" s="2">
        <v>301.71172997130401</v>
      </c>
      <c r="Q51" s="2">
        <v>15.086908931323279</v>
      </c>
      <c r="R51" t="str">
        <f t="shared" si="0"/>
        <v>yes</v>
      </c>
      <c r="S51" t="str">
        <f t="shared" si="1"/>
        <v>yes</v>
      </c>
      <c r="T5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1" s="2" t="b">
        <f t="shared" si="2"/>
        <v>1</v>
      </c>
      <c r="V51" s="2">
        <f>IF(Table4[[#This Row],[linear?]],Table4[[#This Row],[av]],10^(Table4[[#This Row],[av]]/10))</f>
        <v>1.7998422222222219</v>
      </c>
      <c r="W51" s="2">
        <f>IF(Table4[[#This Row],[linear?]],Table4[[#This Row],[av]],10^(Table4[[#This Row],[av]]/10))</f>
        <v>1.7998422222222219</v>
      </c>
      <c r="X51" s="2">
        <f>Table4[[#This Row],[av_lin]]-2*Table4[[#This Row],[std_lin]]</f>
        <v>-1.7998422222222219</v>
      </c>
      <c r="Y51" s="2">
        <f>Table4[[#This Row],[av_lin]]+2*Table4[[#This Row],[std_lin]]</f>
        <v>5.3995266666666657</v>
      </c>
    </row>
    <row r="52" spans="1:25" x14ac:dyDescent="0.35">
      <c r="A52" s="1">
        <v>693</v>
      </c>
      <c r="B52" t="s">
        <v>75</v>
      </c>
      <c r="C52" t="s">
        <v>549</v>
      </c>
      <c r="D52" t="s">
        <v>672</v>
      </c>
      <c r="E52" s="2">
        <v>3.971753333333333</v>
      </c>
      <c r="F52" s="2">
        <v>1.5927551184885289E-2</v>
      </c>
      <c r="G52">
        <v>27</v>
      </c>
      <c r="H52" t="s">
        <v>58</v>
      </c>
      <c r="I52" s="2">
        <v>3.6</v>
      </c>
      <c r="J52" s="2">
        <v>4.4000000000000004</v>
      </c>
      <c r="K52" s="2">
        <v>4</v>
      </c>
      <c r="L52" s="2">
        <v>0.80000000000000027</v>
      </c>
      <c r="M52" s="2">
        <v>4.0036084357031037</v>
      </c>
      <c r="N52" s="2">
        <v>3.939898230963562</v>
      </c>
      <c r="O52" s="2">
        <v>6.3710204739541254E-2</v>
      </c>
      <c r="P52" s="2">
        <v>249.3637149383261</v>
      </c>
      <c r="Q52" s="2">
        <v>12.55685809315076</v>
      </c>
      <c r="R52" t="str">
        <f t="shared" si="0"/>
        <v>yes</v>
      </c>
      <c r="S52" t="str">
        <f t="shared" si="1"/>
        <v>yes</v>
      </c>
      <c r="T5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2" s="2" t="b">
        <f t="shared" si="2"/>
        <v>1</v>
      </c>
      <c r="V52" s="2">
        <f>IF(Table4[[#This Row],[linear?]],Table4[[#This Row],[av]],10^(Table4[[#This Row],[av]]/10))</f>
        <v>3.971753333333333</v>
      </c>
      <c r="W52" s="2">
        <f>IF(Table4[[#This Row],[linear?]],Table4[[#This Row],[av]],10^(Table4[[#This Row],[av]]/10))</f>
        <v>3.971753333333333</v>
      </c>
      <c r="X52" s="2">
        <f>Table4[[#This Row],[av_lin]]-2*Table4[[#This Row],[std_lin]]</f>
        <v>-3.971753333333333</v>
      </c>
      <c r="Y52" s="2">
        <f>Table4[[#This Row],[av_lin]]+2*Table4[[#This Row],[std_lin]]</f>
        <v>11.91526</v>
      </c>
    </row>
    <row r="53" spans="1:25" x14ac:dyDescent="0.35">
      <c r="A53" s="1">
        <v>697</v>
      </c>
      <c r="B53" t="s">
        <v>75</v>
      </c>
      <c r="C53" t="s">
        <v>549</v>
      </c>
      <c r="D53" t="s">
        <v>676</v>
      </c>
      <c r="E53" s="2">
        <v>1.803731111111111</v>
      </c>
      <c r="F53" s="2">
        <v>6.6603210734496442E-3</v>
      </c>
      <c r="G53">
        <v>27</v>
      </c>
      <c r="H53" t="s">
        <v>58</v>
      </c>
      <c r="I53" s="2">
        <v>1.62</v>
      </c>
      <c r="J53" s="2">
        <v>1.98</v>
      </c>
      <c r="K53" s="2">
        <v>1.8</v>
      </c>
      <c r="L53" s="2">
        <v>0.35999999999999988</v>
      </c>
      <c r="M53" s="2">
        <v>1.8170517532580099</v>
      </c>
      <c r="N53" s="2">
        <v>1.790410468964212</v>
      </c>
      <c r="O53" s="2">
        <v>2.6641284293798421E-2</v>
      </c>
      <c r="P53" s="2">
        <v>270.81744126441748</v>
      </c>
      <c r="Q53" s="2">
        <v>13.512862068883109</v>
      </c>
      <c r="R53" t="str">
        <f t="shared" si="0"/>
        <v>yes</v>
      </c>
      <c r="S53" t="str">
        <f t="shared" si="1"/>
        <v>yes</v>
      </c>
      <c r="T5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3" s="2" t="b">
        <f t="shared" si="2"/>
        <v>1</v>
      </c>
      <c r="V53" s="2">
        <f>IF(Table4[[#This Row],[linear?]],Table4[[#This Row],[av]],10^(Table4[[#This Row],[av]]/10))</f>
        <v>1.803731111111111</v>
      </c>
      <c r="W53" s="2">
        <f>IF(Table4[[#This Row],[linear?]],Table4[[#This Row],[av]],10^(Table4[[#This Row],[av]]/10))</f>
        <v>1.803731111111111</v>
      </c>
      <c r="X53" s="2">
        <f>Table4[[#This Row],[av_lin]]-2*Table4[[#This Row],[std_lin]]</f>
        <v>-1.803731111111111</v>
      </c>
      <c r="Y53" s="2">
        <f>Table4[[#This Row],[av_lin]]+2*Table4[[#This Row],[std_lin]]</f>
        <v>5.4111933333333333</v>
      </c>
    </row>
    <row r="54" spans="1:25" x14ac:dyDescent="0.35">
      <c r="A54" s="1">
        <v>702</v>
      </c>
      <c r="B54" t="s">
        <v>75</v>
      </c>
      <c r="C54" t="s">
        <v>549</v>
      </c>
      <c r="D54" t="s">
        <v>681</v>
      </c>
      <c r="E54" s="2">
        <v>3.9830762962962969</v>
      </c>
      <c r="F54" s="2">
        <v>1.5975083384188529E-2</v>
      </c>
      <c r="G54">
        <v>27</v>
      </c>
      <c r="H54" t="s">
        <v>58</v>
      </c>
      <c r="I54" s="2">
        <v>3.6</v>
      </c>
      <c r="J54" s="2">
        <v>4.4000000000000004</v>
      </c>
      <c r="K54" s="2">
        <v>4</v>
      </c>
      <c r="L54" s="2">
        <v>0.80000000000000027</v>
      </c>
      <c r="M54" s="2">
        <v>4.0150264630646744</v>
      </c>
      <c r="N54" s="2">
        <v>3.9511261295279199</v>
      </c>
      <c r="O54" s="2">
        <v>6.3900333536754506E-2</v>
      </c>
      <c r="P54" s="2">
        <v>249.33054811085239</v>
      </c>
      <c r="Q54" s="2">
        <v>12.519496467727389</v>
      </c>
      <c r="R54" t="str">
        <f t="shared" si="0"/>
        <v>yes</v>
      </c>
      <c r="S54" t="str">
        <f t="shared" si="1"/>
        <v>yes</v>
      </c>
      <c r="T5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4" s="2" t="b">
        <f t="shared" si="2"/>
        <v>1</v>
      </c>
      <c r="V54" s="2">
        <f>IF(Table4[[#This Row],[linear?]],Table4[[#This Row],[av]],10^(Table4[[#This Row],[av]]/10))</f>
        <v>3.9830762962962969</v>
      </c>
      <c r="W54" s="2">
        <f>IF(Table4[[#This Row],[linear?]],Table4[[#This Row],[av]],10^(Table4[[#This Row],[av]]/10))</f>
        <v>3.9830762962962969</v>
      </c>
      <c r="X54" s="2">
        <f>Table4[[#This Row],[av_lin]]-2*Table4[[#This Row],[std_lin]]</f>
        <v>-3.9830762962962969</v>
      </c>
      <c r="Y54" s="2">
        <f>Table4[[#This Row],[av_lin]]+2*Table4[[#This Row],[std_lin]]</f>
        <v>11.949228888888891</v>
      </c>
    </row>
    <row r="55" spans="1:25" x14ac:dyDescent="0.35">
      <c r="A55" s="1">
        <v>707</v>
      </c>
      <c r="B55" t="s">
        <v>75</v>
      </c>
      <c r="C55" t="s">
        <v>549</v>
      </c>
      <c r="D55" t="s">
        <v>686</v>
      </c>
      <c r="E55" s="2">
        <v>0.9949306172839506</v>
      </c>
      <c r="F55" s="2">
        <v>2.0900270524224292E-3</v>
      </c>
      <c r="G55">
        <v>27</v>
      </c>
      <c r="H55" t="s">
        <v>58</v>
      </c>
      <c r="I55" s="2">
        <v>0.85</v>
      </c>
      <c r="J55" s="2">
        <v>1.2</v>
      </c>
      <c r="K55" s="2">
        <v>1.0249999999999999</v>
      </c>
      <c r="L55" s="2">
        <v>0.35</v>
      </c>
      <c r="M55" s="2">
        <v>0.9991106713887955</v>
      </c>
      <c r="N55" s="2">
        <v>0.9907505631791057</v>
      </c>
      <c r="O55" s="2">
        <v>8.3601082096897983E-3</v>
      </c>
      <c r="P55" s="2">
        <v>476.03719584910829</v>
      </c>
      <c r="Q55" s="2">
        <v>41.865486812040523</v>
      </c>
      <c r="R55" t="str">
        <f t="shared" si="0"/>
        <v>yes</v>
      </c>
      <c r="S55" t="str">
        <f t="shared" si="1"/>
        <v>yes</v>
      </c>
      <c r="T5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5" s="2" t="b">
        <f t="shared" si="2"/>
        <v>1</v>
      </c>
      <c r="V55" s="2">
        <f>IF(Table4[[#This Row],[linear?]],Table4[[#This Row],[av]],10^(Table4[[#This Row],[av]]/10))</f>
        <v>0.9949306172839506</v>
      </c>
      <c r="W55" s="2">
        <f>IF(Table4[[#This Row],[linear?]],Table4[[#This Row],[av]],10^(Table4[[#This Row],[av]]/10))</f>
        <v>0.9949306172839506</v>
      </c>
      <c r="X55" s="2">
        <f>Table4[[#This Row],[av_lin]]-2*Table4[[#This Row],[std_lin]]</f>
        <v>-0.9949306172839506</v>
      </c>
      <c r="Y55" s="2">
        <f>Table4[[#This Row],[av_lin]]+2*Table4[[#This Row],[std_lin]]</f>
        <v>2.9847918518518517</v>
      </c>
    </row>
    <row r="56" spans="1:25" x14ac:dyDescent="0.35">
      <c r="A56" s="1">
        <v>709</v>
      </c>
      <c r="B56" t="s">
        <v>75</v>
      </c>
      <c r="C56" t="s">
        <v>549</v>
      </c>
      <c r="D56" t="s">
        <v>688</v>
      </c>
      <c r="E56" s="2">
        <v>1.4987365432098769</v>
      </c>
      <c r="F56" s="2">
        <v>4.0142116166770351E-3</v>
      </c>
      <c r="G56">
        <v>27</v>
      </c>
      <c r="H56" t="s">
        <v>58</v>
      </c>
      <c r="I56" s="2">
        <v>1.35</v>
      </c>
      <c r="J56" s="2">
        <v>1.65</v>
      </c>
      <c r="K56" s="2">
        <v>1.5</v>
      </c>
      <c r="L56" s="2">
        <v>0.29999999999999982</v>
      </c>
      <c r="M56" s="2">
        <v>1.506764966443231</v>
      </c>
      <c r="N56" s="2">
        <v>1.4907081199765231</v>
      </c>
      <c r="O56" s="2">
        <v>1.605684646670813E-2</v>
      </c>
      <c r="P56" s="2">
        <v>373.35763191541241</v>
      </c>
      <c r="Q56" s="2">
        <v>18.683618892539851</v>
      </c>
      <c r="R56" t="str">
        <f t="shared" si="0"/>
        <v>yes</v>
      </c>
      <c r="S56" t="str">
        <f t="shared" si="1"/>
        <v>yes</v>
      </c>
      <c r="T5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6" s="2" t="b">
        <f t="shared" si="2"/>
        <v>1</v>
      </c>
      <c r="V56" s="2">
        <f>IF(Table4[[#This Row],[linear?]],Table4[[#This Row],[av]],10^(Table4[[#This Row],[av]]/10))</f>
        <v>1.4987365432098769</v>
      </c>
      <c r="W56" s="2">
        <f>IF(Table4[[#This Row],[linear?]],Table4[[#This Row],[av]],10^(Table4[[#This Row],[av]]/10))</f>
        <v>1.4987365432098769</v>
      </c>
      <c r="X56" s="2">
        <f>Table4[[#This Row],[av_lin]]-2*Table4[[#This Row],[std_lin]]</f>
        <v>-1.4987365432098769</v>
      </c>
      <c r="Y56" s="2">
        <f>Table4[[#This Row],[av_lin]]+2*Table4[[#This Row],[std_lin]]</f>
        <v>4.4962096296296306</v>
      </c>
    </row>
    <row r="57" spans="1:25" x14ac:dyDescent="0.35">
      <c r="A57" s="1">
        <v>711</v>
      </c>
      <c r="B57" t="s">
        <v>75</v>
      </c>
      <c r="C57" t="s">
        <v>549</v>
      </c>
      <c r="D57" t="s">
        <v>690</v>
      </c>
      <c r="E57" s="2">
        <v>35.77528518518519</v>
      </c>
      <c r="F57" s="2">
        <v>0.19757791335827779</v>
      </c>
      <c r="G57">
        <v>27</v>
      </c>
      <c r="H57" t="s">
        <v>58</v>
      </c>
      <c r="I57" s="2">
        <v>34.5</v>
      </c>
      <c r="J57" s="2">
        <v>37</v>
      </c>
      <c r="K57" s="2">
        <v>35.75</v>
      </c>
      <c r="L57" s="2">
        <v>2.5</v>
      </c>
      <c r="M57" s="2">
        <v>36.170441011901737</v>
      </c>
      <c r="N57" s="2">
        <v>35.380129358468643</v>
      </c>
      <c r="O57" s="2">
        <v>0.79031165343310761</v>
      </c>
      <c r="P57" s="2">
        <v>181.06925302076701</v>
      </c>
      <c r="Q57" s="2">
        <v>3.1633090428820321</v>
      </c>
      <c r="R57" t="str">
        <f t="shared" si="0"/>
        <v>yes</v>
      </c>
      <c r="S57" t="str">
        <f t="shared" si="1"/>
        <v>yes</v>
      </c>
      <c r="T5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7" s="2" t="b">
        <f t="shared" si="2"/>
        <v>1</v>
      </c>
      <c r="V57" s="2">
        <f>IF(Table4[[#This Row],[linear?]],Table4[[#This Row],[av]],10^(Table4[[#This Row],[av]]/10))</f>
        <v>35.77528518518519</v>
      </c>
      <c r="W57" s="2">
        <f>IF(Table4[[#This Row],[linear?]],Table4[[#This Row],[av]],10^(Table4[[#This Row],[av]]/10))</f>
        <v>35.77528518518519</v>
      </c>
      <c r="X57" s="2">
        <f>Table4[[#This Row],[av_lin]]-2*Table4[[#This Row],[std_lin]]</f>
        <v>-35.77528518518519</v>
      </c>
      <c r="Y57" s="2">
        <f>Table4[[#This Row],[av_lin]]+2*Table4[[#This Row],[std_lin]]</f>
        <v>107.32585555555556</v>
      </c>
    </row>
    <row r="58" spans="1:25" x14ac:dyDescent="0.35">
      <c r="A58" s="1">
        <v>713</v>
      </c>
      <c r="B58" t="s">
        <v>75</v>
      </c>
      <c r="C58" t="s">
        <v>549</v>
      </c>
      <c r="D58" t="s">
        <v>692</v>
      </c>
      <c r="E58" s="2">
        <v>0.99775444444444439</v>
      </c>
      <c r="F58" s="2">
        <v>2.7887551910855909E-3</v>
      </c>
      <c r="G58">
        <v>27</v>
      </c>
      <c r="H58" t="s">
        <v>58</v>
      </c>
      <c r="I58" s="2">
        <v>0.85</v>
      </c>
      <c r="J58" s="2">
        <v>1.2</v>
      </c>
      <c r="K58" s="2">
        <v>1.0249999999999999</v>
      </c>
      <c r="L58" s="2">
        <v>0.35</v>
      </c>
      <c r="M58" s="2">
        <v>1.003331954826616</v>
      </c>
      <c r="N58" s="2">
        <v>0.99217693406227325</v>
      </c>
      <c r="O58" s="2">
        <v>1.115502076434227E-2</v>
      </c>
      <c r="P58" s="2">
        <v>357.77770943603127</v>
      </c>
      <c r="Q58" s="2">
        <v>31.376006140553059</v>
      </c>
      <c r="R58" t="str">
        <f t="shared" si="0"/>
        <v>yes</v>
      </c>
      <c r="S58" t="str">
        <f t="shared" si="1"/>
        <v>yes</v>
      </c>
      <c r="T5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8" s="2" t="b">
        <f t="shared" si="2"/>
        <v>1</v>
      </c>
      <c r="V58" s="2">
        <f>IF(Table4[[#This Row],[linear?]],Table4[[#This Row],[av]],10^(Table4[[#This Row],[av]]/10))</f>
        <v>0.99775444444444439</v>
      </c>
      <c r="W58" s="2">
        <f>IF(Table4[[#This Row],[linear?]],Table4[[#This Row],[av]],10^(Table4[[#This Row],[av]]/10))</f>
        <v>0.99775444444444439</v>
      </c>
      <c r="X58" s="2">
        <f>Table4[[#This Row],[av_lin]]-2*Table4[[#This Row],[std_lin]]</f>
        <v>-0.99775444444444439</v>
      </c>
      <c r="Y58" s="2">
        <f>Table4[[#This Row],[av_lin]]+2*Table4[[#This Row],[std_lin]]</f>
        <v>2.9932633333333332</v>
      </c>
    </row>
    <row r="59" spans="1:25" x14ac:dyDescent="0.35">
      <c r="A59" s="1">
        <v>715</v>
      </c>
      <c r="B59" t="s">
        <v>75</v>
      </c>
      <c r="C59" t="s">
        <v>549</v>
      </c>
      <c r="D59" t="s">
        <v>694</v>
      </c>
      <c r="E59" s="2">
        <v>1.5024840740740739</v>
      </c>
      <c r="F59" s="2">
        <v>2.7057054846589242E-3</v>
      </c>
      <c r="G59">
        <v>27</v>
      </c>
      <c r="H59" t="s">
        <v>58</v>
      </c>
      <c r="I59" s="2">
        <v>1.35</v>
      </c>
      <c r="J59" s="2">
        <v>1.65</v>
      </c>
      <c r="K59" s="2">
        <v>1.5</v>
      </c>
      <c r="L59" s="2">
        <v>0.29999999999999982</v>
      </c>
      <c r="M59" s="2">
        <v>1.5078954850433921</v>
      </c>
      <c r="N59" s="2">
        <v>1.497072663104756</v>
      </c>
      <c r="O59" s="2">
        <v>1.082282193863549E-2</v>
      </c>
      <c r="P59" s="2">
        <v>555.30215043470412</v>
      </c>
      <c r="Q59" s="2">
        <v>27.71920315246571</v>
      </c>
      <c r="R59" t="str">
        <f t="shared" si="0"/>
        <v>yes</v>
      </c>
      <c r="S59" t="str">
        <f t="shared" si="1"/>
        <v>yes</v>
      </c>
      <c r="T5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9" s="2" t="b">
        <f t="shared" si="2"/>
        <v>1</v>
      </c>
      <c r="V59" s="2">
        <f>IF(Table4[[#This Row],[linear?]],Table4[[#This Row],[av]],10^(Table4[[#This Row],[av]]/10))</f>
        <v>1.5024840740740739</v>
      </c>
      <c r="W59" s="2">
        <f>IF(Table4[[#This Row],[linear?]],Table4[[#This Row],[av]],10^(Table4[[#This Row],[av]]/10))</f>
        <v>1.5024840740740739</v>
      </c>
      <c r="X59" s="2">
        <f>Table4[[#This Row],[av_lin]]-2*Table4[[#This Row],[std_lin]]</f>
        <v>-1.5024840740740739</v>
      </c>
      <c r="Y59" s="2">
        <f>Table4[[#This Row],[av_lin]]+2*Table4[[#This Row],[std_lin]]</f>
        <v>4.5074522222222217</v>
      </c>
    </row>
    <row r="60" spans="1:25" x14ac:dyDescent="0.35">
      <c r="A60" s="1">
        <v>717</v>
      </c>
      <c r="B60" t="s">
        <v>75</v>
      </c>
      <c r="C60" t="s">
        <v>549</v>
      </c>
      <c r="D60" t="s">
        <v>696</v>
      </c>
      <c r="E60" s="2">
        <v>35.940137530864199</v>
      </c>
      <c r="F60" s="2">
        <v>7.695296543022738E-2</v>
      </c>
      <c r="G60">
        <v>27</v>
      </c>
      <c r="H60" t="s">
        <v>58</v>
      </c>
      <c r="I60" s="2">
        <v>34.5</v>
      </c>
      <c r="J60" s="2">
        <v>37</v>
      </c>
      <c r="K60" s="2">
        <v>35.75</v>
      </c>
      <c r="L60" s="2">
        <v>2.5</v>
      </c>
      <c r="M60" s="2">
        <v>36.094043461724652</v>
      </c>
      <c r="N60" s="2">
        <v>35.786231600003752</v>
      </c>
      <c r="O60" s="2">
        <v>0.30781186172090708</v>
      </c>
      <c r="P60" s="2">
        <v>467.04031910831071</v>
      </c>
      <c r="Q60" s="2">
        <v>8.1218442525998196</v>
      </c>
      <c r="R60" t="str">
        <f t="shared" si="0"/>
        <v>yes</v>
      </c>
      <c r="S60" t="str">
        <f t="shared" si="1"/>
        <v>yes</v>
      </c>
      <c r="T6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0" s="2" t="b">
        <f t="shared" si="2"/>
        <v>1</v>
      </c>
      <c r="V60" s="2">
        <f>IF(Table4[[#This Row],[linear?]],Table4[[#This Row],[av]],10^(Table4[[#This Row],[av]]/10))</f>
        <v>35.940137530864199</v>
      </c>
      <c r="W60" s="2">
        <f>IF(Table4[[#This Row],[linear?]],Table4[[#This Row],[av]],10^(Table4[[#This Row],[av]]/10))</f>
        <v>35.940137530864199</v>
      </c>
      <c r="X60" s="2">
        <f>Table4[[#This Row],[av_lin]]-2*Table4[[#This Row],[std_lin]]</f>
        <v>-35.940137530864199</v>
      </c>
      <c r="Y60" s="2">
        <f>Table4[[#This Row],[av_lin]]+2*Table4[[#This Row],[std_lin]]</f>
        <v>107.82041259259259</v>
      </c>
    </row>
    <row r="61" spans="1:25" x14ac:dyDescent="0.35">
      <c r="A61" s="1">
        <v>719</v>
      </c>
      <c r="B61" t="s">
        <v>75</v>
      </c>
      <c r="C61" t="s">
        <v>549</v>
      </c>
      <c r="D61" t="s">
        <v>698</v>
      </c>
      <c r="E61" s="2">
        <v>0.99366950617283956</v>
      </c>
      <c r="F61" s="2">
        <v>5.4874983886365452E-3</v>
      </c>
      <c r="G61">
        <v>27</v>
      </c>
      <c r="H61" t="s">
        <v>58</v>
      </c>
      <c r="I61" s="2">
        <v>0.85</v>
      </c>
      <c r="J61" s="2">
        <v>1.2</v>
      </c>
      <c r="K61" s="2">
        <v>1.0249999999999999</v>
      </c>
      <c r="L61" s="2">
        <v>0.35</v>
      </c>
      <c r="M61" s="2">
        <v>1.004644502950113</v>
      </c>
      <c r="N61" s="2">
        <v>0.98269450939556646</v>
      </c>
      <c r="O61" s="2">
        <v>2.194999355454608E-2</v>
      </c>
      <c r="P61" s="2">
        <v>181.07877867090039</v>
      </c>
      <c r="Q61" s="2">
        <v>15.94533497835635</v>
      </c>
      <c r="R61" t="str">
        <f t="shared" si="0"/>
        <v>yes</v>
      </c>
      <c r="S61" t="str">
        <f t="shared" si="1"/>
        <v>yes</v>
      </c>
      <c r="T6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1" s="2" t="b">
        <f t="shared" si="2"/>
        <v>1</v>
      </c>
      <c r="V61" s="2">
        <f>IF(Table4[[#This Row],[linear?]],Table4[[#This Row],[av]],10^(Table4[[#This Row],[av]]/10))</f>
        <v>0.99366950617283956</v>
      </c>
      <c r="W61" s="2">
        <f>IF(Table4[[#This Row],[linear?]],Table4[[#This Row],[av]],10^(Table4[[#This Row],[av]]/10))</f>
        <v>0.99366950617283956</v>
      </c>
      <c r="X61" s="2">
        <f>Table4[[#This Row],[av_lin]]-2*Table4[[#This Row],[std_lin]]</f>
        <v>-0.99366950617283956</v>
      </c>
      <c r="Y61" s="2">
        <f>Table4[[#This Row],[av_lin]]+2*Table4[[#This Row],[std_lin]]</f>
        <v>2.9810085185185189</v>
      </c>
    </row>
    <row r="62" spans="1:25" x14ac:dyDescent="0.35">
      <c r="A62" s="1">
        <v>721</v>
      </c>
      <c r="B62" t="s">
        <v>75</v>
      </c>
      <c r="C62" t="s">
        <v>549</v>
      </c>
      <c r="D62" t="s">
        <v>700</v>
      </c>
      <c r="E62" s="2">
        <v>1.499257160493827</v>
      </c>
      <c r="F62" s="2">
        <v>4.5969273603758756E-3</v>
      </c>
      <c r="G62">
        <v>27</v>
      </c>
      <c r="H62" t="s">
        <v>58</v>
      </c>
      <c r="I62" s="2">
        <v>1.35</v>
      </c>
      <c r="J62" s="2">
        <v>1.65</v>
      </c>
      <c r="K62" s="2">
        <v>1.5</v>
      </c>
      <c r="L62" s="2">
        <v>0.29999999999999982</v>
      </c>
      <c r="M62" s="2">
        <v>1.5084510152145789</v>
      </c>
      <c r="N62" s="2">
        <v>1.490063305773075</v>
      </c>
      <c r="O62" s="2">
        <v>1.8387709441503471E-2</v>
      </c>
      <c r="P62" s="2">
        <v>326.14332204092898</v>
      </c>
      <c r="Q62" s="2">
        <v>16.315245841489119</v>
      </c>
      <c r="R62" t="str">
        <f t="shared" si="0"/>
        <v>yes</v>
      </c>
      <c r="S62" t="str">
        <f t="shared" si="1"/>
        <v>yes</v>
      </c>
      <c r="T6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2" s="2" t="b">
        <f t="shared" si="2"/>
        <v>1</v>
      </c>
      <c r="V62" s="2">
        <f>IF(Table4[[#This Row],[linear?]],Table4[[#This Row],[av]],10^(Table4[[#This Row],[av]]/10))</f>
        <v>1.499257160493827</v>
      </c>
      <c r="W62" s="2">
        <f>IF(Table4[[#This Row],[linear?]],Table4[[#This Row],[av]],10^(Table4[[#This Row],[av]]/10))</f>
        <v>1.499257160493827</v>
      </c>
      <c r="X62" s="2">
        <f>Table4[[#This Row],[av_lin]]-2*Table4[[#This Row],[std_lin]]</f>
        <v>-1.499257160493827</v>
      </c>
      <c r="Y62" s="2">
        <f>Table4[[#This Row],[av_lin]]+2*Table4[[#This Row],[std_lin]]</f>
        <v>4.4977714814814806</v>
      </c>
    </row>
    <row r="63" spans="1:25" x14ac:dyDescent="0.35">
      <c r="A63" s="1">
        <v>723</v>
      </c>
      <c r="B63" t="s">
        <v>75</v>
      </c>
      <c r="C63" t="s">
        <v>549</v>
      </c>
      <c r="D63" t="s">
        <v>702</v>
      </c>
      <c r="E63" s="2">
        <v>35.839597037037038</v>
      </c>
      <c r="F63" s="2">
        <v>0.1032785801012797</v>
      </c>
      <c r="G63">
        <v>27</v>
      </c>
      <c r="H63" t="s">
        <v>58</v>
      </c>
      <c r="I63" s="2">
        <v>34.5</v>
      </c>
      <c r="J63" s="2">
        <v>37</v>
      </c>
      <c r="K63" s="2">
        <v>35.75</v>
      </c>
      <c r="L63" s="2">
        <v>2.5</v>
      </c>
      <c r="M63" s="2">
        <v>36.046154197239588</v>
      </c>
      <c r="N63" s="2">
        <v>35.633039876834481</v>
      </c>
      <c r="O63" s="2">
        <v>0.4131143204051142</v>
      </c>
      <c r="P63" s="2">
        <v>347.01868482207141</v>
      </c>
      <c r="Q63" s="2">
        <v>6.0515936546290954</v>
      </c>
      <c r="R63" t="str">
        <f t="shared" si="0"/>
        <v>yes</v>
      </c>
      <c r="S63" t="str">
        <f t="shared" si="1"/>
        <v>yes</v>
      </c>
      <c r="T6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3" s="2" t="b">
        <f t="shared" si="2"/>
        <v>1</v>
      </c>
      <c r="V63" s="2">
        <f>IF(Table4[[#This Row],[linear?]],Table4[[#This Row],[av]],10^(Table4[[#This Row],[av]]/10))</f>
        <v>35.839597037037038</v>
      </c>
      <c r="W63" s="2">
        <f>IF(Table4[[#This Row],[linear?]],Table4[[#This Row],[av]],10^(Table4[[#This Row],[av]]/10))</f>
        <v>35.839597037037038</v>
      </c>
      <c r="X63" s="2">
        <f>Table4[[#This Row],[av_lin]]-2*Table4[[#This Row],[std_lin]]</f>
        <v>-35.839597037037038</v>
      </c>
      <c r="Y63" s="2">
        <f>Table4[[#This Row],[av_lin]]+2*Table4[[#This Row],[std_lin]]</f>
        <v>107.51879111111111</v>
      </c>
    </row>
    <row r="64" spans="1:25" x14ac:dyDescent="0.35">
      <c r="A64" s="1">
        <v>724</v>
      </c>
      <c r="B64" t="s">
        <v>75</v>
      </c>
      <c r="C64" t="s">
        <v>549</v>
      </c>
      <c r="D64" t="s">
        <v>703</v>
      </c>
      <c r="E64" s="2">
        <v>1.806723333333333</v>
      </c>
      <c r="F64" s="2">
        <v>5.2415398700347534E-3</v>
      </c>
      <c r="G64">
        <v>27</v>
      </c>
      <c r="H64" t="s">
        <v>58</v>
      </c>
      <c r="I64" s="2">
        <v>1.62</v>
      </c>
      <c r="J64" s="2">
        <v>1.98</v>
      </c>
      <c r="K64" s="2">
        <v>1.8</v>
      </c>
      <c r="L64" s="2">
        <v>0.35999999999999988</v>
      </c>
      <c r="M64" s="2">
        <v>1.817206413073402</v>
      </c>
      <c r="N64" s="2">
        <v>1.796240253593264</v>
      </c>
      <c r="O64" s="2">
        <v>2.0966159480138909E-2</v>
      </c>
      <c r="P64" s="2">
        <v>344.6932348377527</v>
      </c>
      <c r="Q64" s="2">
        <v>17.17052664514096</v>
      </c>
      <c r="R64" t="str">
        <f t="shared" si="0"/>
        <v>yes</v>
      </c>
      <c r="S64" t="str">
        <f t="shared" si="1"/>
        <v>yes</v>
      </c>
      <c r="T6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4" s="2" t="b">
        <f t="shared" si="2"/>
        <v>1</v>
      </c>
      <c r="V64" s="2">
        <f>IF(Table4[[#This Row],[linear?]],Table4[[#This Row],[av]],10^(Table4[[#This Row],[av]]/10))</f>
        <v>1.806723333333333</v>
      </c>
      <c r="W64" s="2">
        <f>IF(Table4[[#This Row],[linear?]],Table4[[#This Row],[av]],10^(Table4[[#This Row],[av]]/10))</f>
        <v>1.806723333333333</v>
      </c>
      <c r="X64" s="2">
        <f>Table4[[#This Row],[av_lin]]-2*Table4[[#This Row],[std_lin]]</f>
        <v>-1.806723333333333</v>
      </c>
      <c r="Y64" s="2">
        <f>Table4[[#This Row],[av_lin]]+2*Table4[[#This Row],[std_lin]]</f>
        <v>5.4201699999999988</v>
      </c>
    </row>
    <row r="65" spans="1:25" x14ac:dyDescent="0.35">
      <c r="A65" s="1">
        <v>729</v>
      </c>
      <c r="B65" t="s">
        <v>75</v>
      </c>
      <c r="C65" t="s">
        <v>549</v>
      </c>
      <c r="D65" t="s">
        <v>708</v>
      </c>
      <c r="E65" s="2">
        <v>3.9839616049382731</v>
      </c>
      <c r="F65" s="2">
        <v>7.594651207878474E-3</v>
      </c>
      <c r="G65">
        <v>27</v>
      </c>
      <c r="H65" t="s">
        <v>58</v>
      </c>
      <c r="I65" s="2">
        <v>3.6</v>
      </c>
      <c r="J65" s="2">
        <v>4.4000000000000004</v>
      </c>
      <c r="K65" s="2">
        <v>4</v>
      </c>
      <c r="L65" s="2">
        <v>0.80000000000000027</v>
      </c>
      <c r="M65" s="2">
        <v>3.9991509073540299</v>
      </c>
      <c r="N65" s="2">
        <v>3.9687723025225159</v>
      </c>
      <c r="O65" s="2">
        <v>3.0378604831513559E-2</v>
      </c>
      <c r="P65" s="2">
        <v>524.57466391681362</v>
      </c>
      <c r="Q65" s="2">
        <v>26.334323265896401</v>
      </c>
      <c r="R65" t="str">
        <f t="shared" si="0"/>
        <v>yes</v>
      </c>
      <c r="S65" t="str">
        <f t="shared" si="1"/>
        <v>yes</v>
      </c>
      <c r="T6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5" s="2" t="b">
        <f t="shared" si="2"/>
        <v>1</v>
      </c>
      <c r="V65" s="2">
        <f>IF(Table4[[#This Row],[linear?]],Table4[[#This Row],[av]],10^(Table4[[#This Row],[av]]/10))</f>
        <v>3.9839616049382731</v>
      </c>
      <c r="W65" s="2">
        <f>IF(Table4[[#This Row],[linear?]],Table4[[#This Row],[av]],10^(Table4[[#This Row],[av]]/10))</f>
        <v>3.9839616049382731</v>
      </c>
      <c r="X65" s="2">
        <f>Table4[[#This Row],[av_lin]]-2*Table4[[#This Row],[std_lin]]</f>
        <v>-3.9839616049382731</v>
      </c>
      <c r="Y65" s="2">
        <f>Table4[[#This Row],[av_lin]]+2*Table4[[#This Row],[std_lin]]</f>
        <v>11.95188481481482</v>
      </c>
    </row>
    <row r="66" spans="1:25" x14ac:dyDescent="0.35">
      <c r="A66" s="1">
        <v>733</v>
      </c>
      <c r="B66" t="s">
        <v>75</v>
      </c>
      <c r="C66" t="s">
        <v>549</v>
      </c>
      <c r="D66" t="s">
        <v>712</v>
      </c>
      <c r="E66" s="2">
        <v>1.8039665432098759</v>
      </c>
      <c r="F66" s="2">
        <v>7.1978019726348774E-3</v>
      </c>
      <c r="G66">
        <v>27</v>
      </c>
      <c r="H66" t="s">
        <v>58</v>
      </c>
      <c r="I66" s="2">
        <v>1.62</v>
      </c>
      <c r="J66" s="2">
        <v>1.98</v>
      </c>
      <c r="K66" s="2">
        <v>1.8</v>
      </c>
      <c r="L66" s="2">
        <v>0.35999999999999988</v>
      </c>
      <c r="M66" s="2">
        <v>1.8183621471551461</v>
      </c>
      <c r="N66" s="2">
        <v>1.789570939264606</v>
      </c>
      <c r="O66" s="2">
        <v>2.8791207890539461E-2</v>
      </c>
      <c r="P66" s="2">
        <v>250.6274207137576</v>
      </c>
      <c r="Q66" s="2">
        <v>12.50381718504741</v>
      </c>
      <c r="R66" t="str">
        <f t="shared" ref="R66:R129" si="3">IF(H66="yes","yes","no")</f>
        <v>yes</v>
      </c>
      <c r="S66" t="str">
        <f t="shared" ref="S66:S129" si="4">IF(I66,"yes","no")</f>
        <v>yes</v>
      </c>
      <c r="T6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6" s="2" t="b">
        <f t="shared" ref="U66:U129" si="5">NOT(ISNUMBER(SEARCH("RFIC*POWER", D66)))</f>
        <v>1</v>
      </c>
      <c r="V66" s="2">
        <f>IF(Table4[[#This Row],[linear?]],Table4[[#This Row],[av]],10^(Table4[[#This Row],[av]]/10))</f>
        <v>1.8039665432098759</v>
      </c>
      <c r="W66" s="2">
        <f>IF(Table4[[#This Row],[linear?]],Table4[[#This Row],[av]],10^(Table4[[#This Row],[av]]/10))</f>
        <v>1.8039665432098759</v>
      </c>
      <c r="X66" s="2">
        <f>Table4[[#This Row],[av_lin]]-2*Table4[[#This Row],[std_lin]]</f>
        <v>-1.8039665432098759</v>
      </c>
      <c r="Y66" s="2">
        <f>Table4[[#This Row],[av_lin]]+2*Table4[[#This Row],[std_lin]]</f>
        <v>5.4118996296296276</v>
      </c>
    </row>
    <row r="67" spans="1:25" x14ac:dyDescent="0.35">
      <c r="A67" s="1">
        <v>738</v>
      </c>
      <c r="B67" t="s">
        <v>75</v>
      </c>
      <c r="C67" t="s">
        <v>549</v>
      </c>
      <c r="D67" t="s">
        <v>717</v>
      </c>
      <c r="E67" s="2">
        <v>3.977560987654321</v>
      </c>
      <c r="F67" s="2">
        <v>1.451325423424152E-2</v>
      </c>
      <c r="G67">
        <v>27</v>
      </c>
      <c r="H67" t="s">
        <v>58</v>
      </c>
      <c r="I67" s="2">
        <v>3.6</v>
      </c>
      <c r="J67" s="2">
        <v>4.4000000000000004</v>
      </c>
      <c r="K67" s="2">
        <v>4</v>
      </c>
      <c r="L67" s="2">
        <v>0.80000000000000027</v>
      </c>
      <c r="M67" s="2">
        <v>4.0065874961228038</v>
      </c>
      <c r="N67" s="2">
        <v>3.9485344791858381</v>
      </c>
      <c r="O67" s="2">
        <v>5.805301693696574E-2</v>
      </c>
      <c r="P67" s="2">
        <v>274.06403301817397</v>
      </c>
      <c r="Q67" s="2">
        <v>13.78050689197849</v>
      </c>
      <c r="R67" t="str">
        <f t="shared" si="3"/>
        <v>yes</v>
      </c>
      <c r="S67" t="str">
        <f t="shared" si="4"/>
        <v>yes</v>
      </c>
      <c r="T6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7" s="2" t="b">
        <f t="shared" si="5"/>
        <v>1</v>
      </c>
      <c r="V67" s="2">
        <f>IF(Table4[[#This Row],[linear?]],Table4[[#This Row],[av]],10^(Table4[[#This Row],[av]]/10))</f>
        <v>3.977560987654321</v>
      </c>
      <c r="W67" s="2">
        <f>IF(Table4[[#This Row],[linear?]],Table4[[#This Row],[av]],10^(Table4[[#This Row],[av]]/10))</f>
        <v>3.977560987654321</v>
      </c>
      <c r="X67" s="2">
        <f>Table4[[#This Row],[av_lin]]-2*Table4[[#This Row],[std_lin]]</f>
        <v>-3.977560987654321</v>
      </c>
      <c r="Y67" s="2">
        <f>Table4[[#This Row],[av_lin]]+2*Table4[[#This Row],[std_lin]]</f>
        <v>11.932682962962962</v>
      </c>
    </row>
    <row r="68" spans="1:25" x14ac:dyDescent="0.35">
      <c r="A68" s="1">
        <v>742</v>
      </c>
      <c r="B68" t="s">
        <v>75</v>
      </c>
      <c r="C68" t="s">
        <v>549</v>
      </c>
      <c r="D68" t="s">
        <v>721</v>
      </c>
      <c r="E68" s="2">
        <v>1.8073348148148149</v>
      </c>
      <c r="F68" s="2">
        <v>5.8187039722674382E-3</v>
      </c>
      <c r="G68">
        <v>27</v>
      </c>
      <c r="H68" t="s">
        <v>58</v>
      </c>
      <c r="I68" s="2">
        <v>1.62</v>
      </c>
      <c r="J68" s="2">
        <v>1.98</v>
      </c>
      <c r="K68" s="2">
        <v>1.8</v>
      </c>
      <c r="L68" s="2">
        <v>0.35999999999999988</v>
      </c>
      <c r="M68" s="2">
        <v>1.8189722227593501</v>
      </c>
      <c r="N68" s="2">
        <v>1.79569740687028</v>
      </c>
      <c r="O68" s="2">
        <v>2.3274815889069881E-2</v>
      </c>
      <c r="P68" s="2">
        <v>310.60779572715239</v>
      </c>
      <c r="Q68" s="2">
        <v>15.467361877997069</v>
      </c>
      <c r="R68" t="str">
        <f t="shared" si="3"/>
        <v>yes</v>
      </c>
      <c r="S68" t="str">
        <f t="shared" si="4"/>
        <v>yes</v>
      </c>
      <c r="T6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8" s="2" t="b">
        <f t="shared" si="5"/>
        <v>1</v>
      </c>
      <c r="V68" s="2">
        <f>IF(Table4[[#This Row],[linear?]],Table4[[#This Row],[av]],10^(Table4[[#This Row],[av]]/10))</f>
        <v>1.8073348148148149</v>
      </c>
      <c r="W68" s="2">
        <f>IF(Table4[[#This Row],[linear?]],Table4[[#This Row],[av]],10^(Table4[[#This Row],[av]]/10))</f>
        <v>1.8073348148148149</v>
      </c>
      <c r="X68" s="2">
        <f>Table4[[#This Row],[av_lin]]-2*Table4[[#This Row],[std_lin]]</f>
        <v>-1.8073348148148149</v>
      </c>
      <c r="Y68" s="2">
        <f>Table4[[#This Row],[av_lin]]+2*Table4[[#This Row],[std_lin]]</f>
        <v>5.4220044444444451</v>
      </c>
    </row>
    <row r="69" spans="1:25" x14ac:dyDescent="0.35">
      <c r="A69" s="1">
        <v>747</v>
      </c>
      <c r="B69" t="s">
        <v>75</v>
      </c>
      <c r="C69" t="s">
        <v>549</v>
      </c>
      <c r="D69" t="s">
        <v>726</v>
      </c>
      <c r="E69" s="2">
        <v>3.9812565432098759</v>
      </c>
      <c r="F69" s="2">
        <v>8.505642557393946E-3</v>
      </c>
      <c r="G69">
        <v>27</v>
      </c>
      <c r="H69" t="s">
        <v>58</v>
      </c>
      <c r="I69" s="2">
        <v>3.6</v>
      </c>
      <c r="J69" s="2">
        <v>4.4000000000000004</v>
      </c>
      <c r="K69" s="2">
        <v>4</v>
      </c>
      <c r="L69" s="2">
        <v>0.80000000000000027</v>
      </c>
      <c r="M69" s="2">
        <v>3.9982678283246642</v>
      </c>
      <c r="N69" s="2">
        <v>3.964245258095088</v>
      </c>
      <c r="O69" s="2">
        <v>3.4022570229575777E-2</v>
      </c>
      <c r="P69" s="2">
        <v>468.07240209606198</v>
      </c>
      <c r="Q69" s="2">
        <v>23.51380259050979</v>
      </c>
      <c r="R69" t="str">
        <f t="shared" si="3"/>
        <v>yes</v>
      </c>
      <c r="S69" t="str">
        <f t="shared" si="4"/>
        <v>yes</v>
      </c>
      <c r="T6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9" s="2" t="b">
        <f t="shared" si="5"/>
        <v>1</v>
      </c>
      <c r="V69" s="2">
        <f>IF(Table4[[#This Row],[linear?]],Table4[[#This Row],[av]],10^(Table4[[#This Row],[av]]/10))</f>
        <v>3.9812565432098759</v>
      </c>
      <c r="W69" s="2">
        <f>IF(Table4[[#This Row],[linear?]],Table4[[#This Row],[av]],10^(Table4[[#This Row],[av]]/10))</f>
        <v>3.9812565432098759</v>
      </c>
      <c r="X69" s="2">
        <f>Table4[[#This Row],[av_lin]]-2*Table4[[#This Row],[std_lin]]</f>
        <v>-3.9812565432098759</v>
      </c>
      <c r="Y69" s="2">
        <f>Table4[[#This Row],[av_lin]]+2*Table4[[#This Row],[std_lin]]</f>
        <v>11.943769629629628</v>
      </c>
    </row>
    <row r="70" spans="1:25" x14ac:dyDescent="0.35">
      <c r="A70" s="1">
        <v>752</v>
      </c>
      <c r="B70" t="s">
        <v>75</v>
      </c>
      <c r="C70" t="s">
        <v>549</v>
      </c>
      <c r="D70" t="s">
        <v>731</v>
      </c>
      <c r="E70" s="2">
        <v>0.99582679012345665</v>
      </c>
      <c r="F70" s="2">
        <v>1.0176934366357489E-3</v>
      </c>
      <c r="G70">
        <v>27</v>
      </c>
      <c r="H70" t="s">
        <v>58</v>
      </c>
      <c r="I70" s="2">
        <v>0.85</v>
      </c>
      <c r="J70" s="2">
        <v>1.2</v>
      </c>
      <c r="K70" s="2">
        <v>1.0249999999999999</v>
      </c>
      <c r="L70" s="2">
        <v>0.35</v>
      </c>
      <c r="M70" s="2">
        <v>0.99786217699672819</v>
      </c>
      <c r="N70" s="2">
        <v>0.99379140325018511</v>
      </c>
      <c r="O70" s="2">
        <v>4.0707737465430771E-3</v>
      </c>
      <c r="P70" s="2">
        <v>978.51352310517188</v>
      </c>
      <c r="Q70" s="2">
        <v>85.978740601150292</v>
      </c>
      <c r="R70" t="str">
        <f t="shared" si="3"/>
        <v>yes</v>
      </c>
      <c r="S70" t="str">
        <f t="shared" si="4"/>
        <v>yes</v>
      </c>
      <c r="T7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0" s="2" t="b">
        <f t="shared" si="5"/>
        <v>1</v>
      </c>
      <c r="V70" s="2">
        <f>IF(Table4[[#This Row],[linear?]],Table4[[#This Row],[av]],10^(Table4[[#This Row],[av]]/10))</f>
        <v>0.99582679012345665</v>
      </c>
      <c r="W70" s="2">
        <f>IF(Table4[[#This Row],[linear?]],Table4[[#This Row],[av]],10^(Table4[[#This Row],[av]]/10))</f>
        <v>0.99582679012345665</v>
      </c>
      <c r="X70" s="2">
        <f>Table4[[#This Row],[av_lin]]-2*Table4[[#This Row],[std_lin]]</f>
        <v>-0.99582679012345665</v>
      </c>
      <c r="Y70" s="2">
        <f>Table4[[#This Row],[av_lin]]+2*Table4[[#This Row],[std_lin]]</f>
        <v>2.9874803703703701</v>
      </c>
    </row>
    <row r="71" spans="1:25" x14ac:dyDescent="0.35">
      <c r="A71" s="1">
        <v>754</v>
      </c>
      <c r="B71" t="s">
        <v>75</v>
      </c>
      <c r="C71" t="s">
        <v>549</v>
      </c>
      <c r="D71" t="s">
        <v>733</v>
      </c>
      <c r="E71" s="2">
        <v>1.500533086419753</v>
      </c>
      <c r="F71" s="2">
        <v>3.5703751038163268E-3</v>
      </c>
      <c r="G71">
        <v>27</v>
      </c>
      <c r="H71" t="s">
        <v>58</v>
      </c>
      <c r="I71" s="2">
        <v>1.35</v>
      </c>
      <c r="J71" s="2">
        <v>1.65</v>
      </c>
      <c r="K71" s="2">
        <v>1.5</v>
      </c>
      <c r="L71" s="2">
        <v>0.29999999999999982</v>
      </c>
      <c r="M71" s="2">
        <v>1.5076738366273861</v>
      </c>
      <c r="N71" s="2">
        <v>1.49339233621212</v>
      </c>
      <c r="O71" s="2">
        <v>1.428150041526521E-2</v>
      </c>
      <c r="P71" s="2">
        <v>420.27323258440072</v>
      </c>
      <c r="Q71" s="2">
        <v>21.006196217264101</v>
      </c>
      <c r="R71" t="str">
        <f t="shared" si="3"/>
        <v>yes</v>
      </c>
      <c r="S71" t="str">
        <f t="shared" si="4"/>
        <v>yes</v>
      </c>
      <c r="T7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1" s="2" t="b">
        <f t="shared" si="5"/>
        <v>1</v>
      </c>
      <c r="V71" s="2">
        <f>IF(Table4[[#This Row],[linear?]],Table4[[#This Row],[av]],10^(Table4[[#This Row],[av]]/10))</f>
        <v>1.500533086419753</v>
      </c>
      <c r="W71" s="2">
        <f>IF(Table4[[#This Row],[linear?]],Table4[[#This Row],[av]],10^(Table4[[#This Row],[av]]/10))</f>
        <v>1.500533086419753</v>
      </c>
      <c r="X71" s="2">
        <f>Table4[[#This Row],[av_lin]]-2*Table4[[#This Row],[std_lin]]</f>
        <v>-1.500533086419753</v>
      </c>
      <c r="Y71" s="2">
        <f>Table4[[#This Row],[av_lin]]+2*Table4[[#This Row],[std_lin]]</f>
        <v>4.5015992592592591</v>
      </c>
    </row>
    <row r="72" spans="1:25" x14ac:dyDescent="0.35">
      <c r="A72" s="1">
        <v>756</v>
      </c>
      <c r="B72" t="s">
        <v>75</v>
      </c>
      <c r="C72" t="s">
        <v>549</v>
      </c>
      <c r="D72" t="s">
        <v>735</v>
      </c>
      <c r="E72" s="2">
        <v>35.87645666666667</v>
      </c>
      <c r="F72" s="2">
        <v>9.5812255840649299E-2</v>
      </c>
      <c r="G72">
        <v>27</v>
      </c>
      <c r="H72" t="s">
        <v>58</v>
      </c>
      <c r="I72" s="2">
        <v>34.5</v>
      </c>
      <c r="J72" s="2">
        <v>37</v>
      </c>
      <c r="K72" s="2">
        <v>35.75</v>
      </c>
      <c r="L72" s="2">
        <v>2.5</v>
      </c>
      <c r="M72" s="2">
        <v>36.068081178347967</v>
      </c>
      <c r="N72" s="2">
        <v>35.684832154985372</v>
      </c>
      <c r="O72" s="2">
        <v>0.3832490233625947</v>
      </c>
      <c r="P72" s="2">
        <v>374.44538124991863</v>
      </c>
      <c r="Q72" s="2">
        <v>6.5231738311169334</v>
      </c>
      <c r="R72" t="str">
        <f t="shared" si="3"/>
        <v>yes</v>
      </c>
      <c r="S72" t="str">
        <f t="shared" si="4"/>
        <v>yes</v>
      </c>
      <c r="T7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2" s="2" t="b">
        <f t="shared" si="5"/>
        <v>1</v>
      </c>
      <c r="V72" s="2">
        <f>IF(Table4[[#This Row],[linear?]],Table4[[#This Row],[av]],10^(Table4[[#This Row],[av]]/10))</f>
        <v>35.87645666666667</v>
      </c>
      <c r="W72" s="2">
        <f>IF(Table4[[#This Row],[linear?]],Table4[[#This Row],[av]],10^(Table4[[#This Row],[av]]/10))</f>
        <v>35.87645666666667</v>
      </c>
      <c r="X72" s="2">
        <f>Table4[[#This Row],[av_lin]]-2*Table4[[#This Row],[std_lin]]</f>
        <v>-35.87645666666667</v>
      </c>
      <c r="Y72" s="2">
        <f>Table4[[#This Row],[av_lin]]+2*Table4[[#This Row],[std_lin]]</f>
        <v>107.62937000000001</v>
      </c>
    </row>
    <row r="73" spans="1:25" x14ac:dyDescent="0.35">
      <c r="A73" s="1">
        <v>758</v>
      </c>
      <c r="B73" t="s">
        <v>75</v>
      </c>
      <c r="C73" t="s">
        <v>549</v>
      </c>
      <c r="D73" t="s">
        <v>737</v>
      </c>
      <c r="E73" s="2">
        <v>0.99586172839506149</v>
      </c>
      <c r="F73" s="2">
        <v>1.189422956841209E-3</v>
      </c>
      <c r="G73">
        <v>27</v>
      </c>
      <c r="H73" t="s">
        <v>58</v>
      </c>
      <c r="I73" s="2">
        <v>0.85</v>
      </c>
      <c r="J73" s="2">
        <v>1.2</v>
      </c>
      <c r="K73" s="2">
        <v>1.0249999999999999</v>
      </c>
      <c r="L73" s="2">
        <v>0.35</v>
      </c>
      <c r="M73" s="2">
        <v>0.99824057430874391</v>
      </c>
      <c r="N73" s="2">
        <v>0.99348288248137906</v>
      </c>
      <c r="O73" s="2">
        <v>4.7576918273648516E-3</v>
      </c>
      <c r="P73" s="2">
        <v>837.26459344605667</v>
      </c>
      <c r="Q73" s="2">
        <v>73.565084225695827</v>
      </c>
      <c r="R73" t="str">
        <f t="shared" si="3"/>
        <v>yes</v>
      </c>
      <c r="S73" t="str">
        <f t="shared" si="4"/>
        <v>yes</v>
      </c>
      <c r="T7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3" s="2" t="b">
        <f t="shared" si="5"/>
        <v>1</v>
      </c>
      <c r="V73" s="2">
        <f>IF(Table4[[#This Row],[linear?]],Table4[[#This Row],[av]],10^(Table4[[#This Row],[av]]/10))</f>
        <v>0.99586172839506149</v>
      </c>
      <c r="W73" s="2">
        <f>IF(Table4[[#This Row],[linear?]],Table4[[#This Row],[av]],10^(Table4[[#This Row],[av]]/10))</f>
        <v>0.99586172839506149</v>
      </c>
      <c r="X73" s="2">
        <f>Table4[[#This Row],[av_lin]]-2*Table4[[#This Row],[std_lin]]</f>
        <v>-0.99586172839506149</v>
      </c>
      <c r="Y73" s="2">
        <f>Table4[[#This Row],[av_lin]]+2*Table4[[#This Row],[std_lin]]</f>
        <v>2.9875851851851847</v>
      </c>
    </row>
    <row r="74" spans="1:25" x14ac:dyDescent="0.35">
      <c r="A74" s="1">
        <v>760</v>
      </c>
      <c r="B74" t="s">
        <v>75</v>
      </c>
      <c r="C74" t="s">
        <v>549</v>
      </c>
      <c r="D74" t="s">
        <v>739</v>
      </c>
      <c r="E74" s="2">
        <v>1.499450864197531</v>
      </c>
      <c r="F74" s="2">
        <v>3.2698129244937979E-3</v>
      </c>
      <c r="G74">
        <v>27</v>
      </c>
      <c r="H74" t="s">
        <v>58</v>
      </c>
      <c r="I74" s="2">
        <v>1.35</v>
      </c>
      <c r="J74" s="2">
        <v>1.65</v>
      </c>
      <c r="K74" s="2">
        <v>1.5</v>
      </c>
      <c r="L74" s="2">
        <v>0.29999999999999982</v>
      </c>
      <c r="M74" s="2">
        <v>1.5059904900465191</v>
      </c>
      <c r="N74" s="2">
        <v>1.492911238348543</v>
      </c>
      <c r="O74" s="2">
        <v>1.307925169797519E-2</v>
      </c>
      <c r="P74" s="2">
        <v>458.5738997376011</v>
      </c>
      <c r="Q74" s="2">
        <v>22.937092039175528</v>
      </c>
      <c r="R74" t="str">
        <f t="shared" si="3"/>
        <v>yes</v>
      </c>
      <c r="S74" t="str">
        <f t="shared" si="4"/>
        <v>yes</v>
      </c>
      <c r="T7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4" s="2" t="b">
        <f t="shared" si="5"/>
        <v>1</v>
      </c>
      <c r="V74" s="2">
        <f>IF(Table4[[#This Row],[linear?]],Table4[[#This Row],[av]],10^(Table4[[#This Row],[av]]/10))</f>
        <v>1.499450864197531</v>
      </c>
      <c r="W74" s="2">
        <f>IF(Table4[[#This Row],[linear?]],Table4[[#This Row],[av]],10^(Table4[[#This Row],[av]]/10))</f>
        <v>1.499450864197531</v>
      </c>
      <c r="X74" s="2">
        <f>Table4[[#This Row],[av_lin]]-2*Table4[[#This Row],[std_lin]]</f>
        <v>-1.499450864197531</v>
      </c>
      <c r="Y74" s="2">
        <f>Table4[[#This Row],[av_lin]]+2*Table4[[#This Row],[std_lin]]</f>
        <v>4.4983525925925933</v>
      </c>
    </row>
    <row r="75" spans="1:25" x14ac:dyDescent="0.35">
      <c r="A75" s="1">
        <v>762</v>
      </c>
      <c r="B75" t="s">
        <v>75</v>
      </c>
      <c r="C75" t="s">
        <v>549</v>
      </c>
      <c r="D75" t="s">
        <v>741</v>
      </c>
      <c r="E75" s="2">
        <v>35.8404150617284</v>
      </c>
      <c r="F75" s="2">
        <v>9.4730554968350769E-2</v>
      </c>
      <c r="G75">
        <v>27</v>
      </c>
      <c r="H75" t="s">
        <v>58</v>
      </c>
      <c r="I75" s="2">
        <v>34.5</v>
      </c>
      <c r="J75" s="2">
        <v>37</v>
      </c>
      <c r="K75" s="2">
        <v>35.75</v>
      </c>
      <c r="L75" s="2">
        <v>2.5</v>
      </c>
      <c r="M75" s="2">
        <v>36.029876171665101</v>
      </c>
      <c r="N75" s="2">
        <v>35.650953951791699</v>
      </c>
      <c r="O75" s="2">
        <v>0.37892221987340241</v>
      </c>
      <c r="P75" s="2">
        <v>378.34060059821871</v>
      </c>
      <c r="Q75" s="2">
        <v>6.5976600708062154</v>
      </c>
      <c r="R75" t="str">
        <f t="shared" si="3"/>
        <v>yes</v>
      </c>
      <c r="S75" t="str">
        <f t="shared" si="4"/>
        <v>yes</v>
      </c>
      <c r="T7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5" s="2" t="b">
        <f t="shared" si="5"/>
        <v>1</v>
      </c>
      <c r="V75" s="2">
        <f>IF(Table4[[#This Row],[linear?]],Table4[[#This Row],[av]],10^(Table4[[#This Row],[av]]/10))</f>
        <v>35.8404150617284</v>
      </c>
      <c r="W75" s="2">
        <f>IF(Table4[[#This Row],[linear?]],Table4[[#This Row],[av]],10^(Table4[[#This Row],[av]]/10))</f>
        <v>35.8404150617284</v>
      </c>
      <c r="X75" s="2">
        <f>Table4[[#This Row],[av_lin]]-2*Table4[[#This Row],[std_lin]]</f>
        <v>-35.8404150617284</v>
      </c>
      <c r="Y75" s="2">
        <f>Table4[[#This Row],[av_lin]]+2*Table4[[#This Row],[std_lin]]</f>
        <v>107.52124518518519</v>
      </c>
    </row>
    <row r="76" spans="1:25" x14ac:dyDescent="0.35">
      <c r="A76" s="1">
        <v>764</v>
      </c>
      <c r="B76" t="s">
        <v>75</v>
      </c>
      <c r="C76" t="s">
        <v>549</v>
      </c>
      <c r="D76" t="s">
        <v>743</v>
      </c>
      <c r="E76" s="2">
        <v>0.99528209876543228</v>
      </c>
      <c r="F76" s="2">
        <v>2.0230958400874739E-3</v>
      </c>
      <c r="G76">
        <v>27</v>
      </c>
      <c r="H76" t="s">
        <v>58</v>
      </c>
      <c r="I76" s="2">
        <v>0.85</v>
      </c>
      <c r="J76" s="2">
        <v>1.2</v>
      </c>
      <c r="K76" s="2">
        <v>1.0249999999999999</v>
      </c>
      <c r="L76" s="2">
        <v>0.35</v>
      </c>
      <c r="M76" s="2">
        <v>0.99932829044560723</v>
      </c>
      <c r="N76" s="2">
        <v>0.99123590708525733</v>
      </c>
      <c r="O76" s="2">
        <v>8.0923833603498974E-3</v>
      </c>
      <c r="P76" s="2">
        <v>491.95993538417758</v>
      </c>
      <c r="Q76" s="2">
        <v>43.250546151198002</v>
      </c>
      <c r="R76" t="str">
        <f t="shared" si="3"/>
        <v>yes</v>
      </c>
      <c r="S76" t="str">
        <f t="shared" si="4"/>
        <v>yes</v>
      </c>
      <c r="T7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6" s="2" t="b">
        <f t="shared" si="5"/>
        <v>1</v>
      </c>
      <c r="V76" s="2">
        <f>IF(Table4[[#This Row],[linear?]],Table4[[#This Row],[av]],10^(Table4[[#This Row],[av]]/10))</f>
        <v>0.99528209876543228</v>
      </c>
      <c r="W76" s="2">
        <f>IF(Table4[[#This Row],[linear?]],Table4[[#This Row],[av]],10^(Table4[[#This Row],[av]]/10))</f>
        <v>0.99528209876543228</v>
      </c>
      <c r="X76" s="2">
        <f>Table4[[#This Row],[av_lin]]-2*Table4[[#This Row],[std_lin]]</f>
        <v>-0.99528209876543228</v>
      </c>
      <c r="Y76" s="2">
        <f>Table4[[#This Row],[av_lin]]+2*Table4[[#This Row],[std_lin]]</f>
        <v>2.9858462962962968</v>
      </c>
    </row>
    <row r="77" spans="1:25" x14ac:dyDescent="0.35">
      <c r="A77" s="1">
        <v>766</v>
      </c>
      <c r="B77" t="s">
        <v>75</v>
      </c>
      <c r="C77" t="s">
        <v>549</v>
      </c>
      <c r="D77" t="s">
        <v>745</v>
      </c>
      <c r="E77" s="2">
        <v>1.5006096296296301</v>
      </c>
      <c r="F77" s="2">
        <v>3.619108264762712E-3</v>
      </c>
      <c r="G77">
        <v>27</v>
      </c>
      <c r="H77" t="s">
        <v>58</v>
      </c>
      <c r="I77" s="2">
        <v>1.35</v>
      </c>
      <c r="J77" s="2">
        <v>1.65</v>
      </c>
      <c r="K77" s="2">
        <v>1.5</v>
      </c>
      <c r="L77" s="2">
        <v>0.29999999999999982</v>
      </c>
      <c r="M77" s="2">
        <v>1.507847846159156</v>
      </c>
      <c r="N77" s="2">
        <v>1.493371413100105</v>
      </c>
      <c r="O77" s="2">
        <v>1.4476433059051001E-2</v>
      </c>
      <c r="P77" s="2">
        <v>414.63518630825428</v>
      </c>
      <c r="Q77" s="2">
        <v>20.723336941929421</v>
      </c>
      <c r="R77" t="str">
        <f t="shared" si="3"/>
        <v>yes</v>
      </c>
      <c r="S77" t="str">
        <f t="shared" si="4"/>
        <v>yes</v>
      </c>
      <c r="T7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7" s="2" t="b">
        <f t="shared" si="5"/>
        <v>1</v>
      </c>
      <c r="V77" s="2">
        <f>IF(Table4[[#This Row],[linear?]],Table4[[#This Row],[av]],10^(Table4[[#This Row],[av]]/10))</f>
        <v>1.5006096296296301</v>
      </c>
      <c r="W77" s="2">
        <f>IF(Table4[[#This Row],[linear?]],Table4[[#This Row],[av]],10^(Table4[[#This Row],[av]]/10))</f>
        <v>1.5006096296296301</v>
      </c>
      <c r="X77" s="2">
        <f>Table4[[#This Row],[av_lin]]-2*Table4[[#This Row],[std_lin]]</f>
        <v>-1.5006096296296301</v>
      </c>
      <c r="Y77" s="2">
        <f>Table4[[#This Row],[av_lin]]+2*Table4[[#This Row],[std_lin]]</f>
        <v>4.5018288888888902</v>
      </c>
    </row>
    <row r="78" spans="1:25" x14ac:dyDescent="0.35">
      <c r="A78" s="1">
        <v>768</v>
      </c>
      <c r="B78" t="s">
        <v>75</v>
      </c>
      <c r="C78" t="s">
        <v>549</v>
      </c>
      <c r="D78" t="s">
        <v>747</v>
      </c>
      <c r="E78" s="2">
        <v>35.86572024691359</v>
      </c>
      <c r="F78" s="2">
        <v>0.1092471797439387</v>
      </c>
      <c r="G78">
        <v>27</v>
      </c>
      <c r="H78" t="s">
        <v>58</v>
      </c>
      <c r="I78" s="2">
        <v>34.5</v>
      </c>
      <c r="J78" s="2">
        <v>37</v>
      </c>
      <c r="K78" s="2">
        <v>35.75</v>
      </c>
      <c r="L78" s="2">
        <v>2.5</v>
      </c>
      <c r="M78" s="2">
        <v>36.084214606401467</v>
      </c>
      <c r="N78" s="2">
        <v>35.647225887425712</v>
      </c>
      <c r="O78" s="2">
        <v>0.43698871897575492</v>
      </c>
      <c r="P78" s="2">
        <v>328.29882044532599</v>
      </c>
      <c r="Q78" s="2">
        <v>5.7209714837940826</v>
      </c>
      <c r="R78" t="str">
        <f t="shared" si="3"/>
        <v>yes</v>
      </c>
      <c r="S78" t="str">
        <f t="shared" si="4"/>
        <v>yes</v>
      </c>
      <c r="T7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8" s="2" t="b">
        <f t="shared" si="5"/>
        <v>1</v>
      </c>
      <c r="V78" s="2">
        <f>IF(Table4[[#This Row],[linear?]],Table4[[#This Row],[av]],10^(Table4[[#This Row],[av]]/10))</f>
        <v>35.86572024691359</v>
      </c>
      <c r="W78" s="2">
        <f>IF(Table4[[#This Row],[linear?]],Table4[[#This Row],[av]],10^(Table4[[#This Row],[av]]/10))</f>
        <v>35.86572024691359</v>
      </c>
      <c r="X78" s="2">
        <f>Table4[[#This Row],[av_lin]]-2*Table4[[#This Row],[std_lin]]</f>
        <v>-35.86572024691359</v>
      </c>
      <c r="Y78" s="2">
        <f>Table4[[#This Row],[av_lin]]+2*Table4[[#This Row],[std_lin]]</f>
        <v>107.59716074074078</v>
      </c>
    </row>
    <row r="79" spans="1:25" x14ac:dyDescent="0.35">
      <c r="A79" s="1">
        <v>769</v>
      </c>
      <c r="B79" t="s">
        <v>75</v>
      </c>
      <c r="C79" t="s">
        <v>549</v>
      </c>
      <c r="D79" t="s">
        <v>748</v>
      </c>
      <c r="E79" s="2">
        <v>1.8017248148148151</v>
      </c>
      <c r="F79" s="2">
        <v>7.0234824468362487E-3</v>
      </c>
      <c r="G79">
        <v>27</v>
      </c>
      <c r="H79" t="s">
        <v>58</v>
      </c>
      <c r="I79" s="2">
        <v>1.62</v>
      </c>
      <c r="J79" s="2">
        <v>1.98</v>
      </c>
      <c r="K79" s="2">
        <v>1.8</v>
      </c>
      <c r="L79" s="2">
        <v>0.35999999999999988</v>
      </c>
      <c r="M79" s="2">
        <v>1.815771779708488</v>
      </c>
      <c r="N79" s="2">
        <v>1.787677849921143</v>
      </c>
      <c r="O79" s="2">
        <v>2.809392978734504E-2</v>
      </c>
      <c r="P79" s="2">
        <v>256.52869903966342</v>
      </c>
      <c r="Q79" s="2">
        <v>12.814156037442739</v>
      </c>
      <c r="R79" t="str">
        <f t="shared" si="3"/>
        <v>yes</v>
      </c>
      <c r="S79" t="str">
        <f t="shared" si="4"/>
        <v>yes</v>
      </c>
      <c r="T7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9" s="2" t="b">
        <f t="shared" si="5"/>
        <v>1</v>
      </c>
      <c r="V79" s="2">
        <f>IF(Table4[[#This Row],[linear?]],Table4[[#This Row],[av]],10^(Table4[[#This Row],[av]]/10))</f>
        <v>1.8017248148148151</v>
      </c>
      <c r="W79" s="2">
        <f>IF(Table4[[#This Row],[linear?]],Table4[[#This Row],[av]],10^(Table4[[#This Row],[av]]/10))</f>
        <v>1.8017248148148151</v>
      </c>
      <c r="X79" s="2">
        <f>Table4[[#This Row],[av_lin]]-2*Table4[[#This Row],[std_lin]]</f>
        <v>-1.8017248148148151</v>
      </c>
      <c r="Y79" s="2">
        <f>Table4[[#This Row],[av_lin]]+2*Table4[[#This Row],[std_lin]]</f>
        <v>5.4051744444444454</v>
      </c>
    </row>
    <row r="80" spans="1:25" x14ac:dyDescent="0.35">
      <c r="A80" s="1">
        <v>774</v>
      </c>
      <c r="B80" t="s">
        <v>75</v>
      </c>
      <c r="C80" t="s">
        <v>549</v>
      </c>
      <c r="D80" t="s">
        <v>753</v>
      </c>
      <c r="E80" s="2">
        <v>3.9805080246913591</v>
      </c>
      <c r="F80" s="2">
        <v>1.4453240019041519E-2</v>
      </c>
      <c r="G80">
        <v>27</v>
      </c>
      <c r="H80" t="s">
        <v>58</v>
      </c>
      <c r="I80" s="2">
        <v>3.6</v>
      </c>
      <c r="J80" s="2">
        <v>4.4000000000000004</v>
      </c>
      <c r="K80" s="2">
        <v>4</v>
      </c>
      <c r="L80" s="2">
        <v>0.80000000000000027</v>
      </c>
      <c r="M80" s="2">
        <v>4.0094145047294418</v>
      </c>
      <c r="N80" s="2">
        <v>3.951601544653276</v>
      </c>
      <c r="O80" s="2">
        <v>5.7812960076165883E-2</v>
      </c>
      <c r="P80" s="2">
        <v>275.40593108861492</v>
      </c>
      <c r="Q80" s="2">
        <v>13.83772771617363</v>
      </c>
      <c r="R80" t="str">
        <f t="shared" si="3"/>
        <v>yes</v>
      </c>
      <c r="S80" t="str">
        <f t="shared" si="4"/>
        <v>yes</v>
      </c>
      <c r="T8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0" s="2" t="b">
        <f t="shared" si="5"/>
        <v>1</v>
      </c>
      <c r="V80" s="2">
        <f>IF(Table4[[#This Row],[linear?]],Table4[[#This Row],[av]],10^(Table4[[#This Row],[av]]/10))</f>
        <v>3.9805080246913591</v>
      </c>
      <c r="W80" s="2">
        <f>IF(Table4[[#This Row],[linear?]],Table4[[#This Row],[av]],10^(Table4[[#This Row],[av]]/10))</f>
        <v>3.9805080246913591</v>
      </c>
      <c r="X80" s="2">
        <f>Table4[[#This Row],[av_lin]]-2*Table4[[#This Row],[std_lin]]</f>
        <v>-3.9805080246913591</v>
      </c>
      <c r="Y80" s="2">
        <f>Table4[[#This Row],[av_lin]]+2*Table4[[#This Row],[std_lin]]</f>
        <v>11.941524074074078</v>
      </c>
    </row>
    <row r="81" spans="1:25" x14ac:dyDescent="0.35">
      <c r="A81" s="1">
        <v>778</v>
      </c>
      <c r="B81" t="s">
        <v>75</v>
      </c>
      <c r="C81" t="s">
        <v>549</v>
      </c>
      <c r="D81" t="s">
        <v>757</v>
      </c>
      <c r="E81" s="2">
        <v>1.801221604938271</v>
      </c>
      <c r="F81" s="2">
        <v>4.5443499890737782E-3</v>
      </c>
      <c r="G81">
        <v>27</v>
      </c>
      <c r="H81" t="s">
        <v>58</v>
      </c>
      <c r="I81" s="2">
        <v>1.62</v>
      </c>
      <c r="J81" s="2">
        <v>1.98</v>
      </c>
      <c r="K81" s="2">
        <v>1.8</v>
      </c>
      <c r="L81" s="2">
        <v>0.35999999999999988</v>
      </c>
      <c r="M81" s="2">
        <v>1.8103103049164191</v>
      </c>
      <c r="N81" s="2">
        <v>1.7921329049601229</v>
      </c>
      <c r="O81" s="2">
        <v>1.81773999562953E-2</v>
      </c>
      <c r="P81" s="2">
        <v>396.36507075138218</v>
      </c>
      <c r="Q81" s="2">
        <v>19.804812617071921</v>
      </c>
      <c r="R81" t="str">
        <f t="shared" si="3"/>
        <v>yes</v>
      </c>
      <c r="S81" t="str">
        <f t="shared" si="4"/>
        <v>yes</v>
      </c>
      <c r="T8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1" s="2" t="b">
        <f t="shared" si="5"/>
        <v>1</v>
      </c>
      <c r="V81" s="2">
        <f>IF(Table4[[#This Row],[linear?]],Table4[[#This Row],[av]],10^(Table4[[#This Row],[av]]/10))</f>
        <v>1.801221604938271</v>
      </c>
      <c r="W81" s="2">
        <f>IF(Table4[[#This Row],[linear?]],Table4[[#This Row],[av]],10^(Table4[[#This Row],[av]]/10))</f>
        <v>1.801221604938271</v>
      </c>
      <c r="X81" s="2">
        <f>Table4[[#This Row],[av_lin]]-2*Table4[[#This Row],[std_lin]]</f>
        <v>-1.801221604938271</v>
      </c>
      <c r="Y81" s="2">
        <f>Table4[[#This Row],[av_lin]]+2*Table4[[#This Row],[std_lin]]</f>
        <v>5.403664814814813</v>
      </c>
    </row>
    <row r="82" spans="1:25" x14ac:dyDescent="0.35">
      <c r="A82" s="1">
        <v>783</v>
      </c>
      <c r="B82" t="s">
        <v>75</v>
      </c>
      <c r="C82" t="s">
        <v>549</v>
      </c>
      <c r="D82" t="s">
        <v>762</v>
      </c>
      <c r="E82" s="2">
        <v>3.9791304938271592</v>
      </c>
      <c r="F82" s="2">
        <v>1.168942970103426E-2</v>
      </c>
      <c r="G82">
        <v>27</v>
      </c>
      <c r="H82" t="s">
        <v>58</v>
      </c>
      <c r="I82" s="2">
        <v>3.6</v>
      </c>
      <c r="J82" s="2">
        <v>4.4000000000000004</v>
      </c>
      <c r="K82" s="2">
        <v>4</v>
      </c>
      <c r="L82" s="2">
        <v>0.80000000000000027</v>
      </c>
      <c r="M82" s="2">
        <v>4.002509353229228</v>
      </c>
      <c r="N82" s="2">
        <v>3.95575163442509</v>
      </c>
      <c r="O82" s="2">
        <v>4.6757718804137482E-2</v>
      </c>
      <c r="P82" s="2">
        <v>340.40415962081482</v>
      </c>
      <c r="Q82" s="2">
        <v>17.109474552236069</v>
      </c>
      <c r="R82" t="str">
        <f t="shared" si="3"/>
        <v>yes</v>
      </c>
      <c r="S82" t="str">
        <f t="shared" si="4"/>
        <v>yes</v>
      </c>
      <c r="T8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2" s="2" t="b">
        <f t="shared" si="5"/>
        <v>1</v>
      </c>
      <c r="V82" s="2">
        <f>IF(Table4[[#This Row],[linear?]],Table4[[#This Row],[av]],10^(Table4[[#This Row],[av]]/10))</f>
        <v>3.9791304938271592</v>
      </c>
      <c r="W82" s="2">
        <f>IF(Table4[[#This Row],[linear?]],Table4[[#This Row],[av]],10^(Table4[[#This Row],[av]]/10))</f>
        <v>3.9791304938271592</v>
      </c>
      <c r="X82" s="2">
        <f>Table4[[#This Row],[av_lin]]-2*Table4[[#This Row],[std_lin]]</f>
        <v>-3.9791304938271592</v>
      </c>
      <c r="Y82" s="2">
        <f>Table4[[#This Row],[av_lin]]+2*Table4[[#This Row],[std_lin]]</f>
        <v>11.937391481481477</v>
      </c>
    </row>
    <row r="83" spans="1:25" x14ac:dyDescent="0.35">
      <c r="A83" s="1">
        <v>787</v>
      </c>
      <c r="B83" t="s">
        <v>75</v>
      </c>
      <c r="C83" t="s">
        <v>549</v>
      </c>
      <c r="D83" t="s">
        <v>766</v>
      </c>
      <c r="E83" s="2">
        <v>1.8033686419753081</v>
      </c>
      <c r="F83" s="2">
        <v>4.2703443222781058E-3</v>
      </c>
      <c r="G83">
        <v>27</v>
      </c>
      <c r="H83" t="s">
        <v>58</v>
      </c>
      <c r="I83" s="2">
        <v>1.62</v>
      </c>
      <c r="J83" s="2">
        <v>1.98</v>
      </c>
      <c r="K83" s="2">
        <v>1.8</v>
      </c>
      <c r="L83" s="2">
        <v>0.35999999999999988</v>
      </c>
      <c r="M83" s="2">
        <v>1.8119093306198639</v>
      </c>
      <c r="N83" s="2">
        <v>1.7948279533307521</v>
      </c>
      <c r="O83" s="2">
        <v>1.708137728911252E-2</v>
      </c>
      <c r="P83" s="2">
        <v>422.30052330142382</v>
      </c>
      <c r="Q83" s="2">
        <v>21.075583889213661</v>
      </c>
      <c r="R83" t="str">
        <f t="shared" si="3"/>
        <v>yes</v>
      </c>
      <c r="S83" t="str">
        <f t="shared" si="4"/>
        <v>yes</v>
      </c>
      <c r="T8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3" s="2" t="b">
        <f t="shared" si="5"/>
        <v>1</v>
      </c>
      <c r="V83" s="2">
        <f>IF(Table4[[#This Row],[linear?]],Table4[[#This Row],[av]],10^(Table4[[#This Row],[av]]/10))</f>
        <v>1.8033686419753081</v>
      </c>
      <c r="W83" s="2">
        <f>IF(Table4[[#This Row],[linear?]],Table4[[#This Row],[av]],10^(Table4[[#This Row],[av]]/10))</f>
        <v>1.8033686419753081</v>
      </c>
      <c r="X83" s="2">
        <f>Table4[[#This Row],[av_lin]]-2*Table4[[#This Row],[std_lin]]</f>
        <v>-1.8033686419753081</v>
      </c>
      <c r="Y83" s="2">
        <f>Table4[[#This Row],[av_lin]]+2*Table4[[#This Row],[std_lin]]</f>
        <v>5.4101059259259241</v>
      </c>
    </row>
    <row r="84" spans="1:25" x14ac:dyDescent="0.35">
      <c r="A84" s="1">
        <v>792</v>
      </c>
      <c r="B84" t="s">
        <v>75</v>
      </c>
      <c r="C84" t="s">
        <v>549</v>
      </c>
      <c r="D84" t="s">
        <v>771</v>
      </c>
      <c r="E84" s="2">
        <v>3.982217654320988</v>
      </c>
      <c r="F84" s="2">
        <v>9.7130019588917028E-3</v>
      </c>
      <c r="G84">
        <v>27</v>
      </c>
      <c r="H84" t="s">
        <v>58</v>
      </c>
      <c r="I84" s="2">
        <v>3.6</v>
      </c>
      <c r="J84" s="2">
        <v>4.4000000000000004</v>
      </c>
      <c r="K84" s="2">
        <v>4</v>
      </c>
      <c r="L84" s="2">
        <v>0.80000000000000027</v>
      </c>
      <c r="M84" s="2">
        <v>4.0016436582387724</v>
      </c>
      <c r="N84" s="2">
        <v>3.9627916504032039</v>
      </c>
      <c r="O84" s="2">
        <v>3.8852007835567193E-2</v>
      </c>
      <c r="P84" s="2">
        <v>409.9883507874199</v>
      </c>
      <c r="Q84" s="2">
        <v>20.59095641558164</v>
      </c>
      <c r="R84" t="str">
        <f t="shared" si="3"/>
        <v>yes</v>
      </c>
      <c r="S84" t="str">
        <f t="shared" si="4"/>
        <v>yes</v>
      </c>
      <c r="T8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4" s="2" t="b">
        <f t="shared" si="5"/>
        <v>1</v>
      </c>
      <c r="V84" s="2">
        <f>IF(Table4[[#This Row],[linear?]],Table4[[#This Row],[av]],10^(Table4[[#This Row],[av]]/10))</f>
        <v>3.982217654320988</v>
      </c>
      <c r="W84" s="2">
        <f>IF(Table4[[#This Row],[linear?]],Table4[[#This Row],[av]],10^(Table4[[#This Row],[av]]/10))</f>
        <v>3.982217654320988</v>
      </c>
      <c r="X84" s="2">
        <f>Table4[[#This Row],[av_lin]]-2*Table4[[#This Row],[std_lin]]</f>
        <v>-3.982217654320988</v>
      </c>
      <c r="Y84" s="2">
        <f>Table4[[#This Row],[av_lin]]+2*Table4[[#This Row],[std_lin]]</f>
        <v>11.946652962962965</v>
      </c>
    </row>
    <row r="85" spans="1:25" x14ac:dyDescent="0.35">
      <c r="A85" s="1">
        <v>797</v>
      </c>
      <c r="B85" t="s">
        <v>75</v>
      </c>
      <c r="C85" t="s">
        <v>549</v>
      </c>
      <c r="D85" t="s">
        <v>776</v>
      </c>
      <c r="E85" s="2">
        <v>0.9950608641975307</v>
      </c>
      <c r="F85" s="2">
        <v>2.359030916599844E-3</v>
      </c>
      <c r="G85">
        <v>27</v>
      </c>
      <c r="H85" t="s">
        <v>58</v>
      </c>
      <c r="I85" s="2">
        <v>0.85</v>
      </c>
      <c r="J85" s="2">
        <v>1.2</v>
      </c>
      <c r="K85" s="2">
        <v>1.0249999999999999</v>
      </c>
      <c r="L85" s="2">
        <v>0.35</v>
      </c>
      <c r="M85" s="2">
        <v>0.99977892603073037</v>
      </c>
      <c r="N85" s="2">
        <v>0.99034280236433103</v>
      </c>
      <c r="O85" s="2">
        <v>9.4361236663993431E-3</v>
      </c>
      <c r="P85" s="2">
        <v>421.80916629602621</v>
      </c>
      <c r="Q85" s="2">
        <v>37.091502016479367</v>
      </c>
      <c r="R85" t="str">
        <f t="shared" si="3"/>
        <v>yes</v>
      </c>
      <c r="S85" t="str">
        <f t="shared" si="4"/>
        <v>yes</v>
      </c>
      <c r="T8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5" s="2" t="b">
        <f t="shared" si="5"/>
        <v>1</v>
      </c>
      <c r="V85" s="2">
        <f>IF(Table4[[#This Row],[linear?]],Table4[[#This Row],[av]],10^(Table4[[#This Row],[av]]/10))</f>
        <v>0.9950608641975307</v>
      </c>
      <c r="W85" s="2">
        <f>IF(Table4[[#This Row],[linear?]],Table4[[#This Row],[av]],10^(Table4[[#This Row],[av]]/10))</f>
        <v>0.9950608641975307</v>
      </c>
      <c r="X85" s="2">
        <f>Table4[[#This Row],[av_lin]]-2*Table4[[#This Row],[std_lin]]</f>
        <v>-0.9950608641975307</v>
      </c>
      <c r="Y85" s="2">
        <f>Table4[[#This Row],[av_lin]]+2*Table4[[#This Row],[std_lin]]</f>
        <v>2.9851825925925919</v>
      </c>
    </row>
    <row r="86" spans="1:25" x14ac:dyDescent="0.35">
      <c r="A86" s="1">
        <v>799</v>
      </c>
      <c r="B86" t="s">
        <v>75</v>
      </c>
      <c r="C86" t="s">
        <v>549</v>
      </c>
      <c r="D86" t="s">
        <v>778</v>
      </c>
      <c r="E86" s="2">
        <v>1.501025432098765</v>
      </c>
      <c r="F86" s="2">
        <v>3.3557772110269909E-3</v>
      </c>
      <c r="G86">
        <v>27</v>
      </c>
      <c r="H86" t="s">
        <v>58</v>
      </c>
      <c r="I86" s="2">
        <v>1.35</v>
      </c>
      <c r="J86" s="2">
        <v>1.65</v>
      </c>
      <c r="K86" s="2">
        <v>1.5</v>
      </c>
      <c r="L86" s="2">
        <v>0.29999999999999982</v>
      </c>
      <c r="M86" s="2">
        <v>1.507736986520819</v>
      </c>
      <c r="N86" s="2">
        <v>1.4943138776767111</v>
      </c>
      <c r="O86" s="2">
        <v>1.342310884410791E-2</v>
      </c>
      <c r="P86" s="2">
        <v>447.29591319901601</v>
      </c>
      <c r="Q86" s="2">
        <v>22.349517051832979</v>
      </c>
      <c r="R86" t="str">
        <f t="shared" si="3"/>
        <v>yes</v>
      </c>
      <c r="S86" t="str">
        <f t="shared" si="4"/>
        <v>yes</v>
      </c>
      <c r="T8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6" s="2" t="b">
        <f t="shared" si="5"/>
        <v>1</v>
      </c>
      <c r="V86" s="2">
        <f>IF(Table4[[#This Row],[linear?]],Table4[[#This Row],[av]],10^(Table4[[#This Row],[av]]/10))</f>
        <v>1.501025432098765</v>
      </c>
      <c r="W86" s="2">
        <f>IF(Table4[[#This Row],[linear?]],Table4[[#This Row],[av]],10^(Table4[[#This Row],[av]]/10))</f>
        <v>1.501025432098765</v>
      </c>
      <c r="X86" s="2">
        <f>Table4[[#This Row],[av_lin]]-2*Table4[[#This Row],[std_lin]]</f>
        <v>-1.501025432098765</v>
      </c>
      <c r="Y86" s="2">
        <f>Table4[[#This Row],[av_lin]]+2*Table4[[#This Row],[std_lin]]</f>
        <v>4.5030762962962951</v>
      </c>
    </row>
    <row r="87" spans="1:25" x14ac:dyDescent="0.35">
      <c r="A87" s="1">
        <v>801</v>
      </c>
      <c r="B87" t="s">
        <v>75</v>
      </c>
      <c r="C87" t="s">
        <v>549</v>
      </c>
      <c r="D87" t="s">
        <v>780</v>
      </c>
      <c r="E87" s="2">
        <v>35.913449629629639</v>
      </c>
      <c r="F87" s="2">
        <v>0.1058341378245686</v>
      </c>
      <c r="G87">
        <v>27</v>
      </c>
      <c r="H87" t="s">
        <v>58</v>
      </c>
      <c r="I87" s="2">
        <v>34.5</v>
      </c>
      <c r="J87" s="2">
        <v>37</v>
      </c>
      <c r="K87" s="2">
        <v>35.75</v>
      </c>
      <c r="L87" s="2">
        <v>2.5</v>
      </c>
      <c r="M87" s="2">
        <v>36.125117905278778</v>
      </c>
      <c r="N87" s="2">
        <v>35.7017813539805</v>
      </c>
      <c r="O87" s="2">
        <v>0.42333655129827719</v>
      </c>
      <c r="P87" s="2">
        <v>339.33710207154542</v>
      </c>
      <c r="Q87" s="2">
        <v>5.9054669206641073</v>
      </c>
      <c r="R87" t="str">
        <f t="shared" si="3"/>
        <v>yes</v>
      </c>
      <c r="S87" t="str">
        <f t="shared" si="4"/>
        <v>yes</v>
      </c>
      <c r="T8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7" s="2" t="b">
        <f t="shared" si="5"/>
        <v>1</v>
      </c>
      <c r="V87" s="2">
        <f>IF(Table4[[#This Row],[linear?]],Table4[[#This Row],[av]],10^(Table4[[#This Row],[av]]/10))</f>
        <v>35.913449629629639</v>
      </c>
      <c r="W87" s="2">
        <f>IF(Table4[[#This Row],[linear?]],Table4[[#This Row],[av]],10^(Table4[[#This Row],[av]]/10))</f>
        <v>35.913449629629639</v>
      </c>
      <c r="X87" s="2">
        <f>Table4[[#This Row],[av_lin]]-2*Table4[[#This Row],[std_lin]]</f>
        <v>-35.913449629629639</v>
      </c>
      <c r="Y87" s="2">
        <f>Table4[[#This Row],[av_lin]]+2*Table4[[#This Row],[std_lin]]</f>
        <v>107.74034888888892</v>
      </c>
    </row>
    <row r="88" spans="1:25" x14ac:dyDescent="0.35">
      <c r="A88" s="1">
        <v>803</v>
      </c>
      <c r="B88" t="s">
        <v>75</v>
      </c>
      <c r="C88" t="s">
        <v>549</v>
      </c>
      <c r="D88" t="s">
        <v>782</v>
      </c>
      <c r="E88" s="2">
        <v>0.99720259259259236</v>
      </c>
      <c r="F88" s="2">
        <v>1.481250772538823E-3</v>
      </c>
      <c r="G88">
        <v>27</v>
      </c>
      <c r="H88" t="s">
        <v>58</v>
      </c>
      <c r="I88" s="2">
        <v>0.85</v>
      </c>
      <c r="J88" s="2">
        <v>1.2</v>
      </c>
      <c r="K88" s="2">
        <v>1.0249999999999999</v>
      </c>
      <c r="L88" s="2">
        <v>0.35</v>
      </c>
      <c r="M88" s="2">
        <v>1.0001650941376701</v>
      </c>
      <c r="N88" s="2">
        <v>0.99424009104751476</v>
      </c>
      <c r="O88" s="2">
        <v>5.9250030901553119E-3</v>
      </c>
      <c r="P88" s="2">
        <v>673.21658903401931</v>
      </c>
      <c r="Q88" s="2">
        <v>59.071699149244743</v>
      </c>
      <c r="R88" t="str">
        <f t="shared" si="3"/>
        <v>yes</v>
      </c>
      <c r="S88" t="str">
        <f t="shared" si="4"/>
        <v>yes</v>
      </c>
      <c r="T8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8" s="2" t="b">
        <f t="shared" si="5"/>
        <v>1</v>
      </c>
      <c r="V88" s="2">
        <f>IF(Table4[[#This Row],[linear?]],Table4[[#This Row],[av]],10^(Table4[[#This Row],[av]]/10))</f>
        <v>0.99720259259259236</v>
      </c>
      <c r="W88" s="2">
        <f>IF(Table4[[#This Row],[linear?]],Table4[[#This Row],[av]],10^(Table4[[#This Row],[av]]/10))</f>
        <v>0.99720259259259236</v>
      </c>
      <c r="X88" s="2">
        <f>Table4[[#This Row],[av_lin]]-2*Table4[[#This Row],[std_lin]]</f>
        <v>-0.99720259259259236</v>
      </c>
      <c r="Y88" s="2">
        <f>Table4[[#This Row],[av_lin]]+2*Table4[[#This Row],[std_lin]]</f>
        <v>2.991607777777777</v>
      </c>
    </row>
    <row r="89" spans="1:25" x14ac:dyDescent="0.35">
      <c r="A89" s="1">
        <v>805</v>
      </c>
      <c r="B89" t="s">
        <v>75</v>
      </c>
      <c r="C89" t="s">
        <v>549</v>
      </c>
      <c r="D89" t="s">
        <v>784</v>
      </c>
      <c r="E89" s="2">
        <v>1.502266049382716</v>
      </c>
      <c r="F89" s="2">
        <v>6.3116828007806084E-3</v>
      </c>
      <c r="G89">
        <v>27</v>
      </c>
      <c r="H89" t="s">
        <v>58</v>
      </c>
      <c r="I89" s="2">
        <v>1.35</v>
      </c>
      <c r="J89" s="2">
        <v>1.65</v>
      </c>
      <c r="K89" s="2">
        <v>1.5</v>
      </c>
      <c r="L89" s="2">
        <v>0.29999999999999982</v>
      </c>
      <c r="M89" s="2">
        <v>1.5148894149842771</v>
      </c>
      <c r="N89" s="2">
        <v>1.4896426837811549</v>
      </c>
      <c r="O89" s="2">
        <v>2.52467312031226E-2</v>
      </c>
      <c r="P89" s="2">
        <v>238.01355308871359</v>
      </c>
      <c r="Q89" s="2">
        <v>11.88272642451609</v>
      </c>
      <c r="R89" t="str">
        <f t="shared" si="3"/>
        <v>yes</v>
      </c>
      <c r="S89" t="str">
        <f t="shared" si="4"/>
        <v>yes</v>
      </c>
      <c r="T8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9" s="2" t="b">
        <f t="shared" si="5"/>
        <v>1</v>
      </c>
      <c r="V89" s="2">
        <f>IF(Table4[[#This Row],[linear?]],Table4[[#This Row],[av]],10^(Table4[[#This Row],[av]]/10))</f>
        <v>1.502266049382716</v>
      </c>
      <c r="W89" s="2">
        <f>IF(Table4[[#This Row],[linear?]],Table4[[#This Row],[av]],10^(Table4[[#This Row],[av]]/10))</f>
        <v>1.502266049382716</v>
      </c>
      <c r="X89" s="2">
        <f>Table4[[#This Row],[av_lin]]-2*Table4[[#This Row],[std_lin]]</f>
        <v>-1.502266049382716</v>
      </c>
      <c r="Y89" s="2">
        <f>Table4[[#This Row],[av_lin]]+2*Table4[[#This Row],[std_lin]]</f>
        <v>4.5067981481481478</v>
      </c>
    </row>
    <row r="90" spans="1:25" x14ac:dyDescent="0.35">
      <c r="A90" s="1">
        <v>807</v>
      </c>
      <c r="B90" t="s">
        <v>75</v>
      </c>
      <c r="C90" t="s">
        <v>549</v>
      </c>
      <c r="D90" t="s">
        <v>786</v>
      </c>
      <c r="E90" s="2">
        <v>35.96123469135803</v>
      </c>
      <c r="F90" s="2">
        <v>7.929976926534052E-2</v>
      </c>
      <c r="G90">
        <v>27</v>
      </c>
      <c r="H90" t="s">
        <v>58</v>
      </c>
      <c r="I90" s="2">
        <v>34.5</v>
      </c>
      <c r="J90" s="2">
        <v>37</v>
      </c>
      <c r="K90" s="2">
        <v>35.75</v>
      </c>
      <c r="L90" s="2">
        <v>2.5</v>
      </c>
      <c r="M90" s="2">
        <v>36.11983422988871</v>
      </c>
      <c r="N90" s="2">
        <v>35.802635152827349</v>
      </c>
      <c r="O90" s="2">
        <v>0.31719907706136041</v>
      </c>
      <c r="P90" s="2">
        <v>453.48473298869447</v>
      </c>
      <c r="Q90" s="2">
        <v>7.8814857318023934</v>
      </c>
      <c r="R90" t="str">
        <f t="shared" si="3"/>
        <v>yes</v>
      </c>
      <c r="S90" t="str">
        <f t="shared" si="4"/>
        <v>yes</v>
      </c>
      <c r="T9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0" s="2" t="b">
        <f t="shared" si="5"/>
        <v>1</v>
      </c>
      <c r="V90" s="2">
        <f>IF(Table4[[#This Row],[linear?]],Table4[[#This Row],[av]],10^(Table4[[#This Row],[av]]/10))</f>
        <v>35.96123469135803</v>
      </c>
      <c r="W90" s="2">
        <f>IF(Table4[[#This Row],[linear?]],Table4[[#This Row],[av]],10^(Table4[[#This Row],[av]]/10))</f>
        <v>35.96123469135803</v>
      </c>
      <c r="X90" s="2">
        <f>Table4[[#This Row],[av_lin]]-2*Table4[[#This Row],[std_lin]]</f>
        <v>-35.96123469135803</v>
      </c>
      <c r="Y90" s="2">
        <f>Table4[[#This Row],[av_lin]]+2*Table4[[#This Row],[std_lin]]</f>
        <v>107.88370407407409</v>
      </c>
    </row>
    <row r="91" spans="1:25" x14ac:dyDescent="0.35">
      <c r="A91" s="1">
        <v>809</v>
      </c>
      <c r="B91" t="s">
        <v>75</v>
      </c>
      <c r="C91" t="s">
        <v>549</v>
      </c>
      <c r="D91" t="s">
        <v>788</v>
      </c>
      <c r="E91" s="2">
        <v>0.9945477777777777</v>
      </c>
      <c r="F91" s="2">
        <v>3.0509058872537679E-3</v>
      </c>
      <c r="G91">
        <v>27</v>
      </c>
      <c r="H91" t="s">
        <v>58</v>
      </c>
      <c r="I91" s="2">
        <v>0.85</v>
      </c>
      <c r="J91" s="2">
        <v>1.2</v>
      </c>
      <c r="K91" s="2">
        <v>1.0249999999999999</v>
      </c>
      <c r="L91" s="2">
        <v>0.35</v>
      </c>
      <c r="M91" s="2">
        <v>1.0006495895522849</v>
      </c>
      <c r="N91" s="2">
        <v>0.98844596600327017</v>
      </c>
      <c r="O91" s="2">
        <v>1.220362354901516E-2</v>
      </c>
      <c r="P91" s="2">
        <v>325.98441726205021</v>
      </c>
      <c r="Q91" s="2">
        <v>28.680006277991509</v>
      </c>
      <c r="R91" t="str">
        <f t="shared" si="3"/>
        <v>yes</v>
      </c>
      <c r="S91" t="str">
        <f t="shared" si="4"/>
        <v>yes</v>
      </c>
      <c r="T9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1" s="2" t="b">
        <f t="shared" si="5"/>
        <v>1</v>
      </c>
      <c r="V91" s="2">
        <f>IF(Table4[[#This Row],[linear?]],Table4[[#This Row],[av]],10^(Table4[[#This Row],[av]]/10))</f>
        <v>0.9945477777777777</v>
      </c>
      <c r="W91" s="2">
        <f>IF(Table4[[#This Row],[linear?]],Table4[[#This Row],[av]],10^(Table4[[#This Row],[av]]/10))</f>
        <v>0.9945477777777777</v>
      </c>
      <c r="X91" s="2">
        <f>Table4[[#This Row],[av_lin]]-2*Table4[[#This Row],[std_lin]]</f>
        <v>-0.9945477777777777</v>
      </c>
      <c r="Y91" s="2">
        <f>Table4[[#This Row],[av_lin]]+2*Table4[[#This Row],[std_lin]]</f>
        <v>2.9836433333333332</v>
      </c>
    </row>
    <row r="92" spans="1:25" x14ac:dyDescent="0.35">
      <c r="A92" s="1">
        <v>811</v>
      </c>
      <c r="B92" t="s">
        <v>75</v>
      </c>
      <c r="C92" t="s">
        <v>549</v>
      </c>
      <c r="D92" t="s">
        <v>790</v>
      </c>
      <c r="E92" s="2">
        <v>1.499190987654321</v>
      </c>
      <c r="F92" s="2">
        <v>4.1490324427402442E-3</v>
      </c>
      <c r="G92">
        <v>27</v>
      </c>
      <c r="H92" t="s">
        <v>58</v>
      </c>
      <c r="I92" s="2">
        <v>1.35</v>
      </c>
      <c r="J92" s="2">
        <v>1.65</v>
      </c>
      <c r="K92" s="2">
        <v>1.5</v>
      </c>
      <c r="L92" s="2">
        <v>0.29999999999999982</v>
      </c>
      <c r="M92" s="2">
        <v>1.507489052539801</v>
      </c>
      <c r="N92" s="2">
        <v>1.490892922768841</v>
      </c>
      <c r="O92" s="2">
        <v>1.6596129770960921E-2</v>
      </c>
      <c r="P92" s="2">
        <v>361.33508434659882</v>
      </c>
      <c r="Q92" s="2">
        <v>18.076503627063989</v>
      </c>
      <c r="R92" t="str">
        <f t="shared" si="3"/>
        <v>yes</v>
      </c>
      <c r="S92" t="str">
        <f t="shared" si="4"/>
        <v>yes</v>
      </c>
      <c r="T9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2" s="2" t="b">
        <f t="shared" si="5"/>
        <v>1</v>
      </c>
      <c r="V92" s="2">
        <f>IF(Table4[[#This Row],[linear?]],Table4[[#This Row],[av]],10^(Table4[[#This Row],[av]]/10))</f>
        <v>1.499190987654321</v>
      </c>
      <c r="W92" s="2">
        <f>IF(Table4[[#This Row],[linear?]],Table4[[#This Row],[av]],10^(Table4[[#This Row],[av]]/10))</f>
        <v>1.499190987654321</v>
      </c>
      <c r="X92" s="2">
        <f>Table4[[#This Row],[av_lin]]-2*Table4[[#This Row],[std_lin]]</f>
        <v>-1.499190987654321</v>
      </c>
      <c r="Y92" s="2">
        <f>Table4[[#This Row],[av_lin]]+2*Table4[[#This Row],[std_lin]]</f>
        <v>4.4975729629629626</v>
      </c>
    </row>
    <row r="93" spans="1:25" x14ac:dyDescent="0.35">
      <c r="A93" s="1">
        <v>813</v>
      </c>
      <c r="B93" t="s">
        <v>75</v>
      </c>
      <c r="C93" t="s">
        <v>549</v>
      </c>
      <c r="D93" t="s">
        <v>792</v>
      </c>
      <c r="E93" s="2">
        <v>35.845508518518507</v>
      </c>
      <c r="F93" s="2">
        <v>9.2902910047585024E-2</v>
      </c>
      <c r="G93">
        <v>27</v>
      </c>
      <c r="H93" t="s">
        <v>58</v>
      </c>
      <c r="I93" s="2">
        <v>34.5</v>
      </c>
      <c r="J93" s="2">
        <v>37</v>
      </c>
      <c r="K93" s="2">
        <v>35.75</v>
      </c>
      <c r="L93" s="2">
        <v>2.5</v>
      </c>
      <c r="M93" s="2">
        <v>36.031314338613683</v>
      </c>
      <c r="N93" s="2">
        <v>35.659702698423338</v>
      </c>
      <c r="O93" s="2">
        <v>0.37161164019033782</v>
      </c>
      <c r="P93" s="2">
        <v>385.83838224398329</v>
      </c>
      <c r="Q93" s="2">
        <v>6.7274534207795851</v>
      </c>
      <c r="R93" t="str">
        <f t="shared" si="3"/>
        <v>yes</v>
      </c>
      <c r="S93" t="str">
        <f t="shared" si="4"/>
        <v>yes</v>
      </c>
      <c r="T9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3" s="2" t="b">
        <f t="shared" si="5"/>
        <v>1</v>
      </c>
      <c r="V93" s="2">
        <f>IF(Table4[[#This Row],[linear?]],Table4[[#This Row],[av]],10^(Table4[[#This Row],[av]]/10))</f>
        <v>35.845508518518507</v>
      </c>
      <c r="W93" s="2">
        <f>IF(Table4[[#This Row],[linear?]],Table4[[#This Row],[av]],10^(Table4[[#This Row],[av]]/10))</f>
        <v>35.845508518518507</v>
      </c>
      <c r="X93" s="2">
        <f>Table4[[#This Row],[av_lin]]-2*Table4[[#This Row],[std_lin]]</f>
        <v>-35.845508518518507</v>
      </c>
      <c r="Y93" s="2">
        <f>Table4[[#This Row],[av_lin]]+2*Table4[[#This Row],[std_lin]]</f>
        <v>107.53652555555553</v>
      </c>
    </row>
    <row r="94" spans="1:25" x14ac:dyDescent="0.35">
      <c r="A94" s="1">
        <v>814</v>
      </c>
      <c r="B94" t="s">
        <v>75</v>
      </c>
      <c r="C94" t="s">
        <v>549</v>
      </c>
      <c r="D94" t="s">
        <v>793</v>
      </c>
      <c r="E94" s="2">
        <v>1.8026111111111109</v>
      </c>
      <c r="F94" s="2">
        <v>4.5370452304047586E-3</v>
      </c>
      <c r="G94">
        <v>27</v>
      </c>
      <c r="H94" t="s">
        <v>58</v>
      </c>
      <c r="I94" s="2">
        <v>1.62</v>
      </c>
      <c r="J94" s="2">
        <v>1.98</v>
      </c>
      <c r="K94" s="2">
        <v>1.8</v>
      </c>
      <c r="L94" s="2">
        <v>0.35999999999999988</v>
      </c>
      <c r="M94" s="2">
        <v>1.81168520157192</v>
      </c>
      <c r="N94" s="2">
        <v>1.793537020650301</v>
      </c>
      <c r="O94" s="2">
        <v>1.8148180921619069E-2</v>
      </c>
      <c r="P94" s="2">
        <v>397.30948658633861</v>
      </c>
      <c r="Q94" s="2">
        <v>19.836698871077971</v>
      </c>
      <c r="R94" t="str">
        <f t="shared" si="3"/>
        <v>yes</v>
      </c>
      <c r="S94" t="str">
        <f t="shared" si="4"/>
        <v>yes</v>
      </c>
      <c r="T9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4" s="2" t="b">
        <f t="shared" si="5"/>
        <v>1</v>
      </c>
      <c r="V94" s="2">
        <f>IF(Table4[[#This Row],[linear?]],Table4[[#This Row],[av]],10^(Table4[[#This Row],[av]]/10))</f>
        <v>1.8026111111111109</v>
      </c>
      <c r="W94" s="2">
        <f>IF(Table4[[#This Row],[linear?]],Table4[[#This Row],[av]],10^(Table4[[#This Row],[av]]/10))</f>
        <v>1.8026111111111109</v>
      </c>
      <c r="X94" s="2">
        <f>Table4[[#This Row],[av_lin]]-2*Table4[[#This Row],[std_lin]]</f>
        <v>-1.8026111111111109</v>
      </c>
      <c r="Y94" s="2">
        <f>Table4[[#This Row],[av_lin]]+2*Table4[[#This Row],[std_lin]]</f>
        <v>5.4078333333333326</v>
      </c>
    </row>
    <row r="95" spans="1:25" x14ac:dyDescent="0.35">
      <c r="A95" s="1">
        <v>819</v>
      </c>
      <c r="B95" t="s">
        <v>75</v>
      </c>
      <c r="C95" t="s">
        <v>549</v>
      </c>
      <c r="D95" t="s">
        <v>798</v>
      </c>
      <c r="E95" s="2">
        <v>3.97038901234568</v>
      </c>
      <c r="F95" s="2">
        <v>1.3397270493696999E-2</v>
      </c>
      <c r="G95">
        <v>27</v>
      </c>
      <c r="H95" t="s">
        <v>58</v>
      </c>
      <c r="I95" s="2">
        <v>3.6</v>
      </c>
      <c r="J95" s="2">
        <v>4.4000000000000004</v>
      </c>
      <c r="K95" s="2">
        <v>4</v>
      </c>
      <c r="L95" s="2">
        <v>0.80000000000000027</v>
      </c>
      <c r="M95" s="2">
        <v>3.9971835533330742</v>
      </c>
      <c r="N95" s="2">
        <v>3.9435944713582858</v>
      </c>
      <c r="O95" s="2">
        <v>5.35890819747884E-2</v>
      </c>
      <c r="P95" s="2">
        <v>296.35805399417927</v>
      </c>
      <c r="Q95" s="2">
        <v>14.928413970151039</v>
      </c>
      <c r="R95" t="str">
        <f t="shared" si="3"/>
        <v>yes</v>
      </c>
      <c r="S95" t="str">
        <f t="shared" si="4"/>
        <v>yes</v>
      </c>
      <c r="T9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5" s="2" t="b">
        <f t="shared" si="5"/>
        <v>1</v>
      </c>
      <c r="V95" s="2">
        <f>IF(Table4[[#This Row],[linear?]],Table4[[#This Row],[av]],10^(Table4[[#This Row],[av]]/10))</f>
        <v>3.97038901234568</v>
      </c>
      <c r="W95" s="2">
        <f>IF(Table4[[#This Row],[linear?]],Table4[[#This Row],[av]],10^(Table4[[#This Row],[av]]/10))</f>
        <v>3.97038901234568</v>
      </c>
      <c r="X95" s="2">
        <f>Table4[[#This Row],[av_lin]]-2*Table4[[#This Row],[std_lin]]</f>
        <v>-3.97038901234568</v>
      </c>
      <c r="Y95" s="2">
        <f>Table4[[#This Row],[av_lin]]+2*Table4[[#This Row],[std_lin]]</f>
        <v>11.911167037037039</v>
      </c>
    </row>
    <row r="96" spans="1:25" x14ac:dyDescent="0.35">
      <c r="A96" s="1">
        <v>823</v>
      </c>
      <c r="B96" t="s">
        <v>75</v>
      </c>
      <c r="C96" t="s">
        <v>549</v>
      </c>
      <c r="D96" t="s">
        <v>802</v>
      </c>
      <c r="E96" s="2">
        <v>1.801513456790123</v>
      </c>
      <c r="F96" s="2">
        <v>6.3121166147215874E-3</v>
      </c>
      <c r="G96">
        <v>27</v>
      </c>
      <c r="H96" t="s">
        <v>58</v>
      </c>
      <c r="I96" s="2">
        <v>1.62</v>
      </c>
      <c r="J96" s="2">
        <v>1.98</v>
      </c>
      <c r="K96" s="2">
        <v>1.8</v>
      </c>
      <c r="L96" s="2">
        <v>0.35999999999999988</v>
      </c>
      <c r="M96" s="2">
        <v>1.814137690019566</v>
      </c>
      <c r="N96" s="2">
        <v>1.7888892235606799</v>
      </c>
      <c r="O96" s="2">
        <v>2.5248466458886561E-2</v>
      </c>
      <c r="P96" s="2">
        <v>285.40560429262342</v>
      </c>
      <c r="Q96" s="2">
        <v>14.25829170996216</v>
      </c>
      <c r="R96" t="str">
        <f t="shared" si="3"/>
        <v>yes</v>
      </c>
      <c r="S96" t="str">
        <f t="shared" si="4"/>
        <v>yes</v>
      </c>
      <c r="T9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6" s="2" t="b">
        <f t="shared" si="5"/>
        <v>1</v>
      </c>
      <c r="V96" s="2">
        <f>IF(Table4[[#This Row],[linear?]],Table4[[#This Row],[av]],10^(Table4[[#This Row],[av]]/10))</f>
        <v>1.801513456790123</v>
      </c>
      <c r="W96" s="2">
        <f>IF(Table4[[#This Row],[linear?]],Table4[[#This Row],[av]],10^(Table4[[#This Row],[av]]/10))</f>
        <v>1.801513456790123</v>
      </c>
      <c r="X96" s="2">
        <f>Table4[[#This Row],[av_lin]]-2*Table4[[#This Row],[std_lin]]</f>
        <v>-1.801513456790123</v>
      </c>
      <c r="Y96" s="2">
        <f>Table4[[#This Row],[av_lin]]+2*Table4[[#This Row],[std_lin]]</f>
        <v>5.4045403703703689</v>
      </c>
    </row>
    <row r="97" spans="1:25" x14ac:dyDescent="0.35">
      <c r="A97" s="1">
        <v>828</v>
      </c>
      <c r="B97" t="s">
        <v>75</v>
      </c>
      <c r="C97" t="s">
        <v>549</v>
      </c>
      <c r="D97" t="s">
        <v>807</v>
      </c>
      <c r="E97" s="2">
        <v>3.981988888888889</v>
      </c>
      <c r="F97" s="2">
        <v>1.2586077838272119E-2</v>
      </c>
      <c r="G97">
        <v>27</v>
      </c>
      <c r="H97" t="s">
        <v>58</v>
      </c>
      <c r="I97" s="2">
        <v>3.6</v>
      </c>
      <c r="J97" s="2">
        <v>4.4000000000000004</v>
      </c>
      <c r="K97" s="2">
        <v>4</v>
      </c>
      <c r="L97" s="2">
        <v>0.80000000000000027</v>
      </c>
      <c r="M97" s="2">
        <v>4.0071610445654331</v>
      </c>
      <c r="N97" s="2">
        <v>3.9568167332123449</v>
      </c>
      <c r="O97" s="2">
        <v>5.0344311353088138E-2</v>
      </c>
      <c r="P97" s="2">
        <v>316.38044353899818</v>
      </c>
      <c r="Q97" s="2">
        <v>15.890573899983</v>
      </c>
      <c r="R97" t="str">
        <f t="shared" si="3"/>
        <v>yes</v>
      </c>
      <c r="S97" t="str">
        <f t="shared" si="4"/>
        <v>yes</v>
      </c>
      <c r="T9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7" s="2" t="b">
        <f t="shared" si="5"/>
        <v>1</v>
      </c>
      <c r="V97" s="2">
        <f>IF(Table4[[#This Row],[linear?]],Table4[[#This Row],[av]],10^(Table4[[#This Row],[av]]/10))</f>
        <v>3.981988888888889</v>
      </c>
      <c r="W97" s="2">
        <f>IF(Table4[[#This Row],[linear?]],Table4[[#This Row],[av]],10^(Table4[[#This Row],[av]]/10))</f>
        <v>3.981988888888889</v>
      </c>
      <c r="X97" s="2">
        <f>Table4[[#This Row],[av_lin]]-2*Table4[[#This Row],[std_lin]]</f>
        <v>-3.981988888888889</v>
      </c>
      <c r="Y97" s="2">
        <f>Table4[[#This Row],[av_lin]]+2*Table4[[#This Row],[std_lin]]</f>
        <v>11.945966666666667</v>
      </c>
    </row>
    <row r="98" spans="1:25" x14ac:dyDescent="0.35">
      <c r="A98" s="1">
        <v>832</v>
      </c>
      <c r="B98" t="s">
        <v>75</v>
      </c>
      <c r="C98" t="s">
        <v>549</v>
      </c>
      <c r="D98" t="s">
        <v>811</v>
      </c>
      <c r="E98" s="2">
        <v>1.801102098765432</v>
      </c>
      <c r="F98" s="2">
        <v>4.2834135435443534E-3</v>
      </c>
      <c r="G98">
        <v>27</v>
      </c>
      <c r="H98" t="s">
        <v>58</v>
      </c>
      <c r="I98" s="2">
        <v>1.62</v>
      </c>
      <c r="J98" s="2">
        <v>1.98</v>
      </c>
      <c r="K98" s="2">
        <v>1.8</v>
      </c>
      <c r="L98" s="2">
        <v>0.35999999999999988</v>
      </c>
      <c r="M98" s="2">
        <v>1.8096689258525209</v>
      </c>
      <c r="N98" s="2">
        <v>1.7925352716783429</v>
      </c>
      <c r="O98" s="2">
        <v>1.7133654174177341E-2</v>
      </c>
      <c r="P98" s="2">
        <v>420.48288834495582</v>
      </c>
      <c r="Q98" s="2">
        <v>21.01127969202081</v>
      </c>
      <c r="R98" t="str">
        <f t="shared" si="3"/>
        <v>yes</v>
      </c>
      <c r="S98" t="str">
        <f t="shared" si="4"/>
        <v>yes</v>
      </c>
      <c r="T9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8" s="2" t="b">
        <f t="shared" si="5"/>
        <v>1</v>
      </c>
      <c r="V98" s="2">
        <f>IF(Table4[[#This Row],[linear?]],Table4[[#This Row],[av]],10^(Table4[[#This Row],[av]]/10))</f>
        <v>1.801102098765432</v>
      </c>
      <c r="W98" s="2">
        <f>IF(Table4[[#This Row],[linear?]],Table4[[#This Row],[av]],10^(Table4[[#This Row],[av]]/10))</f>
        <v>1.801102098765432</v>
      </c>
      <c r="X98" s="2">
        <f>Table4[[#This Row],[av_lin]]-2*Table4[[#This Row],[std_lin]]</f>
        <v>-1.801102098765432</v>
      </c>
      <c r="Y98" s="2">
        <f>Table4[[#This Row],[av_lin]]+2*Table4[[#This Row],[std_lin]]</f>
        <v>5.4033062962962966</v>
      </c>
    </row>
    <row r="99" spans="1:25" x14ac:dyDescent="0.35">
      <c r="A99" s="1">
        <v>837</v>
      </c>
      <c r="B99" t="s">
        <v>75</v>
      </c>
      <c r="C99" t="s">
        <v>549</v>
      </c>
      <c r="D99" t="s">
        <v>816</v>
      </c>
      <c r="E99" s="2">
        <v>3.9667340740740751</v>
      </c>
      <c r="F99" s="2">
        <v>1.1785721950795809E-2</v>
      </c>
      <c r="G99">
        <v>27</v>
      </c>
      <c r="H99" t="s">
        <v>58</v>
      </c>
      <c r="I99" s="2">
        <v>3.6</v>
      </c>
      <c r="J99" s="2">
        <v>4.4000000000000004</v>
      </c>
      <c r="K99" s="2">
        <v>4</v>
      </c>
      <c r="L99" s="2">
        <v>0.80000000000000027</v>
      </c>
      <c r="M99" s="2">
        <v>3.990305517975667</v>
      </c>
      <c r="N99" s="2">
        <v>3.943162630172484</v>
      </c>
      <c r="O99" s="2">
        <v>4.7142887803182987E-2</v>
      </c>
      <c r="P99" s="2">
        <v>336.57115708607301</v>
      </c>
      <c r="Q99" s="2">
        <v>16.969685933113031</v>
      </c>
      <c r="R99" t="str">
        <f t="shared" si="3"/>
        <v>yes</v>
      </c>
      <c r="S99" t="str">
        <f t="shared" si="4"/>
        <v>yes</v>
      </c>
      <c r="T9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9" s="2" t="b">
        <f t="shared" si="5"/>
        <v>1</v>
      </c>
      <c r="V99" s="2">
        <f>IF(Table4[[#This Row],[linear?]],Table4[[#This Row],[av]],10^(Table4[[#This Row],[av]]/10))</f>
        <v>3.9667340740740751</v>
      </c>
      <c r="W99" s="2">
        <f>IF(Table4[[#This Row],[linear?]],Table4[[#This Row],[av]],10^(Table4[[#This Row],[av]]/10))</f>
        <v>3.9667340740740751</v>
      </c>
      <c r="X99" s="2">
        <f>Table4[[#This Row],[av_lin]]-2*Table4[[#This Row],[std_lin]]</f>
        <v>-3.9667340740740751</v>
      </c>
      <c r="Y99" s="2">
        <f>Table4[[#This Row],[av_lin]]+2*Table4[[#This Row],[std_lin]]</f>
        <v>11.900202222222225</v>
      </c>
    </row>
    <row r="100" spans="1:25" x14ac:dyDescent="0.35">
      <c r="A100" s="1">
        <v>1006</v>
      </c>
      <c r="B100" t="s">
        <v>827</v>
      </c>
      <c r="C100" t="s">
        <v>56</v>
      </c>
      <c r="D100" t="s">
        <v>67</v>
      </c>
      <c r="E100" s="2">
        <v>0</v>
      </c>
      <c r="F100" s="2">
        <v>0</v>
      </c>
      <c r="G100">
        <v>6</v>
      </c>
      <c r="H100" t="s">
        <v>58</v>
      </c>
      <c r="I100" s="2">
        <v>-50</v>
      </c>
      <c r="J100" s="2">
        <v>90</v>
      </c>
      <c r="K100" s="2">
        <v>20</v>
      </c>
      <c r="L100" s="2">
        <v>140</v>
      </c>
      <c r="M100" s="2">
        <v>0</v>
      </c>
      <c r="N100" s="2">
        <v>0</v>
      </c>
      <c r="O100" s="2">
        <v>0</v>
      </c>
      <c r="Q100" s="2" t="s">
        <v>21</v>
      </c>
      <c r="R100" t="str">
        <f t="shared" si="3"/>
        <v>yes</v>
      </c>
      <c r="S100" t="str">
        <f t="shared" si="4"/>
        <v>yes</v>
      </c>
      <c r="T10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0" s="2" t="b">
        <f t="shared" si="5"/>
        <v>1</v>
      </c>
      <c r="V100" s="2">
        <f>IF(Table4[[#This Row],[linear?]],Table4[[#This Row],[av]],10^(Table4[[#This Row],[av]]/10))</f>
        <v>0</v>
      </c>
      <c r="W100" s="2">
        <f>IF(Table4[[#This Row],[linear?]],Table4[[#This Row],[av]],10^(Table4[[#This Row],[av]]/10))</f>
        <v>0</v>
      </c>
      <c r="X100" s="2">
        <f>Table4[[#This Row],[av_lin]]-2*Table4[[#This Row],[std_lin]]</f>
        <v>0</v>
      </c>
      <c r="Y100" s="2">
        <f>Table4[[#This Row],[av_lin]]+2*Table4[[#This Row],[std_lin]]</f>
        <v>0</v>
      </c>
    </row>
    <row r="101" spans="1:25" x14ac:dyDescent="0.35">
      <c r="A101" s="1">
        <v>1007</v>
      </c>
      <c r="B101" t="s">
        <v>827</v>
      </c>
      <c r="C101" t="s">
        <v>56</v>
      </c>
      <c r="D101" t="s">
        <v>68</v>
      </c>
      <c r="E101" s="2">
        <v>0</v>
      </c>
      <c r="F101" s="2">
        <v>0</v>
      </c>
      <c r="G101">
        <v>6</v>
      </c>
      <c r="H101" t="s">
        <v>58</v>
      </c>
      <c r="I101" s="2">
        <v>-50</v>
      </c>
      <c r="J101" s="2">
        <v>90</v>
      </c>
      <c r="K101" s="2">
        <v>20</v>
      </c>
      <c r="L101" s="2">
        <v>140</v>
      </c>
      <c r="M101" s="2">
        <v>0</v>
      </c>
      <c r="N101" s="2">
        <v>0</v>
      </c>
      <c r="O101" s="2">
        <v>0</v>
      </c>
      <c r="Q101" s="2" t="s">
        <v>21</v>
      </c>
      <c r="R101" t="str">
        <f t="shared" si="3"/>
        <v>yes</v>
      </c>
      <c r="S101" t="str">
        <f t="shared" si="4"/>
        <v>yes</v>
      </c>
      <c r="T10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1" s="2" t="b">
        <f t="shared" si="5"/>
        <v>1</v>
      </c>
      <c r="V101" s="2">
        <f>IF(Table4[[#This Row],[linear?]],Table4[[#This Row],[av]],10^(Table4[[#This Row],[av]]/10))</f>
        <v>0</v>
      </c>
      <c r="W101" s="2">
        <f>IF(Table4[[#This Row],[linear?]],Table4[[#This Row],[av]],10^(Table4[[#This Row],[av]]/10))</f>
        <v>0</v>
      </c>
      <c r="X101" s="2">
        <f>Table4[[#This Row],[av_lin]]-2*Table4[[#This Row],[std_lin]]</f>
        <v>0</v>
      </c>
      <c r="Y101" s="2">
        <f>Table4[[#This Row],[av_lin]]+2*Table4[[#This Row],[std_lin]]</f>
        <v>0</v>
      </c>
    </row>
    <row r="102" spans="1:25" x14ac:dyDescent="0.35">
      <c r="A102" s="1">
        <v>1127</v>
      </c>
      <c r="B102" t="s">
        <v>828</v>
      </c>
      <c r="C102" t="s">
        <v>56</v>
      </c>
      <c r="D102" t="s">
        <v>67</v>
      </c>
      <c r="E102" s="2">
        <v>0</v>
      </c>
      <c r="F102" s="2">
        <v>0</v>
      </c>
      <c r="G102">
        <v>6</v>
      </c>
      <c r="H102" t="s">
        <v>58</v>
      </c>
      <c r="I102" s="2">
        <v>-50</v>
      </c>
      <c r="J102" s="2">
        <v>90</v>
      </c>
      <c r="K102" s="2">
        <v>20</v>
      </c>
      <c r="L102" s="2">
        <v>140</v>
      </c>
      <c r="M102" s="2">
        <v>0</v>
      </c>
      <c r="N102" s="2">
        <v>0</v>
      </c>
      <c r="O102" s="2">
        <v>0</v>
      </c>
      <c r="Q102" s="2" t="s">
        <v>21</v>
      </c>
      <c r="R102" t="str">
        <f t="shared" si="3"/>
        <v>yes</v>
      </c>
      <c r="S102" t="str">
        <f t="shared" si="4"/>
        <v>yes</v>
      </c>
      <c r="T10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2" s="2" t="b">
        <f t="shared" si="5"/>
        <v>1</v>
      </c>
      <c r="V102" s="2">
        <f>IF(Table4[[#This Row],[linear?]],Table4[[#This Row],[av]],10^(Table4[[#This Row],[av]]/10))</f>
        <v>0</v>
      </c>
      <c r="W102" s="2">
        <f>IF(Table4[[#This Row],[linear?]],Table4[[#This Row],[av]],10^(Table4[[#This Row],[av]]/10))</f>
        <v>0</v>
      </c>
      <c r="X102" s="2">
        <f>Table4[[#This Row],[av_lin]]-2*Table4[[#This Row],[std_lin]]</f>
        <v>0</v>
      </c>
      <c r="Y102" s="2">
        <f>Table4[[#This Row],[av_lin]]+2*Table4[[#This Row],[std_lin]]</f>
        <v>0</v>
      </c>
    </row>
    <row r="103" spans="1:25" x14ac:dyDescent="0.35">
      <c r="A103" s="1">
        <v>1128</v>
      </c>
      <c r="B103" t="s">
        <v>828</v>
      </c>
      <c r="C103" t="s">
        <v>56</v>
      </c>
      <c r="D103" t="s">
        <v>68</v>
      </c>
      <c r="E103" s="2">
        <v>0</v>
      </c>
      <c r="F103" s="2">
        <v>0</v>
      </c>
      <c r="G103">
        <v>6</v>
      </c>
      <c r="H103" t="s">
        <v>58</v>
      </c>
      <c r="I103" s="2">
        <v>-50</v>
      </c>
      <c r="J103" s="2">
        <v>90</v>
      </c>
      <c r="K103" s="2">
        <v>20</v>
      </c>
      <c r="L103" s="2">
        <v>140</v>
      </c>
      <c r="M103" s="2">
        <v>0</v>
      </c>
      <c r="N103" s="2">
        <v>0</v>
      </c>
      <c r="O103" s="2">
        <v>0</v>
      </c>
      <c r="Q103" s="2" t="s">
        <v>21</v>
      </c>
      <c r="R103" t="str">
        <f t="shared" si="3"/>
        <v>yes</v>
      </c>
      <c r="S103" t="str">
        <f t="shared" si="4"/>
        <v>yes</v>
      </c>
      <c r="T10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3" s="2" t="b">
        <f t="shared" si="5"/>
        <v>1</v>
      </c>
      <c r="V103" s="2">
        <f>IF(Table4[[#This Row],[linear?]],Table4[[#This Row],[av]],10^(Table4[[#This Row],[av]]/10))</f>
        <v>0</v>
      </c>
      <c r="W103" s="2">
        <f>IF(Table4[[#This Row],[linear?]],Table4[[#This Row],[av]],10^(Table4[[#This Row],[av]]/10))</f>
        <v>0</v>
      </c>
      <c r="X103" s="2">
        <f>Table4[[#This Row],[av_lin]]-2*Table4[[#This Row],[std_lin]]</f>
        <v>0</v>
      </c>
      <c r="Y103" s="2">
        <f>Table4[[#This Row],[av_lin]]+2*Table4[[#This Row],[std_lin]]</f>
        <v>0</v>
      </c>
    </row>
    <row r="104" spans="1:25" x14ac:dyDescent="0.35">
      <c r="A104" s="1">
        <v>1356</v>
      </c>
      <c r="B104" t="s">
        <v>829</v>
      </c>
      <c r="C104" t="s">
        <v>56</v>
      </c>
      <c r="D104" t="s">
        <v>67</v>
      </c>
      <c r="E104" s="2">
        <v>0</v>
      </c>
      <c r="F104" s="2">
        <v>0</v>
      </c>
      <c r="G104">
        <v>27</v>
      </c>
      <c r="H104" t="s">
        <v>58</v>
      </c>
      <c r="I104" s="2">
        <v>-50</v>
      </c>
      <c r="J104" s="2">
        <v>90</v>
      </c>
      <c r="K104" s="2">
        <v>20</v>
      </c>
      <c r="L104" s="2">
        <v>140</v>
      </c>
      <c r="M104" s="2">
        <v>0</v>
      </c>
      <c r="N104" s="2">
        <v>0</v>
      </c>
      <c r="O104" s="2">
        <v>0</v>
      </c>
      <c r="Q104" s="2" t="s">
        <v>21</v>
      </c>
      <c r="R104" t="str">
        <f t="shared" si="3"/>
        <v>yes</v>
      </c>
      <c r="S104" t="str">
        <f t="shared" si="4"/>
        <v>yes</v>
      </c>
      <c r="T10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4" s="2" t="b">
        <f t="shared" si="5"/>
        <v>1</v>
      </c>
      <c r="V104" s="2">
        <f>IF(Table4[[#This Row],[linear?]],Table4[[#This Row],[av]],10^(Table4[[#This Row],[av]]/10))</f>
        <v>0</v>
      </c>
      <c r="W104" s="2">
        <f>IF(Table4[[#This Row],[linear?]],Table4[[#This Row],[av]],10^(Table4[[#This Row],[av]]/10))</f>
        <v>0</v>
      </c>
      <c r="X104" s="2">
        <f>Table4[[#This Row],[av_lin]]-2*Table4[[#This Row],[std_lin]]</f>
        <v>0</v>
      </c>
      <c r="Y104" s="2">
        <f>Table4[[#This Row],[av_lin]]+2*Table4[[#This Row],[std_lin]]</f>
        <v>0</v>
      </c>
    </row>
    <row r="105" spans="1:25" x14ac:dyDescent="0.35">
      <c r="A105" s="1">
        <v>1357</v>
      </c>
      <c r="B105" t="s">
        <v>829</v>
      </c>
      <c r="C105" t="s">
        <v>56</v>
      </c>
      <c r="D105" t="s">
        <v>68</v>
      </c>
      <c r="E105" s="2">
        <v>0</v>
      </c>
      <c r="F105" s="2">
        <v>0</v>
      </c>
      <c r="G105">
        <v>27</v>
      </c>
      <c r="H105" t="s">
        <v>58</v>
      </c>
      <c r="I105" s="2">
        <v>-50</v>
      </c>
      <c r="J105" s="2">
        <v>90</v>
      </c>
      <c r="K105" s="2">
        <v>20</v>
      </c>
      <c r="L105" s="2">
        <v>140</v>
      </c>
      <c r="M105" s="2">
        <v>0</v>
      </c>
      <c r="N105" s="2">
        <v>0</v>
      </c>
      <c r="O105" s="2">
        <v>0</v>
      </c>
      <c r="Q105" s="2" t="s">
        <v>21</v>
      </c>
      <c r="R105" t="str">
        <f t="shared" si="3"/>
        <v>yes</v>
      </c>
      <c r="S105" t="str">
        <f t="shared" si="4"/>
        <v>yes</v>
      </c>
      <c r="T10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5" s="2" t="b">
        <f t="shared" si="5"/>
        <v>1</v>
      </c>
      <c r="V105" s="2">
        <f>IF(Table4[[#This Row],[linear?]],Table4[[#This Row],[av]],10^(Table4[[#This Row],[av]]/10))</f>
        <v>0</v>
      </c>
      <c r="W105" s="2">
        <f>IF(Table4[[#This Row],[linear?]],Table4[[#This Row],[av]],10^(Table4[[#This Row],[av]]/10))</f>
        <v>0</v>
      </c>
      <c r="X105" s="2">
        <f>Table4[[#This Row],[av_lin]]-2*Table4[[#This Row],[std_lin]]</f>
        <v>0</v>
      </c>
      <c r="Y105" s="2">
        <f>Table4[[#This Row],[av_lin]]+2*Table4[[#This Row],[std_lin]]</f>
        <v>0</v>
      </c>
    </row>
    <row r="106" spans="1:25" x14ac:dyDescent="0.35">
      <c r="A106" s="1">
        <v>1652</v>
      </c>
      <c r="B106" t="s">
        <v>829</v>
      </c>
      <c r="C106" t="s">
        <v>542</v>
      </c>
      <c r="D106" t="s">
        <v>543</v>
      </c>
      <c r="E106" s="2">
        <v>1</v>
      </c>
      <c r="F106" s="2">
        <v>0</v>
      </c>
      <c r="G106">
        <v>27</v>
      </c>
      <c r="H106" t="s">
        <v>58</v>
      </c>
      <c r="I106" s="2">
        <v>1</v>
      </c>
      <c r="J106" s="2">
        <v>1</v>
      </c>
      <c r="K106" s="2">
        <v>1</v>
      </c>
      <c r="L106" s="2">
        <v>0</v>
      </c>
      <c r="M106" s="2">
        <v>1</v>
      </c>
      <c r="N106" s="2">
        <v>1</v>
      </c>
      <c r="O106" s="2">
        <v>0</v>
      </c>
      <c r="P106" s="2" t="s">
        <v>21</v>
      </c>
      <c r="R106" t="str">
        <f t="shared" si="3"/>
        <v>yes</v>
      </c>
      <c r="S106" t="str">
        <f t="shared" si="4"/>
        <v>yes</v>
      </c>
      <c r="T106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106" s="2" t="b">
        <f t="shared" si="5"/>
        <v>1</v>
      </c>
      <c r="V106" s="2">
        <f>IF(Table4[[#This Row],[linear?]],Table4[[#This Row],[av]],10^(Table4[[#This Row],[av]]/10))</f>
        <v>1</v>
      </c>
      <c r="W106" s="2">
        <f>IF(Table4[[#This Row],[linear?]],Table4[[#This Row],[av]],10^(Table4[[#This Row],[av]]/10))</f>
        <v>1</v>
      </c>
      <c r="X106" s="2">
        <f>Table4[[#This Row],[av_lin]]-2*Table4[[#This Row],[std_lin]]</f>
        <v>-1</v>
      </c>
      <c r="Y106" s="2">
        <f>Table4[[#This Row],[av_lin]]+2*Table4[[#This Row],[std_lin]]</f>
        <v>3</v>
      </c>
    </row>
    <row r="107" spans="1:25" x14ac:dyDescent="0.35">
      <c r="A107" s="1">
        <v>1654</v>
      </c>
      <c r="B107" t="s">
        <v>829</v>
      </c>
      <c r="C107" t="s">
        <v>542</v>
      </c>
      <c r="D107" t="s">
        <v>545</v>
      </c>
      <c r="E107" s="2">
        <v>1</v>
      </c>
      <c r="F107" s="2">
        <v>0</v>
      </c>
      <c r="G107">
        <v>27</v>
      </c>
      <c r="H107" t="s">
        <v>58</v>
      </c>
      <c r="I107" s="2">
        <v>1</v>
      </c>
      <c r="J107" s="2">
        <v>1</v>
      </c>
      <c r="K107" s="2">
        <v>1</v>
      </c>
      <c r="L107" s="2">
        <v>0</v>
      </c>
      <c r="M107" s="2">
        <v>1</v>
      </c>
      <c r="N107" s="2">
        <v>1</v>
      </c>
      <c r="O107" s="2">
        <v>0</v>
      </c>
      <c r="P107" s="2" t="s">
        <v>21</v>
      </c>
      <c r="R107" t="str">
        <f t="shared" si="3"/>
        <v>yes</v>
      </c>
      <c r="S107" t="str">
        <f t="shared" si="4"/>
        <v>yes</v>
      </c>
      <c r="T107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107" s="2" t="b">
        <f t="shared" si="5"/>
        <v>1</v>
      </c>
      <c r="V107" s="2">
        <f>IF(Table4[[#This Row],[linear?]],Table4[[#This Row],[av]],10^(Table4[[#This Row],[av]]/10))</f>
        <v>1</v>
      </c>
      <c r="W107" s="2">
        <f>IF(Table4[[#This Row],[linear?]],Table4[[#This Row],[av]],10^(Table4[[#This Row],[av]]/10))</f>
        <v>1</v>
      </c>
      <c r="X107" s="2">
        <f>Table4[[#This Row],[av_lin]]-2*Table4[[#This Row],[std_lin]]</f>
        <v>-1</v>
      </c>
      <c r="Y107" s="2">
        <f>Table4[[#This Row],[av_lin]]+2*Table4[[#This Row],[std_lin]]</f>
        <v>3</v>
      </c>
    </row>
    <row r="108" spans="1:25" x14ac:dyDescent="0.35">
      <c r="A108" s="1">
        <v>1656</v>
      </c>
      <c r="B108" t="s">
        <v>829</v>
      </c>
      <c r="C108" t="s">
        <v>542</v>
      </c>
      <c r="D108" t="s">
        <v>547</v>
      </c>
      <c r="E108" s="2">
        <v>1</v>
      </c>
      <c r="F108" s="2">
        <v>0</v>
      </c>
      <c r="G108">
        <v>27</v>
      </c>
      <c r="H108" t="s">
        <v>58</v>
      </c>
      <c r="I108" s="2">
        <v>1</v>
      </c>
      <c r="J108" s="2">
        <v>1</v>
      </c>
      <c r="K108" s="2">
        <v>1</v>
      </c>
      <c r="L108" s="2">
        <v>0</v>
      </c>
      <c r="M108" s="2">
        <v>1</v>
      </c>
      <c r="N108" s="2">
        <v>1</v>
      </c>
      <c r="O108" s="2">
        <v>0</v>
      </c>
      <c r="P108" s="2" t="s">
        <v>21</v>
      </c>
      <c r="R108" t="str">
        <f t="shared" si="3"/>
        <v>yes</v>
      </c>
      <c r="S108" t="str">
        <f t="shared" si="4"/>
        <v>yes</v>
      </c>
      <c r="T108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108" s="2" t="b">
        <f t="shared" si="5"/>
        <v>1</v>
      </c>
      <c r="V108" s="2">
        <f>IF(Table4[[#This Row],[linear?]],Table4[[#This Row],[av]],10^(Table4[[#This Row],[av]]/10))</f>
        <v>1</v>
      </c>
      <c r="W108" s="2">
        <f>IF(Table4[[#This Row],[linear?]],Table4[[#This Row],[av]],10^(Table4[[#This Row],[av]]/10))</f>
        <v>1</v>
      </c>
      <c r="X108" s="2">
        <f>Table4[[#This Row],[av_lin]]-2*Table4[[#This Row],[std_lin]]</f>
        <v>-1</v>
      </c>
      <c r="Y108" s="2">
        <f>Table4[[#This Row],[av_lin]]+2*Table4[[#This Row],[std_lin]]</f>
        <v>3</v>
      </c>
    </row>
    <row r="109" spans="1:25" x14ac:dyDescent="0.35">
      <c r="A109" s="1">
        <v>1657</v>
      </c>
      <c r="B109" t="s">
        <v>829</v>
      </c>
      <c r="C109" t="s">
        <v>542</v>
      </c>
      <c r="D109" t="s">
        <v>548</v>
      </c>
      <c r="E109" s="2">
        <v>28.29933333333333</v>
      </c>
      <c r="F109" s="2">
        <v>2.1468475912436729</v>
      </c>
      <c r="G109">
        <v>27</v>
      </c>
      <c r="H109" t="s">
        <v>58</v>
      </c>
      <c r="I109" s="2">
        <v>-55</v>
      </c>
      <c r="J109" s="2">
        <v>85</v>
      </c>
      <c r="K109" s="2">
        <v>15</v>
      </c>
      <c r="L109" s="2">
        <v>140</v>
      </c>
      <c r="M109" s="2">
        <v>32.593028515820677</v>
      </c>
      <c r="N109" s="2">
        <v>24.005638150845979</v>
      </c>
      <c r="O109" s="2">
        <v>8.587390364974695</v>
      </c>
      <c r="P109" s="2">
        <v>13.18180827030179</v>
      </c>
      <c r="Q109" s="2">
        <v>16.302973784796912</v>
      </c>
      <c r="R109" t="str">
        <f t="shared" si="3"/>
        <v>yes</v>
      </c>
      <c r="S109" t="str">
        <f t="shared" si="4"/>
        <v>yes</v>
      </c>
      <c r="T10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9" s="2" t="b">
        <f t="shared" si="5"/>
        <v>1</v>
      </c>
      <c r="V109" s="2">
        <f>IF(Table4[[#This Row],[linear?]],Table4[[#This Row],[av]],10^(Table4[[#This Row],[av]]/10))</f>
        <v>28.29933333333333</v>
      </c>
      <c r="W109" s="2">
        <f>IF(Table4[[#This Row],[linear?]],Table4[[#This Row],[av]],10^(Table4[[#This Row],[av]]/10))</f>
        <v>28.29933333333333</v>
      </c>
      <c r="X109" s="2">
        <f>Table4[[#This Row],[av_lin]]-2*Table4[[#This Row],[std_lin]]</f>
        <v>-28.29933333333333</v>
      </c>
      <c r="Y109" s="2">
        <f>Table4[[#This Row],[av_lin]]+2*Table4[[#This Row],[std_lin]]</f>
        <v>84.897999999999996</v>
      </c>
    </row>
    <row r="110" spans="1:25" x14ac:dyDescent="0.35">
      <c r="A110" s="1">
        <v>1659</v>
      </c>
      <c r="B110" t="s">
        <v>829</v>
      </c>
      <c r="C110" t="s">
        <v>549</v>
      </c>
      <c r="D110" t="s">
        <v>551</v>
      </c>
      <c r="E110" s="2">
        <v>0.99525296296296284</v>
      </c>
      <c r="F110" s="2">
        <v>2.237203723286548E-3</v>
      </c>
      <c r="G110">
        <v>27</v>
      </c>
      <c r="H110" t="s">
        <v>58</v>
      </c>
      <c r="I110" s="2">
        <v>0.85</v>
      </c>
      <c r="J110" s="2">
        <v>1.2</v>
      </c>
      <c r="K110" s="2">
        <v>1.0249999999999999</v>
      </c>
      <c r="L110" s="2">
        <v>0.35</v>
      </c>
      <c r="M110" s="2">
        <v>0.99972737040953596</v>
      </c>
      <c r="N110" s="2">
        <v>0.99077855551638971</v>
      </c>
      <c r="O110" s="2">
        <v>8.9488148931462508E-3</v>
      </c>
      <c r="P110" s="2">
        <v>444.86469989460488</v>
      </c>
      <c r="Q110" s="2">
        <v>39.111324145061843</v>
      </c>
      <c r="R110" t="str">
        <f t="shared" si="3"/>
        <v>yes</v>
      </c>
      <c r="S110" t="str">
        <f t="shared" si="4"/>
        <v>yes</v>
      </c>
      <c r="T11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0" s="2" t="b">
        <f t="shared" si="5"/>
        <v>1</v>
      </c>
      <c r="V110" s="2">
        <f>IF(Table4[[#This Row],[linear?]],Table4[[#This Row],[av]],10^(Table4[[#This Row],[av]]/10))</f>
        <v>0.99525296296296284</v>
      </c>
      <c r="W110" s="2">
        <f>IF(Table4[[#This Row],[linear?]],Table4[[#This Row],[av]],10^(Table4[[#This Row],[av]]/10))</f>
        <v>0.99525296296296284</v>
      </c>
      <c r="X110" s="2">
        <f>Table4[[#This Row],[av_lin]]-2*Table4[[#This Row],[std_lin]]</f>
        <v>-0.99525296296296284</v>
      </c>
      <c r="Y110" s="2">
        <f>Table4[[#This Row],[av_lin]]+2*Table4[[#This Row],[std_lin]]</f>
        <v>2.9857588888888884</v>
      </c>
    </row>
    <row r="111" spans="1:25" x14ac:dyDescent="0.35">
      <c r="A111" s="1">
        <v>1661</v>
      </c>
      <c r="B111" t="s">
        <v>829</v>
      </c>
      <c r="C111" t="s">
        <v>549</v>
      </c>
      <c r="D111" t="s">
        <v>553</v>
      </c>
      <c r="E111" s="2">
        <v>1.497544444444445</v>
      </c>
      <c r="F111" s="2">
        <v>4.6376250328895672E-3</v>
      </c>
      <c r="G111">
        <v>27</v>
      </c>
      <c r="H111" t="s">
        <v>58</v>
      </c>
      <c r="I111" s="2">
        <v>1.35</v>
      </c>
      <c r="J111" s="2">
        <v>1.65</v>
      </c>
      <c r="K111" s="2">
        <v>1.5</v>
      </c>
      <c r="L111" s="2">
        <v>0.29999999999999982</v>
      </c>
      <c r="M111" s="2">
        <v>1.5068196945102239</v>
      </c>
      <c r="N111" s="2">
        <v>1.4882691943786659</v>
      </c>
      <c r="O111" s="2">
        <v>1.8550500131558231E-2</v>
      </c>
      <c r="P111" s="2">
        <v>322.91192880494032</v>
      </c>
      <c r="Q111" s="2">
        <v>16.17207071897958</v>
      </c>
      <c r="R111" t="str">
        <f t="shared" si="3"/>
        <v>yes</v>
      </c>
      <c r="S111" t="str">
        <f t="shared" si="4"/>
        <v>yes</v>
      </c>
      <c r="T11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1" s="2" t="b">
        <f t="shared" si="5"/>
        <v>1</v>
      </c>
      <c r="V111" s="2">
        <f>IF(Table4[[#This Row],[linear?]],Table4[[#This Row],[av]],10^(Table4[[#This Row],[av]]/10))</f>
        <v>1.497544444444445</v>
      </c>
      <c r="W111" s="2">
        <f>IF(Table4[[#This Row],[linear?]],Table4[[#This Row],[av]],10^(Table4[[#This Row],[av]]/10))</f>
        <v>1.497544444444445</v>
      </c>
      <c r="X111" s="2">
        <f>Table4[[#This Row],[av_lin]]-2*Table4[[#This Row],[std_lin]]</f>
        <v>-1.497544444444445</v>
      </c>
      <c r="Y111" s="2">
        <f>Table4[[#This Row],[av_lin]]+2*Table4[[#This Row],[std_lin]]</f>
        <v>4.4926333333333348</v>
      </c>
    </row>
    <row r="112" spans="1:25" x14ac:dyDescent="0.35">
      <c r="A112" s="1">
        <v>1663</v>
      </c>
      <c r="B112" t="s">
        <v>829</v>
      </c>
      <c r="C112" t="s">
        <v>549</v>
      </c>
      <c r="D112" t="s">
        <v>555</v>
      </c>
      <c r="E112" s="2">
        <v>35.89856839506173</v>
      </c>
      <c r="F112" s="2">
        <v>8.7284565501618394E-2</v>
      </c>
      <c r="G112">
        <v>27</v>
      </c>
      <c r="H112" t="s">
        <v>58</v>
      </c>
      <c r="I112" s="2">
        <v>34.5</v>
      </c>
      <c r="J112" s="2">
        <v>37</v>
      </c>
      <c r="K112" s="2">
        <v>35.75</v>
      </c>
      <c r="L112" s="2">
        <v>2.5</v>
      </c>
      <c r="M112" s="2">
        <v>36.073137526064968</v>
      </c>
      <c r="N112" s="2">
        <v>35.723999264058492</v>
      </c>
      <c r="O112" s="2">
        <v>0.34913826200647691</v>
      </c>
      <c r="P112" s="2">
        <v>411.28197395215437</v>
      </c>
      <c r="Q112" s="2">
        <v>7.1604870392395501</v>
      </c>
      <c r="R112" t="str">
        <f t="shared" si="3"/>
        <v>yes</v>
      </c>
      <c r="S112" t="str">
        <f t="shared" si="4"/>
        <v>yes</v>
      </c>
      <c r="T11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2" s="2" t="b">
        <f t="shared" si="5"/>
        <v>1</v>
      </c>
      <c r="V112" s="2">
        <f>IF(Table4[[#This Row],[linear?]],Table4[[#This Row],[av]],10^(Table4[[#This Row],[av]]/10))</f>
        <v>35.89856839506173</v>
      </c>
      <c r="W112" s="2">
        <f>IF(Table4[[#This Row],[linear?]],Table4[[#This Row],[av]],10^(Table4[[#This Row],[av]]/10))</f>
        <v>35.89856839506173</v>
      </c>
      <c r="X112" s="2">
        <f>Table4[[#This Row],[av_lin]]-2*Table4[[#This Row],[std_lin]]</f>
        <v>-35.89856839506173</v>
      </c>
      <c r="Y112" s="2">
        <f>Table4[[#This Row],[av_lin]]+2*Table4[[#This Row],[std_lin]]</f>
        <v>107.69570518518519</v>
      </c>
    </row>
    <row r="113" spans="1:25" x14ac:dyDescent="0.35">
      <c r="A113" s="1">
        <v>1665</v>
      </c>
      <c r="B113" t="s">
        <v>829</v>
      </c>
      <c r="C113" t="s">
        <v>549</v>
      </c>
      <c r="D113" t="s">
        <v>557</v>
      </c>
      <c r="E113" s="2">
        <v>0.99522888888888894</v>
      </c>
      <c r="F113" s="2">
        <v>2.1439713576673308E-3</v>
      </c>
      <c r="G113">
        <v>27</v>
      </c>
      <c r="H113" t="s">
        <v>58</v>
      </c>
      <c r="I113" s="2">
        <v>0.85</v>
      </c>
      <c r="J113" s="2">
        <v>1.2</v>
      </c>
      <c r="K113" s="2">
        <v>1.0249999999999999</v>
      </c>
      <c r="L113" s="2">
        <v>0.35</v>
      </c>
      <c r="M113" s="2">
        <v>0.99951683160422355</v>
      </c>
      <c r="N113" s="2">
        <v>0.99094094617355433</v>
      </c>
      <c r="O113" s="2">
        <v>8.5758854306692278E-3</v>
      </c>
      <c r="P113" s="2">
        <v>464.19878014215232</v>
      </c>
      <c r="Q113" s="2">
        <v>40.812112385308232</v>
      </c>
      <c r="R113" t="str">
        <f t="shared" si="3"/>
        <v>yes</v>
      </c>
      <c r="S113" t="str">
        <f t="shared" si="4"/>
        <v>yes</v>
      </c>
      <c r="T11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3" s="2" t="b">
        <f t="shared" si="5"/>
        <v>1</v>
      </c>
      <c r="V113" s="2">
        <f>IF(Table4[[#This Row],[linear?]],Table4[[#This Row],[av]],10^(Table4[[#This Row],[av]]/10))</f>
        <v>0.99522888888888894</v>
      </c>
      <c r="W113" s="2">
        <f>IF(Table4[[#This Row],[linear?]],Table4[[#This Row],[av]],10^(Table4[[#This Row],[av]]/10))</f>
        <v>0.99522888888888894</v>
      </c>
      <c r="X113" s="2">
        <f>Table4[[#This Row],[av_lin]]-2*Table4[[#This Row],[std_lin]]</f>
        <v>-0.99522888888888894</v>
      </c>
      <c r="Y113" s="2">
        <f>Table4[[#This Row],[av_lin]]+2*Table4[[#This Row],[std_lin]]</f>
        <v>2.985686666666667</v>
      </c>
    </row>
    <row r="114" spans="1:25" x14ac:dyDescent="0.35">
      <c r="A114" s="1">
        <v>1667</v>
      </c>
      <c r="B114" t="s">
        <v>829</v>
      </c>
      <c r="C114" t="s">
        <v>549</v>
      </c>
      <c r="D114" t="s">
        <v>559</v>
      </c>
      <c r="E114" s="2">
        <v>1.4969088888888891</v>
      </c>
      <c r="F114" s="2">
        <v>7.1472665977290366E-3</v>
      </c>
      <c r="G114">
        <v>27</v>
      </c>
      <c r="H114" t="s">
        <v>58</v>
      </c>
      <c r="I114" s="2">
        <v>1.35</v>
      </c>
      <c r="J114" s="2">
        <v>1.65</v>
      </c>
      <c r="K114" s="2">
        <v>1.5</v>
      </c>
      <c r="L114" s="2">
        <v>0.29999999999999982</v>
      </c>
      <c r="M114" s="2">
        <v>1.5112034220843471</v>
      </c>
      <c r="N114" s="2">
        <v>1.482614355693431</v>
      </c>
      <c r="O114" s="2">
        <v>2.858906639091607E-2</v>
      </c>
      <c r="P114" s="2">
        <v>209.4379534358653</v>
      </c>
      <c r="Q114" s="2">
        <v>10.493522100299231</v>
      </c>
      <c r="R114" t="str">
        <f t="shared" si="3"/>
        <v>yes</v>
      </c>
      <c r="S114" t="str">
        <f t="shared" si="4"/>
        <v>yes</v>
      </c>
      <c r="T11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4" s="2" t="b">
        <f t="shared" si="5"/>
        <v>1</v>
      </c>
      <c r="V114" s="2">
        <f>IF(Table4[[#This Row],[linear?]],Table4[[#This Row],[av]],10^(Table4[[#This Row],[av]]/10))</f>
        <v>1.4969088888888891</v>
      </c>
      <c r="W114" s="2">
        <f>IF(Table4[[#This Row],[linear?]],Table4[[#This Row],[av]],10^(Table4[[#This Row],[av]]/10))</f>
        <v>1.4969088888888891</v>
      </c>
      <c r="X114" s="2">
        <f>Table4[[#This Row],[av_lin]]-2*Table4[[#This Row],[std_lin]]</f>
        <v>-1.4969088888888891</v>
      </c>
      <c r="Y114" s="2">
        <f>Table4[[#This Row],[av_lin]]+2*Table4[[#This Row],[std_lin]]</f>
        <v>4.4907266666666672</v>
      </c>
    </row>
    <row r="115" spans="1:25" x14ac:dyDescent="0.35">
      <c r="A115" s="1">
        <v>1669</v>
      </c>
      <c r="B115" t="s">
        <v>829</v>
      </c>
      <c r="C115" t="s">
        <v>549</v>
      </c>
      <c r="D115" t="s">
        <v>561</v>
      </c>
      <c r="E115" s="2">
        <v>35.89494469135802</v>
      </c>
      <c r="F115" s="2">
        <v>6.3291736168726506E-2</v>
      </c>
      <c r="G115">
        <v>27</v>
      </c>
      <c r="H115" t="s">
        <v>58</v>
      </c>
      <c r="I115" s="2">
        <v>34.5</v>
      </c>
      <c r="J115" s="2">
        <v>37</v>
      </c>
      <c r="K115" s="2">
        <v>35.75</v>
      </c>
      <c r="L115" s="2">
        <v>2.5</v>
      </c>
      <c r="M115" s="2">
        <v>36.021528163695471</v>
      </c>
      <c r="N115" s="2">
        <v>35.768361219020569</v>
      </c>
      <c r="O115" s="2">
        <v>0.25316694467490208</v>
      </c>
      <c r="P115" s="2">
        <v>567.1347772111568</v>
      </c>
      <c r="Q115" s="2">
        <v>9.8749068651529992</v>
      </c>
      <c r="R115" t="str">
        <f t="shared" si="3"/>
        <v>yes</v>
      </c>
      <c r="S115" t="str">
        <f t="shared" si="4"/>
        <v>yes</v>
      </c>
      <c r="T11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5" s="2" t="b">
        <f t="shared" si="5"/>
        <v>1</v>
      </c>
      <c r="V115" s="2">
        <f>IF(Table4[[#This Row],[linear?]],Table4[[#This Row],[av]],10^(Table4[[#This Row],[av]]/10))</f>
        <v>35.89494469135802</v>
      </c>
      <c r="W115" s="2">
        <f>IF(Table4[[#This Row],[linear?]],Table4[[#This Row],[av]],10^(Table4[[#This Row],[av]]/10))</f>
        <v>35.89494469135802</v>
      </c>
      <c r="X115" s="2">
        <f>Table4[[#This Row],[av_lin]]-2*Table4[[#This Row],[std_lin]]</f>
        <v>-35.89494469135802</v>
      </c>
      <c r="Y115" s="2">
        <f>Table4[[#This Row],[av_lin]]+2*Table4[[#This Row],[std_lin]]</f>
        <v>107.68483407407406</v>
      </c>
    </row>
    <row r="116" spans="1:25" x14ac:dyDescent="0.35">
      <c r="A116" s="1">
        <v>1671</v>
      </c>
      <c r="B116" t="s">
        <v>829</v>
      </c>
      <c r="C116" t="s">
        <v>549</v>
      </c>
      <c r="D116" t="s">
        <v>563</v>
      </c>
      <c r="E116" s="2">
        <v>0.99558530864197514</v>
      </c>
      <c r="F116" s="2">
        <v>1.558686464027664E-3</v>
      </c>
      <c r="G116">
        <v>27</v>
      </c>
      <c r="H116" t="s">
        <v>58</v>
      </c>
      <c r="I116" s="2">
        <v>0.85</v>
      </c>
      <c r="J116" s="2">
        <v>1.2</v>
      </c>
      <c r="K116" s="2">
        <v>1.0249999999999999</v>
      </c>
      <c r="L116" s="2">
        <v>0.35</v>
      </c>
      <c r="M116" s="2">
        <v>0.9987026815700305</v>
      </c>
      <c r="N116" s="2">
        <v>0.99246793571391978</v>
      </c>
      <c r="O116" s="2">
        <v>6.2347458561107238E-3</v>
      </c>
      <c r="P116" s="2">
        <v>638.73353084068685</v>
      </c>
      <c r="Q116" s="2">
        <v>56.137011528218459</v>
      </c>
      <c r="R116" t="str">
        <f t="shared" si="3"/>
        <v>yes</v>
      </c>
      <c r="S116" t="str">
        <f t="shared" si="4"/>
        <v>yes</v>
      </c>
      <c r="T11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6" s="2" t="b">
        <f t="shared" si="5"/>
        <v>1</v>
      </c>
      <c r="V116" s="2">
        <f>IF(Table4[[#This Row],[linear?]],Table4[[#This Row],[av]],10^(Table4[[#This Row],[av]]/10))</f>
        <v>0.99558530864197514</v>
      </c>
      <c r="W116" s="2">
        <f>IF(Table4[[#This Row],[linear?]],Table4[[#This Row],[av]],10^(Table4[[#This Row],[av]]/10))</f>
        <v>0.99558530864197514</v>
      </c>
      <c r="X116" s="2">
        <f>Table4[[#This Row],[av_lin]]-2*Table4[[#This Row],[std_lin]]</f>
        <v>-0.99558530864197514</v>
      </c>
      <c r="Y116" s="2">
        <f>Table4[[#This Row],[av_lin]]+2*Table4[[#This Row],[std_lin]]</f>
        <v>2.9867559259259253</v>
      </c>
    </row>
    <row r="117" spans="1:25" x14ac:dyDescent="0.35">
      <c r="A117" s="1">
        <v>1673</v>
      </c>
      <c r="B117" t="s">
        <v>829</v>
      </c>
      <c r="C117" t="s">
        <v>549</v>
      </c>
      <c r="D117" t="s">
        <v>565</v>
      </c>
      <c r="E117" s="2">
        <v>1.4967538271604941</v>
      </c>
      <c r="F117" s="2">
        <v>5.880707863323972E-3</v>
      </c>
      <c r="G117">
        <v>27</v>
      </c>
      <c r="H117" t="s">
        <v>58</v>
      </c>
      <c r="I117" s="2">
        <v>1.35</v>
      </c>
      <c r="J117" s="2">
        <v>1.65</v>
      </c>
      <c r="K117" s="2">
        <v>1.5</v>
      </c>
      <c r="L117" s="2">
        <v>0.29999999999999982</v>
      </c>
      <c r="M117" s="2">
        <v>1.508515242887142</v>
      </c>
      <c r="N117" s="2">
        <v>1.484992411433846</v>
      </c>
      <c r="O117" s="2">
        <v>2.3522831453295812E-2</v>
      </c>
      <c r="P117" s="2">
        <v>254.51933031655119</v>
      </c>
      <c r="Q117" s="2">
        <v>12.753566703721219</v>
      </c>
      <c r="R117" t="str">
        <f t="shared" si="3"/>
        <v>yes</v>
      </c>
      <c r="S117" t="str">
        <f t="shared" si="4"/>
        <v>yes</v>
      </c>
      <c r="T11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7" s="2" t="b">
        <f t="shared" si="5"/>
        <v>1</v>
      </c>
      <c r="V117" s="2">
        <f>IF(Table4[[#This Row],[linear?]],Table4[[#This Row],[av]],10^(Table4[[#This Row],[av]]/10))</f>
        <v>1.4967538271604941</v>
      </c>
      <c r="W117" s="2">
        <f>IF(Table4[[#This Row],[linear?]],Table4[[#This Row],[av]],10^(Table4[[#This Row],[av]]/10))</f>
        <v>1.4967538271604941</v>
      </c>
      <c r="X117" s="2">
        <f>Table4[[#This Row],[av_lin]]-2*Table4[[#This Row],[std_lin]]</f>
        <v>-1.4967538271604941</v>
      </c>
      <c r="Y117" s="2">
        <f>Table4[[#This Row],[av_lin]]+2*Table4[[#This Row],[std_lin]]</f>
        <v>4.4902614814814825</v>
      </c>
    </row>
    <row r="118" spans="1:25" x14ac:dyDescent="0.35">
      <c r="A118" s="1">
        <v>1675</v>
      </c>
      <c r="B118" t="s">
        <v>829</v>
      </c>
      <c r="C118" t="s">
        <v>549</v>
      </c>
      <c r="D118" t="s">
        <v>567</v>
      </c>
      <c r="E118" s="2">
        <v>35.94529716049383</v>
      </c>
      <c r="F118" s="2">
        <v>6.7871260548677911E-2</v>
      </c>
      <c r="G118">
        <v>27</v>
      </c>
      <c r="H118" t="s">
        <v>58</v>
      </c>
      <c r="I118" s="2">
        <v>34.5</v>
      </c>
      <c r="J118" s="2">
        <v>37</v>
      </c>
      <c r="K118" s="2">
        <v>35.75</v>
      </c>
      <c r="L118" s="2">
        <v>2.5</v>
      </c>
      <c r="M118" s="2">
        <v>36.081039681591193</v>
      </c>
      <c r="N118" s="2">
        <v>35.809554639396467</v>
      </c>
      <c r="O118" s="2">
        <v>0.27148504219471192</v>
      </c>
      <c r="P118" s="2">
        <v>529.60998322277396</v>
      </c>
      <c r="Q118" s="2">
        <v>9.2086104626234757</v>
      </c>
      <c r="R118" t="str">
        <f t="shared" si="3"/>
        <v>yes</v>
      </c>
      <c r="S118" t="str">
        <f t="shared" si="4"/>
        <v>yes</v>
      </c>
      <c r="T11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8" s="2" t="b">
        <f t="shared" si="5"/>
        <v>1</v>
      </c>
      <c r="V118" s="2">
        <f>IF(Table4[[#This Row],[linear?]],Table4[[#This Row],[av]],10^(Table4[[#This Row],[av]]/10))</f>
        <v>35.94529716049383</v>
      </c>
      <c r="W118" s="2">
        <f>IF(Table4[[#This Row],[linear?]],Table4[[#This Row],[av]],10^(Table4[[#This Row],[av]]/10))</f>
        <v>35.94529716049383</v>
      </c>
      <c r="X118" s="2">
        <f>Table4[[#This Row],[av_lin]]-2*Table4[[#This Row],[std_lin]]</f>
        <v>-35.94529716049383</v>
      </c>
      <c r="Y118" s="2">
        <f>Table4[[#This Row],[av_lin]]+2*Table4[[#This Row],[std_lin]]</f>
        <v>107.8358914814815</v>
      </c>
    </row>
    <row r="119" spans="1:25" x14ac:dyDescent="0.35">
      <c r="A119" s="1">
        <v>1676</v>
      </c>
      <c r="B119" t="s">
        <v>829</v>
      </c>
      <c r="C119" t="s">
        <v>549</v>
      </c>
      <c r="D119" t="s">
        <v>568</v>
      </c>
      <c r="E119" s="2">
        <v>1.799947654320988</v>
      </c>
      <c r="F119" s="2">
        <v>6.5136375466318223E-3</v>
      </c>
      <c r="G119">
        <v>27</v>
      </c>
      <c r="H119" t="s">
        <v>58</v>
      </c>
      <c r="I119" s="2">
        <v>1.62</v>
      </c>
      <c r="J119" s="2">
        <v>1.98</v>
      </c>
      <c r="K119" s="2">
        <v>1.8</v>
      </c>
      <c r="L119" s="2">
        <v>0.35999999999999988</v>
      </c>
      <c r="M119" s="2">
        <v>1.8129749294142521</v>
      </c>
      <c r="N119" s="2">
        <v>1.786920379227724</v>
      </c>
      <c r="O119" s="2">
        <v>2.6054550186527251E-2</v>
      </c>
      <c r="P119" s="2">
        <v>276.33524914995218</v>
      </c>
      <c r="Q119" s="2">
        <v>13.81716427352314</v>
      </c>
      <c r="R119" t="str">
        <f t="shared" si="3"/>
        <v>yes</v>
      </c>
      <c r="S119" t="str">
        <f t="shared" si="4"/>
        <v>yes</v>
      </c>
      <c r="T11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9" s="2" t="b">
        <f t="shared" si="5"/>
        <v>1</v>
      </c>
      <c r="V119" s="2">
        <f>IF(Table4[[#This Row],[linear?]],Table4[[#This Row],[av]],10^(Table4[[#This Row],[av]]/10))</f>
        <v>1.799947654320988</v>
      </c>
      <c r="W119" s="2">
        <f>IF(Table4[[#This Row],[linear?]],Table4[[#This Row],[av]],10^(Table4[[#This Row],[av]]/10))</f>
        <v>1.799947654320988</v>
      </c>
      <c r="X119" s="2">
        <f>Table4[[#This Row],[av_lin]]-2*Table4[[#This Row],[std_lin]]</f>
        <v>-1.799947654320988</v>
      </c>
      <c r="Y119" s="2">
        <f>Table4[[#This Row],[av_lin]]+2*Table4[[#This Row],[std_lin]]</f>
        <v>5.3998429629629641</v>
      </c>
    </row>
    <row r="120" spans="1:25" x14ac:dyDescent="0.35">
      <c r="A120" s="1">
        <v>1681</v>
      </c>
      <c r="B120" t="s">
        <v>829</v>
      </c>
      <c r="C120" t="s">
        <v>549</v>
      </c>
      <c r="D120" t="s">
        <v>573</v>
      </c>
      <c r="E120" s="2">
        <v>3.9761114814814809</v>
      </c>
      <c r="F120" s="2">
        <v>4.6033921112374528E-3</v>
      </c>
      <c r="G120">
        <v>27</v>
      </c>
      <c r="H120" t="s">
        <v>58</v>
      </c>
      <c r="I120" s="2">
        <v>3.6</v>
      </c>
      <c r="J120" s="2">
        <v>4.4000000000000004</v>
      </c>
      <c r="K120" s="2">
        <v>4</v>
      </c>
      <c r="L120" s="2">
        <v>0.80000000000000027</v>
      </c>
      <c r="M120" s="2">
        <v>3.9853182657039561</v>
      </c>
      <c r="N120" s="2">
        <v>3.9669046972590061</v>
      </c>
      <c r="O120" s="2">
        <v>1.8413568444949568E-2</v>
      </c>
      <c r="P120" s="2">
        <v>863.73512953096008</v>
      </c>
      <c r="Q120" s="2">
        <v>43.44622295193534</v>
      </c>
      <c r="R120" t="str">
        <f t="shared" si="3"/>
        <v>yes</v>
      </c>
      <c r="S120" t="str">
        <f t="shared" si="4"/>
        <v>yes</v>
      </c>
      <c r="T12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0" s="2" t="b">
        <f t="shared" si="5"/>
        <v>1</v>
      </c>
      <c r="V120" s="2">
        <f>IF(Table4[[#This Row],[linear?]],Table4[[#This Row],[av]],10^(Table4[[#This Row],[av]]/10))</f>
        <v>3.9761114814814809</v>
      </c>
      <c r="W120" s="2">
        <f>IF(Table4[[#This Row],[linear?]],Table4[[#This Row],[av]],10^(Table4[[#This Row],[av]]/10))</f>
        <v>3.9761114814814809</v>
      </c>
      <c r="X120" s="2">
        <f>Table4[[#This Row],[av_lin]]-2*Table4[[#This Row],[std_lin]]</f>
        <v>-3.9761114814814809</v>
      </c>
      <c r="Y120" s="2">
        <f>Table4[[#This Row],[av_lin]]+2*Table4[[#This Row],[std_lin]]</f>
        <v>11.928334444444442</v>
      </c>
    </row>
    <row r="121" spans="1:25" x14ac:dyDescent="0.35">
      <c r="A121" s="1">
        <v>1685</v>
      </c>
      <c r="B121" t="s">
        <v>829</v>
      </c>
      <c r="C121" t="s">
        <v>549</v>
      </c>
      <c r="D121" t="s">
        <v>577</v>
      </c>
      <c r="E121" s="2">
        <v>1.800395061728395</v>
      </c>
      <c r="F121" s="2">
        <v>3.2586170248524071E-3</v>
      </c>
      <c r="G121">
        <v>27</v>
      </c>
      <c r="H121" t="s">
        <v>58</v>
      </c>
      <c r="I121" s="2">
        <v>1.62</v>
      </c>
      <c r="J121" s="2">
        <v>1.98</v>
      </c>
      <c r="K121" s="2">
        <v>1.8</v>
      </c>
      <c r="L121" s="2">
        <v>0.35999999999999988</v>
      </c>
      <c r="M121" s="2">
        <v>1.8069122957781001</v>
      </c>
      <c r="N121" s="2">
        <v>1.79387782767869</v>
      </c>
      <c r="O121" s="2">
        <v>1.303446809940967E-2</v>
      </c>
      <c r="P121" s="2">
        <v>552.50280962671286</v>
      </c>
      <c r="Q121" s="2">
        <v>27.619078680802041</v>
      </c>
      <c r="R121" t="str">
        <f t="shared" si="3"/>
        <v>yes</v>
      </c>
      <c r="S121" t="str">
        <f t="shared" si="4"/>
        <v>yes</v>
      </c>
      <c r="T12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1" s="2" t="b">
        <f t="shared" si="5"/>
        <v>1</v>
      </c>
      <c r="V121" s="2">
        <f>IF(Table4[[#This Row],[linear?]],Table4[[#This Row],[av]],10^(Table4[[#This Row],[av]]/10))</f>
        <v>1.800395061728395</v>
      </c>
      <c r="W121" s="2">
        <f>IF(Table4[[#This Row],[linear?]],Table4[[#This Row],[av]],10^(Table4[[#This Row],[av]]/10))</f>
        <v>1.800395061728395</v>
      </c>
      <c r="X121" s="2">
        <f>Table4[[#This Row],[av_lin]]-2*Table4[[#This Row],[std_lin]]</f>
        <v>-1.800395061728395</v>
      </c>
      <c r="Y121" s="2">
        <f>Table4[[#This Row],[av_lin]]+2*Table4[[#This Row],[std_lin]]</f>
        <v>5.4011851851851853</v>
      </c>
    </row>
    <row r="122" spans="1:25" x14ac:dyDescent="0.35">
      <c r="A122" s="1">
        <v>1690</v>
      </c>
      <c r="B122" t="s">
        <v>829</v>
      </c>
      <c r="C122" t="s">
        <v>549</v>
      </c>
      <c r="D122" t="s">
        <v>582</v>
      </c>
      <c r="E122" s="2">
        <v>3.9732519753086408</v>
      </c>
      <c r="F122" s="2">
        <v>1.1369659700281859E-2</v>
      </c>
      <c r="G122">
        <v>27</v>
      </c>
      <c r="H122" t="s">
        <v>58</v>
      </c>
      <c r="I122" s="2">
        <v>3.6</v>
      </c>
      <c r="J122" s="2">
        <v>4.4000000000000004</v>
      </c>
      <c r="K122" s="2">
        <v>4</v>
      </c>
      <c r="L122" s="2">
        <v>0.80000000000000027</v>
      </c>
      <c r="M122" s="2">
        <v>3.9959912947092051</v>
      </c>
      <c r="N122" s="2">
        <v>3.950512655908077</v>
      </c>
      <c r="O122" s="2">
        <v>4.547863880112768E-2</v>
      </c>
      <c r="P122" s="2">
        <v>349.46094078876803</v>
      </c>
      <c r="Q122" s="2">
        <v>17.590675998424199</v>
      </c>
      <c r="R122" t="str">
        <f t="shared" si="3"/>
        <v>yes</v>
      </c>
      <c r="S122" t="str">
        <f t="shared" si="4"/>
        <v>yes</v>
      </c>
      <c r="T12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2" s="2" t="b">
        <f t="shared" si="5"/>
        <v>1</v>
      </c>
      <c r="V122" s="2">
        <f>IF(Table4[[#This Row],[linear?]],Table4[[#This Row],[av]],10^(Table4[[#This Row],[av]]/10))</f>
        <v>3.9732519753086408</v>
      </c>
      <c r="W122" s="2">
        <f>IF(Table4[[#This Row],[linear?]],Table4[[#This Row],[av]],10^(Table4[[#This Row],[av]]/10))</f>
        <v>3.9732519753086408</v>
      </c>
      <c r="X122" s="2">
        <f>Table4[[#This Row],[av_lin]]-2*Table4[[#This Row],[std_lin]]</f>
        <v>-3.9732519753086408</v>
      </c>
      <c r="Y122" s="2">
        <f>Table4[[#This Row],[av_lin]]+2*Table4[[#This Row],[std_lin]]</f>
        <v>11.919755925925923</v>
      </c>
    </row>
    <row r="123" spans="1:25" x14ac:dyDescent="0.35">
      <c r="A123" s="1">
        <v>1694</v>
      </c>
      <c r="B123" t="s">
        <v>829</v>
      </c>
      <c r="C123" t="s">
        <v>549</v>
      </c>
      <c r="D123" t="s">
        <v>586</v>
      </c>
      <c r="E123" s="2">
        <v>1.8020446913580239</v>
      </c>
      <c r="F123" s="2">
        <v>4.2860197251063693E-3</v>
      </c>
      <c r="G123">
        <v>27</v>
      </c>
      <c r="H123" t="s">
        <v>58</v>
      </c>
      <c r="I123" s="2">
        <v>1.62</v>
      </c>
      <c r="J123" s="2">
        <v>1.98</v>
      </c>
      <c r="K123" s="2">
        <v>1.8</v>
      </c>
      <c r="L123" s="2">
        <v>0.35999999999999988</v>
      </c>
      <c r="M123" s="2">
        <v>1.810616730808237</v>
      </c>
      <c r="N123" s="2">
        <v>1.793472651907811</v>
      </c>
      <c r="O123" s="2">
        <v>1.7144078900425349E-2</v>
      </c>
      <c r="P123" s="2">
        <v>420.44712972320752</v>
      </c>
      <c r="Q123" s="2">
        <v>20.99850345363658</v>
      </c>
      <c r="R123" t="str">
        <f t="shared" si="3"/>
        <v>yes</v>
      </c>
      <c r="S123" t="str">
        <f t="shared" si="4"/>
        <v>yes</v>
      </c>
      <c r="T12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3" s="2" t="b">
        <f t="shared" si="5"/>
        <v>1</v>
      </c>
      <c r="V123" s="2">
        <f>IF(Table4[[#This Row],[linear?]],Table4[[#This Row],[av]],10^(Table4[[#This Row],[av]]/10))</f>
        <v>1.8020446913580239</v>
      </c>
      <c r="W123" s="2">
        <f>IF(Table4[[#This Row],[linear?]],Table4[[#This Row],[av]],10^(Table4[[#This Row],[av]]/10))</f>
        <v>1.8020446913580239</v>
      </c>
      <c r="X123" s="2">
        <f>Table4[[#This Row],[av_lin]]-2*Table4[[#This Row],[std_lin]]</f>
        <v>-1.8020446913580239</v>
      </c>
      <c r="Y123" s="2">
        <f>Table4[[#This Row],[av_lin]]+2*Table4[[#This Row],[std_lin]]</f>
        <v>5.406134074074072</v>
      </c>
    </row>
    <row r="124" spans="1:25" x14ac:dyDescent="0.35">
      <c r="A124" s="1">
        <v>1699</v>
      </c>
      <c r="B124" t="s">
        <v>829</v>
      </c>
      <c r="C124" t="s">
        <v>549</v>
      </c>
      <c r="D124" t="s">
        <v>591</v>
      </c>
      <c r="E124" s="2">
        <v>3.9671164197530859</v>
      </c>
      <c r="F124" s="2">
        <v>1.209730910158819E-2</v>
      </c>
      <c r="G124">
        <v>27</v>
      </c>
      <c r="H124" t="s">
        <v>58</v>
      </c>
      <c r="I124" s="2">
        <v>3.6</v>
      </c>
      <c r="J124" s="2">
        <v>4.4000000000000004</v>
      </c>
      <c r="K124" s="2">
        <v>4</v>
      </c>
      <c r="L124" s="2">
        <v>0.80000000000000027</v>
      </c>
      <c r="M124" s="2">
        <v>3.9913110379562622</v>
      </c>
      <c r="N124" s="2">
        <v>3.9429218015499101</v>
      </c>
      <c r="O124" s="2">
        <v>4.8389236406352509E-2</v>
      </c>
      <c r="P124" s="2">
        <v>327.93378977414608</v>
      </c>
      <c r="Q124" s="2">
        <v>16.53260227712493</v>
      </c>
      <c r="R124" t="str">
        <f t="shared" si="3"/>
        <v>yes</v>
      </c>
      <c r="S124" t="str">
        <f t="shared" si="4"/>
        <v>yes</v>
      </c>
      <c r="T12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4" s="2" t="b">
        <f t="shared" si="5"/>
        <v>1</v>
      </c>
      <c r="V124" s="2">
        <f>IF(Table4[[#This Row],[linear?]],Table4[[#This Row],[av]],10^(Table4[[#This Row],[av]]/10))</f>
        <v>3.9671164197530859</v>
      </c>
      <c r="W124" s="2">
        <f>IF(Table4[[#This Row],[linear?]],Table4[[#This Row],[av]],10^(Table4[[#This Row],[av]]/10))</f>
        <v>3.9671164197530859</v>
      </c>
      <c r="X124" s="2">
        <f>Table4[[#This Row],[av_lin]]-2*Table4[[#This Row],[std_lin]]</f>
        <v>-3.9671164197530859</v>
      </c>
      <c r="Y124" s="2">
        <f>Table4[[#This Row],[av_lin]]+2*Table4[[#This Row],[std_lin]]</f>
        <v>11.901349259259257</v>
      </c>
    </row>
    <row r="125" spans="1:25" x14ac:dyDescent="0.35">
      <c r="A125" s="1">
        <v>1704</v>
      </c>
      <c r="B125" t="s">
        <v>829</v>
      </c>
      <c r="C125" t="s">
        <v>549</v>
      </c>
      <c r="D125" t="s">
        <v>596</v>
      </c>
      <c r="E125" s="2">
        <v>0.9974518518518517</v>
      </c>
      <c r="F125" s="2">
        <v>1.412828434517948E-3</v>
      </c>
      <c r="G125">
        <v>27</v>
      </c>
      <c r="H125" t="s">
        <v>58</v>
      </c>
      <c r="I125" s="2">
        <v>0.85</v>
      </c>
      <c r="J125" s="2">
        <v>1.2</v>
      </c>
      <c r="K125" s="2">
        <v>1.0249999999999999</v>
      </c>
      <c r="L125" s="2">
        <v>0.35</v>
      </c>
      <c r="M125" s="2">
        <v>1.0002775087208871</v>
      </c>
      <c r="N125" s="2">
        <v>0.99462619498281579</v>
      </c>
      <c r="O125" s="2">
        <v>5.651313738071706E-3</v>
      </c>
      <c r="P125" s="2">
        <v>705.99644477864626</v>
      </c>
      <c r="Q125" s="2">
        <v>61.932502108690933</v>
      </c>
      <c r="R125" t="str">
        <f t="shared" si="3"/>
        <v>yes</v>
      </c>
      <c r="S125" t="str">
        <f t="shared" si="4"/>
        <v>yes</v>
      </c>
      <c r="T12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5" s="2" t="b">
        <f t="shared" si="5"/>
        <v>1</v>
      </c>
      <c r="V125" s="2">
        <f>IF(Table4[[#This Row],[linear?]],Table4[[#This Row],[av]],10^(Table4[[#This Row],[av]]/10))</f>
        <v>0.9974518518518517</v>
      </c>
      <c r="W125" s="2">
        <f>IF(Table4[[#This Row],[linear?]],Table4[[#This Row],[av]],10^(Table4[[#This Row],[av]]/10))</f>
        <v>0.9974518518518517</v>
      </c>
      <c r="X125" s="2">
        <f>Table4[[#This Row],[av_lin]]-2*Table4[[#This Row],[std_lin]]</f>
        <v>-0.9974518518518517</v>
      </c>
      <c r="Y125" s="2">
        <f>Table4[[#This Row],[av_lin]]+2*Table4[[#This Row],[std_lin]]</f>
        <v>2.9923555555555552</v>
      </c>
    </row>
    <row r="126" spans="1:25" x14ac:dyDescent="0.35">
      <c r="A126" s="1">
        <v>1706</v>
      </c>
      <c r="B126" t="s">
        <v>829</v>
      </c>
      <c r="C126" t="s">
        <v>549</v>
      </c>
      <c r="D126" t="s">
        <v>598</v>
      </c>
      <c r="E126" s="2">
        <v>1.5006543209876539</v>
      </c>
      <c r="F126" s="2">
        <v>4.0023803250270936E-3</v>
      </c>
      <c r="G126">
        <v>27</v>
      </c>
      <c r="H126" t="s">
        <v>58</v>
      </c>
      <c r="I126" s="2">
        <v>1.35</v>
      </c>
      <c r="J126" s="2">
        <v>1.65</v>
      </c>
      <c r="K126" s="2">
        <v>1.5</v>
      </c>
      <c r="L126" s="2">
        <v>0.29999999999999982</v>
      </c>
      <c r="M126" s="2">
        <v>1.5086590816377079</v>
      </c>
      <c r="N126" s="2">
        <v>1.4926495603376</v>
      </c>
      <c r="O126" s="2">
        <v>1.600952130010835E-2</v>
      </c>
      <c r="P126" s="2">
        <v>374.94046020663848</v>
      </c>
      <c r="Q126" s="2">
        <v>18.738848862268568</v>
      </c>
      <c r="R126" t="str">
        <f t="shared" si="3"/>
        <v>yes</v>
      </c>
      <c r="S126" t="str">
        <f t="shared" si="4"/>
        <v>yes</v>
      </c>
      <c r="T12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6" s="2" t="b">
        <f t="shared" si="5"/>
        <v>1</v>
      </c>
      <c r="V126" s="2">
        <f>IF(Table4[[#This Row],[linear?]],Table4[[#This Row],[av]],10^(Table4[[#This Row],[av]]/10))</f>
        <v>1.5006543209876539</v>
      </c>
      <c r="W126" s="2">
        <f>IF(Table4[[#This Row],[linear?]],Table4[[#This Row],[av]],10^(Table4[[#This Row],[av]]/10))</f>
        <v>1.5006543209876539</v>
      </c>
      <c r="X126" s="2">
        <f>Table4[[#This Row],[av_lin]]-2*Table4[[#This Row],[std_lin]]</f>
        <v>-1.5006543209876539</v>
      </c>
      <c r="Y126" s="2">
        <f>Table4[[#This Row],[av_lin]]+2*Table4[[#This Row],[std_lin]]</f>
        <v>4.5019629629629616</v>
      </c>
    </row>
    <row r="127" spans="1:25" x14ac:dyDescent="0.35">
      <c r="A127" s="1">
        <v>1708</v>
      </c>
      <c r="B127" t="s">
        <v>829</v>
      </c>
      <c r="C127" t="s">
        <v>549</v>
      </c>
      <c r="D127" t="s">
        <v>600</v>
      </c>
      <c r="E127" s="2">
        <v>35.868230370370377</v>
      </c>
      <c r="F127" s="2">
        <v>6.9430197378496136E-2</v>
      </c>
      <c r="G127">
        <v>27</v>
      </c>
      <c r="H127" t="s">
        <v>58</v>
      </c>
      <c r="I127" s="2">
        <v>34.5</v>
      </c>
      <c r="J127" s="2">
        <v>37</v>
      </c>
      <c r="K127" s="2">
        <v>35.75</v>
      </c>
      <c r="L127" s="2">
        <v>2.5</v>
      </c>
      <c r="M127" s="2">
        <v>36.007090765127373</v>
      </c>
      <c r="N127" s="2">
        <v>35.729369975613388</v>
      </c>
      <c r="O127" s="2">
        <v>0.27772078951397822</v>
      </c>
      <c r="P127" s="2">
        <v>516.60850357137906</v>
      </c>
      <c r="Q127" s="2">
        <v>9.0018467986321582</v>
      </c>
      <c r="R127" t="str">
        <f t="shared" si="3"/>
        <v>yes</v>
      </c>
      <c r="S127" t="str">
        <f t="shared" si="4"/>
        <v>yes</v>
      </c>
      <c r="T12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7" s="2" t="b">
        <f t="shared" si="5"/>
        <v>1</v>
      </c>
      <c r="V127" s="2">
        <f>IF(Table4[[#This Row],[linear?]],Table4[[#This Row],[av]],10^(Table4[[#This Row],[av]]/10))</f>
        <v>35.868230370370377</v>
      </c>
      <c r="W127" s="2">
        <f>IF(Table4[[#This Row],[linear?]],Table4[[#This Row],[av]],10^(Table4[[#This Row],[av]]/10))</f>
        <v>35.868230370370377</v>
      </c>
      <c r="X127" s="2">
        <f>Table4[[#This Row],[av_lin]]-2*Table4[[#This Row],[std_lin]]</f>
        <v>-35.868230370370377</v>
      </c>
      <c r="Y127" s="2">
        <f>Table4[[#This Row],[av_lin]]+2*Table4[[#This Row],[std_lin]]</f>
        <v>107.60469111111112</v>
      </c>
    </row>
    <row r="128" spans="1:25" x14ac:dyDescent="0.35">
      <c r="A128" s="1">
        <v>1710</v>
      </c>
      <c r="B128" t="s">
        <v>829</v>
      </c>
      <c r="C128" t="s">
        <v>549</v>
      </c>
      <c r="D128" t="s">
        <v>602</v>
      </c>
      <c r="E128" s="2">
        <v>0.99686024691358033</v>
      </c>
      <c r="F128" s="2">
        <v>1.8905065745510709E-3</v>
      </c>
      <c r="G128">
        <v>27</v>
      </c>
      <c r="H128" t="s">
        <v>58</v>
      </c>
      <c r="I128" s="2">
        <v>0.85</v>
      </c>
      <c r="J128" s="2">
        <v>1.2</v>
      </c>
      <c r="K128" s="2">
        <v>1.0249999999999999</v>
      </c>
      <c r="L128" s="2">
        <v>0.35</v>
      </c>
      <c r="M128" s="2">
        <v>1.0006412600626819</v>
      </c>
      <c r="N128" s="2">
        <v>0.99307923376447815</v>
      </c>
      <c r="O128" s="2">
        <v>7.5620262982042394E-3</v>
      </c>
      <c r="P128" s="2">
        <v>527.29795301045158</v>
      </c>
      <c r="Q128" s="2">
        <v>46.283890877649398</v>
      </c>
      <c r="R128" t="str">
        <f t="shared" si="3"/>
        <v>yes</v>
      </c>
      <c r="S128" t="str">
        <f t="shared" si="4"/>
        <v>yes</v>
      </c>
      <c r="T12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8" s="2" t="b">
        <f t="shared" si="5"/>
        <v>1</v>
      </c>
      <c r="V128" s="2">
        <f>IF(Table4[[#This Row],[linear?]],Table4[[#This Row],[av]],10^(Table4[[#This Row],[av]]/10))</f>
        <v>0.99686024691358033</v>
      </c>
      <c r="W128" s="2">
        <f>IF(Table4[[#This Row],[linear?]],Table4[[#This Row],[av]],10^(Table4[[#This Row],[av]]/10))</f>
        <v>0.99686024691358033</v>
      </c>
      <c r="X128" s="2">
        <f>Table4[[#This Row],[av_lin]]-2*Table4[[#This Row],[std_lin]]</f>
        <v>-0.99686024691358033</v>
      </c>
      <c r="Y128" s="2">
        <f>Table4[[#This Row],[av_lin]]+2*Table4[[#This Row],[std_lin]]</f>
        <v>2.9905807407407412</v>
      </c>
    </row>
    <row r="129" spans="1:25" x14ac:dyDescent="0.35">
      <c r="A129" s="1">
        <v>1712</v>
      </c>
      <c r="B129" t="s">
        <v>829</v>
      </c>
      <c r="C129" t="s">
        <v>549</v>
      </c>
      <c r="D129" t="s">
        <v>604</v>
      </c>
      <c r="E129" s="2">
        <v>1.503118888888888</v>
      </c>
      <c r="F129" s="2">
        <v>3.6783462870456081E-3</v>
      </c>
      <c r="G129">
        <v>27</v>
      </c>
      <c r="H129" t="s">
        <v>58</v>
      </c>
      <c r="I129" s="2">
        <v>1.35</v>
      </c>
      <c r="J129" s="2">
        <v>1.65</v>
      </c>
      <c r="K129" s="2">
        <v>1.5</v>
      </c>
      <c r="L129" s="2">
        <v>0.29999999999999982</v>
      </c>
      <c r="M129" s="2">
        <v>1.5104755814629789</v>
      </c>
      <c r="N129" s="2">
        <v>1.4957621963147969</v>
      </c>
      <c r="O129" s="2">
        <v>1.471338514818221E-2</v>
      </c>
      <c r="P129" s="2">
        <v>408.63985377955538</v>
      </c>
      <c r="Q129" s="2">
        <v>20.38959742972974</v>
      </c>
      <c r="R129" t="str">
        <f t="shared" si="3"/>
        <v>yes</v>
      </c>
      <c r="S129" t="str">
        <f t="shared" si="4"/>
        <v>yes</v>
      </c>
      <c r="T12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9" s="2" t="b">
        <f t="shared" si="5"/>
        <v>1</v>
      </c>
      <c r="V129" s="2">
        <f>IF(Table4[[#This Row],[linear?]],Table4[[#This Row],[av]],10^(Table4[[#This Row],[av]]/10))</f>
        <v>1.503118888888888</v>
      </c>
      <c r="W129" s="2">
        <f>IF(Table4[[#This Row],[linear?]],Table4[[#This Row],[av]],10^(Table4[[#This Row],[av]]/10))</f>
        <v>1.503118888888888</v>
      </c>
      <c r="X129" s="2">
        <f>Table4[[#This Row],[av_lin]]-2*Table4[[#This Row],[std_lin]]</f>
        <v>-1.503118888888888</v>
      </c>
      <c r="Y129" s="2">
        <f>Table4[[#This Row],[av_lin]]+2*Table4[[#This Row],[std_lin]]</f>
        <v>4.5093566666666636</v>
      </c>
    </row>
    <row r="130" spans="1:25" x14ac:dyDescent="0.35">
      <c r="A130" s="1">
        <v>1714</v>
      </c>
      <c r="B130" t="s">
        <v>829</v>
      </c>
      <c r="C130" t="s">
        <v>549</v>
      </c>
      <c r="D130" t="s">
        <v>606</v>
      </c>
      <c r="E130" s="2">
        <v>35.901233086419751</v>
      </c>
      <c r="F130" s="2">
        <v>0.1022905074949224</v>
      </c>
      <c r="G130">
        <v>27</v>
      </c>
      <c r="H130" t="s">
        <v>58</v>
      </c>
      <c r="I130" s="2">
        <v>34.5</v>
      </c>
      <c r="J130" s="2">
        <v>37</v>
      </c>
      <c r="K130" s="2">
        <v>35.75</v>
      </c>
      <c r="L130" s="2">
        <v>2.5</v>
      </c>
      <c r="M130" s="2">
        <v>36.105814101409592</v>
      </c>
      <c r="N130" s="2">
        <v>35.696652071429909</v>
      </c>
      <c r="O130" s="2">
        <v>0.40916202997968298</v>
      </c>
      <c r="P130" s="2">
        <v>350.97326199307258</v>
      </c>
      <c r="Q130" s="2">
        <v>6.1100488726291093</v>
      </c>
      <c r="R130" t="str">
        <f t="shared" ref="R130:R193" si="6">IF(H130="yes","yes","no")</f>
        <v>yes</v>
      </c>
      <c r="S130" t="str">
        <f t="shared" ref="S130:S193" si="7">IF(I130,"yes","no")</f>
        <v>yes</v>
      </c>
      <c r="T13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0" s="2" t="b">
        <f t="shared" ref="U130:U193" si="8">NOT(ISNUMBER(SEARCH("RFIC*POWER", D130)))</f>
        <v>1</v>
      </c>
      <c r="V130" s="2">
        <f>IF(Table4[[#This Row],[linear?]],Table4[[#This Row],[av]],10^(Table4[[#This Row],[av]]/10))</f>
        <v>35.901233086419751</v>
      </c>
      <c r="W130" s="2">
        <f>IF(Table4[[#This Row],[linear?]],Table4[[#This Row],[av]],10^(Table4[[#This Row],[av]]/10))</f>
        <v>35.901233086419751</v>
      </c>
      <c r="X130" s="2">
        <f>Table4[[#This Row],[av_lin]]-2*Table4[[#This Row],[std_lin]]</f>
        <v>-35.901233086419751</v>
      </c>
      <c r="Y130" s="2">
        <f>Table4[[#This Row],[av_lin]]+2*Table4[[#This Row],[std_lin]]</f>
        <v>107.70369925925925</v>
      </c>
    </row>
    <row r="131" spans="1:25" x14ac:dyDescent="0.35">
      <c r="A131" s="1">
        <v>1716</v>
      </c>
      <c r="B131" t="s">
        <v>829</v>
      </c>
      <c r="C131" t="s">
        <v>549</v>
      </c>
      <c r="D131" t="s">
        <v>608</v>
      </c>
      <c r="E131" s="2">
        <v>0.99771728395061721</v>
      </c>
      <c r="F131" s="2">
        <v>2.5892977953418041E-3</v>
      </c>
      <c r="G131">
        <v>27</v>
      </c>
      <c r="H131" t="s">
        <v>58</v>
      </c>
      <c r="I131" s="2">
        <v>0.85</v>
      </c>
      <c r="J131" s="2">
        <v>1.2</v>
      </c>
      <c r="K131" s="2">
        <v>1.0249999999999999</v>
      </c>
      <c r="L131" s="2">
        <v>0.35</v>
      </c>
      <c r="M131" s="2">
        <v>1.002895879541301</v>
      </c>
      <c r="N131" s="2">
        <v>0.99253868835993364</v>
      </c>
      <c r="O131" s="2">
        <v>1.035719118136713E-2</v>
      </c>
      <c r="P131" s="2">
        <v>385.32349803314611</v>
      </c>
      <c r="Q131" s="2">
        <v>33.792945777582972</v>
      </c>
      <c r="R131" t="str">
        <f t="shared" si="6"/>
        <v>yes</v>
      </c>
      <c r="S131" t="str">
        <f t="shared" si="7"/>
        <v>yes</v>
      </c>
      <c r="T13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1" s="2" t="b">
        <f t="shared" si="8"/>
        <v>1</v>
      </c>
      <c r="V131" s="2">
        <f>IF(Table4[[#This Row],[linear?]],Table4[[#This Row],[av]],10^(Table4[[#This Row],[av]]/10))</f>
        <v>0.99771728395061721</v>
      </c>
      <c r="W131" s="2">
        <f>IF(Table4[[#This Row],[linear?]],Table4[[#This Row],[av]],10^(Table4[[#This Row],[av]]/10))</f>
        <v>0.99771728395061721</v>
      </c>
      <c r="X131" s="2">
        <f>Table4[[#This Row],[av_lin]]-2*Table4[[#This Row],[std_lin]]</f>
        <v>-0.99771728395061721</v>
      </c>
      <c r="Y131" s="2">
        <f>Table4[[#This Row],[av_lin]]+2*Table4[[#This Row],[std_lin]]</f>
        <v>2.9931518518518514</v>
      </c>
    </row>
    <row r="132" spans="1:25" x14ac:dyDescent="0.35">
      <c r="A132" s="1">
        <v>1718</v>
      </c>
      <c r="B132" t="s">
        <v>829</v>
      </c>
      <c r="C132" t="s">
        <v>549</v>
      </c>
      <c r="D132" t="s">
        <v>610</v>
      </c>
      <c r="E132" s="2">
        <v>1.5008838271604941</v>
      </c>
      <c r="F132" s="2">
        <v>2.9116046227212092E-3</v>
      </c>
      <c r="G132">
        <v>27</v>
      </c>
      <c r="H132" t="s">
        <v>58</v>
      </c>
      <c r="I132" s="2">
        <v>1.35</v>
      </c>
      <c r="J132" s="2">
        <v>1.65</v>
      </c>
      <c r="K132" s="2">
        <v>1.5</v>
      </c>
      <c r="L132" s="2">
        <v>0.29999999999999982</v>
      </c>
      <c r="M132" s="2">
        <v>1.506707036405937</v>
      </c>
      <c r="N132" s="2">
        <v>1.4950606179150521</v>
      </c>
      <c r="O132" s="2">
        <v>1.164641849088488E-2</v>
      </c>
      <c r="P132" s="2">
        <v>515.4833920265437</v>
      </c>
      <c r="Q132" s="2">
        <v>25.758991936859911</v>
      </c>
      <c r="R132" t="str">
        <f t="shared" si="6"/>
        <v>yes</v>
      </c>
      <c r="S132" t="str">
        <f t="shared" si="7"/>
        <v>yes</v>
      </c>
      <c r="T13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2" s="2" t="b">
        <f t="shared" si="8"/>
        <v>1</v>
      </c>
      <c r="V132" s="2">
        <f>IF(Table4[[#This Row],[linear?]],Table4[[#This Row],[av]],10^(Table4[[#This Row],[av]]/10))</f>
        <v>1.5008838271604941</v>
      </c>
      <c r="W132" s="2">
        <f>IF(Table4[[#This Row],[linear?]],Table4[[#This Row],[av]],10^(Table4[[#This Row],[av]]/10))</f>
        <v>1.5008838271604941</v>
      </c>
      <c r="X132" s="2">
        <f>Table4[[#This Row],[av_lin]]-2*Table4[[#This Row],[std_lin]]</f>
        <v>-1.5008838271604941</v>
      </c>
      <c r="Y132" s="2">
        <f>Table4[[#This Row],[av_lin]]+2*Table4[[#This Row],[std_lin]]</f>
        <v>4.5026514814814824</v>
      </c>
    </row>
    <row r="133" spans="1:25" x14ac:dyDescent="0.35">
      <c r="A133" s="1">
        <v>1720</v>
      </c>
      <c r="B133" t="s">
        <v>829</v>
      </c>
      <c r="C133" t="s">
        <v>549</v>
      </c>
      <c r="D133" t="s">
        <v>612</v>
      </c>
      <c r="E133" s="2">
        <v>35.927605679012338</v>
      </c>
      <c r="F133" s="2">
        <v>6.3208408834077537E-2</v>
      </c>
      <c r="G133">
        <v>27</v>
      </c>
      <c r="H133" t="s">
        <v>58</v>
      </c>
      <c r="I133" s="2">
        <v>34.5</v>
      </c>
      <c r="J133" s="2">
        <v>37</v>
      </c>
      <c r="K133" s="2">
        <v>35.75</v>
      </c>
      <c r="L133" s="2">
        <v>2.5</v>
      </c>
      <c r="M133" s="2">
        <v>36.054022496680503</v>
      </c>
      <c r="N133" s="2">
        <v>35.80118886134418</v>
      </c>
      <c r="O133" s="2">
        <v>0.25283363533631592</v>
      </c>
      <c r="P133" s="2">
        <v>568.39914722932713</v>
      </c>
      <c r="Q133" s="2">
        <v>9.8879249063303387</v>
      </c>
      <c r="R133" t="str">
        <f t="shared" si="6"/>
        <v>yes</v>
      </c>
      <c r="S133" t="str">
        <f t="shared" si="7"/>
        <v>yes</v>
      </c>
      <c r="T13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3" s="2" t="b">
        <f t="shared" si="8"/>
        <v>1</v>
      </c>
      <c r="V133" s="2">
        <f>IF(Table4[[#This Row],[linear?]],Table4[[#This Row],[av]],10^(Table4[[#This Row],[av]]/10))</f>
        <v>35.927605679012338</v>
      </c>
      <c r="W133" s="2">
        <f>IF(Table4[[#This Row],[linear?]],Table4[[#This Row],[av]],10^(Table4[[#This Row],[av]]/10))</f>
        <v>35.927605679012338</v>
      </c>
      <c r="X133" s="2">
        <f>Table4[[#This Row],[av_lin]]-2*Table4[[#This Row],[std_lin]]</f>
        <v>-35.927605679012338</v>
      </c>
      <c r="Y133" s="2">
        <f>Table4[[#This Row],[av_lin]]+2*Table4[[#This Row],[std_lin]]</f>
        <v>107.78281703703701</v>
      </c>
    </row>
    <row r="134" spans="1:25" x14ac:dyDescent="0.35">
      <c r="A134" s="1">
        <v>1721</v>
      </c>
      <c r="B134" t="s">
        <v>829</v>
      </c>
      <c r="C134" t="s">
        <v>549</v>
      </c>
      <c r="D134" t="s">
        <v>613</v>
      </c>
      <c r="E134" s="2">
        <v>1.807033703703703</v>
      </c>
      <c r="F134" s="2">
        <v>5.4886431794932402E-3</v>
      </c>
      <c r="G134">
        <v>27</v>
      </c>
      <c r="H134" t="s">
        <v>58</v>
      </c>
      <c r="I134" s="2">
        <v>1.62</v>
      </c>
      <c r="J134" s="2">
        <v>1.98</v>
      </c>
      <c r="K134" s="2">
        <v>1.8</v>
      </c>
      <c r="L134" s="2">
        <v>0.35999999999999988</v>
      </c>
      <c r="M134" s="2">
        <v>1.81801099006269</v>
      </c>
      <c r="N134" s="2">
        <v>1.796056417344716</v>
      </c>
      <c r="O134" s="2">
        <v>2.1954572717973079E-2</v>
      </c>
      <c r="P134" s="2">
        <v>329.23140466758201</v>
      </c>
      <c r="Q134" s="2">
        <v>16.397495165336849</v>
      </c>
      <c r="R134" t="str">
        <f t="shared" si="6"/>
        <v>yes</v>
      </c>
      <c r="S134" t="str">
        <f t="shared" si="7"/>
        <v>yes</v>
      </c>
      <c r="T13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4" s="2" t="b">
        <f t="shared" si="8"/>
        <v>1</v>
      </c>
      <c r="V134" s="2">
        <f>IF(Table4[[#This Row],[linear?]],Table4[[#This Row],[av]],10^(Table4[[#This Row],[av]]/10))</f>
        <v>1.807033703703703</v>
      </c>
      <c r="W134" s="2">
        <f>IF(Table4[[#This Row],[linear?]],Table4[[#This Row],[av]],10^(Table4[[#This Row],[av]]/10))</f>
        <v>1.807033703703703</v>
      </c>
      <c r="X134" s="2">
        <f>Table4[[#This Row],[av_lin]]-2*Table4[[#This Row],[std_lin]]</f>
        <v>-1.807033703703703</v>
      </c>
      <c r="Y134" s="2">
        <f>Table4[[#This Row],[av_lin]]+2*Table4[[#This Row],[std_lin]]</f>
        <v>5.4211011111111089</v>
      </c>
    </row>
    <row r="135" spans="1:25" x14ac:dyDescent="0.35">
      <c r="A135" s="1">
        <v>1726</v>
      </c>
      <c r="B135" t="s">
        <v>829</v>
      </c>
      <c r="C135" t="s">
        <v>549</v>
      </c>
      <c r="D135" t="s">
        <v>618</v>
      </c>
      <c r="E135" s="2">
        <v>3.981052345679013</v>
      </c>
      <c r="F135" s="2">
        <v>1.3721538567181229E-2</v>
      </c>
      <c r="G135">
        <v>27</v>
      </c>
      <c r="H135" t="s">
        <v>58</v>
      </c>
      <c r="I135" s="2">
        <v>3.6</v>
      </c>
      <c r="J135" s="2">
        <v>4.4000000000000004</v>
      </c>
      <c r="K135" s="2">
        <v>4</v>
      </c>
      <c r="L135" s="2">
        <v>0.80000000000000027</v>
      </c>
      <c r="M135" s="2">
        <v>4.0084954228133753</v>
      </c>
      <c r="N135" s="2">
        <v>3.9536092685446511</v>
      </c>
      <c r="O135" s="2">
        <v>5.4886154268724667E-2</v>
      </c>
      <c r="P135" s="2">
        <v>290.13162964106488</v>
      </c>
      <c r="Q135" s="2">
        <v>14.575624957856769</v>
      </c>
      <c r="R135" t="str">
        <f t="shared" si="6"/>
        <v>yes</v>
      </c>
      <c r="S135" t="str">
        <f t="shared" si="7"/>
        <v>yes</v>
      </c>
      <c r="T13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5" s="2" t="b">
        <f t="shared" si="8"/>
        <v>1</v>
      </c>
      <c r="V135" s="2">
        <f>IF(Table4[[#This Row],[linear?]],Table4[[#This Row],[av]],10^(Table4[[#This Row],[av]]/10))</f>
        <v>3.981052345679013</v>
      </c>
      <c r="W135" s="2">
        <f>IF(Table4[[#This Row],[linear?]],Table4[[#This Row],[av]],10^(Table4[[#This Row],[av]]/10))</f>
        <v>3.981052345679013</v>
      </c>
      <c r="X135" s="2">
        <f>Table4[[#This Row],[av_lin]]-2*Table4[[#This Row],[std_lin]]</f>
        <v>-3.981052345679013</v>
      </c>
      <c r="Y135" s="2">
        <f>Table4[[#This Row],[av_lin]]+2*Table4[[#This Row],[std_lin]]</f>
        <v>11.943157037037039</v>
      </c>
    </row>
    <row r="136" spans="1:25" x14ac:dyDescent="0.35">
      <c r="A136" s="1">
        <v>1730</v>
      </c>
      <c r="B136" t="s">
        <v>829</v>
      </c>
      <c r="C136" t="s">
        <v>549</v>
      </c>
      <c r="D136" t="s">
        <v>622</v>
      </c>
      <c r="E136" s="2">
        <v>1.805436296296296</v>
      </c>
      <c r="F136" s="2">
        <v>5.9682071489826211E-3</v>
      </c>
      <c r="G136">
        <v>27</v>
      </c>
      <c r="H136" t="s">
        <v>58</v>
      </c>
      <c r="I136" s="2">
        <v>1.62</v>
      </c>
      <c r="J136" s="2">
        <v>1.98</v>
      </c>
      <c r="K136" s="2">
        <v>1.8</v>
      </c>
      <c r="L136" s="2">
        <v>0.35999999999999988</v>
      </c>
      <c r="M136" s="2">
        <v>1.817372710594261</v>
      </c>
      <c r="N136" s="2">
        <v>1.793499881998331</v>
      </c>
      <c r="O136" s="2">
        <v>2.3872828595930429E-2</v>
      </c>
      <c r="P136" s="2">
        <v>302.50898657297148</v>
      </c>
      <c r="Q136" s="2">
        <v>15.079905531654029</v>
      </c>
      <c r="R136" t="str">
        <f t="shared" si="6"/>
        <v>yes</v>
      </c>
      <c r="S136" t="str">
        <f t="shared" si="7"/>
        <v>yes</v>
      </c>
      <c r="T13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6" s="2" t="b">
        <f t="shared" si="8"/>
        <v>1</v>
      </c>
      <c r="V136" s="2">
        <f>IF(Table4[[#This Row],[linear?]],Table4[[#This Row],[av]],10^(Table4[[#This Row],[av]]/10))</f>
        <v>1.805436296296296</v>
      </c>
      <c r="W136" s="2">
        <f>IF(Table4[[#This Row],[linear?]],Table4[[#This Row],[av]],10^(Table4[[#This Row],[av]]/10))</f>
        <v>1.805436296296296</v>
      </c>
      <c r="X136" s="2">
        <f>Table4[[#This Row],[av_lin]]-2*Table4[[#This Row],[std_lin]]</f>
        <v>-1.805436296296296</v>
      </c>
      <c r="Y136" s="2">
        <f>Table4[[#This Row],[av_lin]]+2*Table4[[#This Row],[std_lin]]</f>
        <v>5.4163088888888877</v>
      </c>
    </row>
    <row r="137" spans="1:25" x14ac:dyDescent="0.35">
      <c r="A137" s="1">
        <v>1735</v>
      </c>
      <c r="B137" t="s">
        <v>829</v>
      </c>
      <c r="C137" t="s">
        <v>549</v>
      </c>
      <c r="D137" t="s">
        <v>627</v>
      </c>
      <c r="E137" s="2">
        <v>3.9755804938271608</v>
      </c>
      <c r="F137" s="2">
        <v>9.8846700779517561E-3</v>
      </c>
      <c r="G137">
        <v>27</v>
      </c>
      <c r="H137" t="s">
        <v>58</v>
      </c>
      <c r="I137" s="2">
        <v>3.6</v>
      </c>
      <c r="J137" s="2">
        <v>4.4000000000000004</v>
      </c>
      <c r="K137" s="2">
        <v>4</v>
      </c>
      <c r="L137" s="2">
        <v>0.80000000000000027</v>
      </c>
      <c r="M137" s="2">
        <v>3.995349833983064</v>
      </c>
      <c r="N137" s="2">
        <v>3.9558111536712568</v>
      </c>
      <c r="O137" s="2">
        <v>3.9538680311807177E-2</v>
      </c>
      <c r="P137" s="2">
        <v>402.19657939771702</v>
      </c>
      <c r="Q137" s="2">
        <v>20.23335108028634</v>
      </c>
      <c r="R137" t="str">
        <f t="shared" si="6"/>
        <v>yes</v>
      </c>
      <c r="S137" t="str">
        <f t="shared" si="7"/>
        <v>yes</v>
      </c>
      <c r="T13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7" s="2" t="b">
        <f t="shared" si="8"/>
        <v>1</v>
      </c>
      <c r="V137" s="2">
        <f>IF(Table4[[#This Row],[linear?]],Table4[[#This Row],[av]],10^(Table4[[#This Row],[av]]/10))</f>
        <v>3.9755804938271608</v>
      </c>
      <c r="W137" s="2">
        <f>IF(Table4[[#This Row],[linear?]],Table4[[#This Row],[av]],10^(Table4[[#This Row],[av]]/10))</f>
        <v>3.9755804938271608</v>
      </c>
      <c r="X137" s="2">
        <f>Table4[[#This Row],[av_lin]]-2*Table4[[#This Row],[std_lin]]</f>
        <v>-3.9755804938271608</v>
      </c>
      <c r="Y137" s="2">
        <f>Table4[[#This Row],[av_lin]]+2*Table4[[#This Row],[std_lin]]</f>
        <v>11.926741481481482</v>
      </c>
    </row>
    <row r="138" spans="1:25" x14ac:dyDescent="0.35">
      <c r="A138" s="1">
        <v>1739</v>
      </c>
      <c r="B138" t="s">
        <v>829</v>
      </c>
      <c r="C138" t="s">
        <v>549</v>
      </c>
      <c r="D138" t="s">
        <v>631</v>
      </c>
      <c r="E138" s="2">
        <v>1.802168518518519</v>
      </c>
      <c r="F138" s="2">
        <v>4.0303118133450978E-3</v>
      </c>
      <c r="G138">
        <v>27</v>
      </c>
      <c r="H138" t="s">
        <v>58</v>
      </c>
      <c r="I138" s="2">
        <v>1.62</v>
      </c>
      <c r="J138" s="2">
        <v>1.98</v>
      </c>
      <c r="K138" s="2">
        <v>1.8</v>
      </c>
      <c r="L138" s="2">
        <v>0.35999999999999988</v>
      </c>
      <c r="M138" s="2">
        <v>1.810229142145209</v>
      </c>
      <c r="N138" s="2">
        <v>1.794107894891829</v>
      </c>
      <c r="O138" s="2">
        <v>1.6121247253380488E-2</v>
      </c>
      <c r="P138" s="2">
        <v>447.15362036039249</v>
      </c>
      <c r="Q138" s="2">
        <v>22.330778403296989</v>
      </c>
      <c r="R138" t="str">
        <f t="shared" si="6"/>
        <v>yes</v>
      </c>
      <c r="S138" t="str">
        <f t="shared" si="7"/>
        <v>yes</v>
      </c>
      <c r="T13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8" s="2" t="b">
        <f t="shared" si="8"/>
        <v>1</v>
      </c>
      <c r="V138" s="2">
        <f>IF(Table4[[#This Row],[linear?]],Table4[[#This Row],[av]],10^(Table4[[#This Row],[av]]/10))</f>
        <v>1.802168518518519</v>
      </c>
      <c r="W138" s="2">
        <f>IF(Table4[[#This Row],[linear?]],Table4[[#This Row],[av]],10^(Table4[[#This Row],[av]]/10))</f>
        <v>1.802168518518519</v>
      </c>
      <c r="X138" s="2">
        <f>Table4[[#This Row],[av_lin]]-2*Table4[[#This Row],[std_lin]]</f>
        <v>-1.802168518518519</v>
      </c>
      <c r="Y138" s="2">
        <f>Table4[[#This Row],[av_lin]]+2*Table4[[#This Row],[std_lin]]</f>
        <v>5.4065055555555572</v>
      </c>
    </row>
    <row r="139" spans="1:25" x14ac:dyDescent="0.35">
      <c r="A139" s="1">
        <v>1744</v>
      </c>
      <c r="B139" t="s">
        <v>829</v>
      </c>
      <c r="C139" t="s">
        <v>549</v>
      </c>
      <c r="D139" t="s">
        <v>636</v>
      </c>
      <c r="E139" s="2">
        <v>3.972071481481481</v>
      </c>
      <c r="F139" s="2">
        <v>8.1843392628627078E-3</v>
      </c>
      <c r="G139">
        <v>27</v>
      </c>
      <c r="H139" t="s">
        <v>58</v>
      </c>
      <c r="I139" s="2">
        <v>3.6</v>
      </c>
      <c r="J139" s="2">
        <v>4.4000000000000004</v>
      </c>
      <c r="K139" s="2">
        <v>4</v>
      </c>
      <c r="L139" s="2">
        <v>0.80000000000000027</v>
      </c>
      <c r="M139" s="2">
        <v>3.9884401600072059</v>
      </c>
      <c r="N139" s="2">
        <v>3.9557028029557562</v>
      </c>
      <c r="O139" s="2">
        <v>3.2737357051450637E-2</v>
      </c>
      <c r="P139" s="2">
        <v>485.32585880269772</v>
      </c>
      <c r="Q139" s="2">
        <v>24.43691464594119</v>
      </c>
      <c r="R139" t="str">
        <f t="shared" si="6"/>
        <v>yes</v>
      </c>
      <c r="S139" t="str">
        <f t="shared" si="7"/>
        <v>yes</v>
      </c>
      <c r="T13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9" s="2" t="b">
        <f t="shared" si="8"/>
        <v>1</v>
      </c>
      <c r="V139" s="2">
        <f>IF(Table4[[#This Row],[linear?]],Table4[[#This Row],[av]],10^(Table4[[#This Row],[av]]/10))</f>
        <v>3.972071481481481</v>
      </c>
      <c r="W139" s="2">
        <f>IF(Table4[[#This Row],[linear?]],Table4[[#This Row],[av]],10^(Table4[[#This Row],[av]]/10))</f>
        <v>3.972071481481481</v>
      </c>
      <c r="X139" s="2">
        <f>Table4[[#This Row],[av_lin]]-2*Table4[[#This Row],[std_lin]]</f>
        <v>-3.972071481481481</v>
      </c>
      <c r="Y139" s="2">
        <f>Table4[[#This Row],[av_lin]]+2*Table4[[#This Row],[std_lin]]</f>
        <v>11.916214444444442</v>
      </c>
    </row>
    <row r="140" spans="1:25" x14ac:dyDescent="0.35">
      <c r="A140" s="1">
        <v>1749</v>
      </c>
      <c r="B140" t="s">
        <v>829</v>
      </c>
      <c r="C140" t="s">
        <v>549</v>
      </c>
      <c r="D140" t="s">
        <v>641</v>
      </c>
      <c r="E140" s="2">
        <v>0.99626691358024688</v>
      </c>
      <c r="F140" s="2">
        <v>1.695569188437275E-3</v>
      </c>
      <c r="G140">
        <v>27</v>
      </c>
      <c r="H140" t="s">
        <v>58</v>
      </c>
      <c r="I140" s="2">
        <v>0.85</v>
      </c>
      <c r="J140" s="2">
        <v>1.2</v>
      </c>
      <c r="K140" s="2">
        <v>1.0249999999999999</v>
      </c>
      <c r="L140" s="2">
        <v>0.35</v>
      </c>
      <c r="M140" s="2">
        <v>0.99965805195712143</v>
      </c>
      <c r="N140" s="2">
        <v>0.99287577520337233</v>
      </c>
      <c r="O140" s="2">
        <v>6.7822767537490947E-3</v>
      </c>
      <c r="P140" s="2">
        <v>587.57078176117273</v>
      </c>
      <c r="Q140" s="2">
        <v>51.605089663515663</v>
      </c>
      <c r="R140" t="str">
        <f t="shared" si="6"/>
        <v>yes</v>
      </c>
      <c r="S140" t="str">
        <f t="shared" si="7"/>
        <v>yes</v>
      </c>
      <c r="T14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0" s="2" t="b">
        <f t="shared" si="8"/>
        <v>1</v>
      </c>
      <c r="V140" s="2">
        <f>IF(Table4[[#This Row],[linear?]],Table4[[#This Row],[av]],10^(Table4[[#This Row],[av]]/10))</f>
        <v>0.99626691358024688</v>
      </c>
      <c r="W140" s="2">
        <f>IF(Table4[[#This Row],[linear?]],Table4[[#This Row],[av]],10^(Table4[[#This Row],[av]]/10))</f>
        <v>0.99626691358024688</v>
      </c>
      <c r="X140" s="2">
        <f>Table4[[#This Row],[av_lin]]-2*Table4[[#This Row],[std_lin]]</f>
        <v>-0.99626691358024688</v>
      </c>
      <c r="Y140" s="2">
        <f>Table4[[#This Row],[av_lin]]+2*Table4[[#This Row],[std_lin]]</f>
        <v>2.9888007407407406</v>
      </c>
    </row>
    <row r="141" spans="1:25" x14ac:dyDescent="0.35">
      <c r="A141" s="1">
        <v>1751</v>
      </c>
      <c r="B141" t="s">
        <v>829</v>
      </c>
      <c r="C141" t="s">
        <v>549</v>
      </c>
      <c r="D141" t="s">
        <v>643</v>
      </c>
      <c r="E141" s="2">
        <v>1.499985308641975</v>
      </c>
      <c r="F141" s="2">
        <v>3.087286291633158E-3</v>
      </c>
      <c r="G141">
        <v>27</v>
      </c>
      <c r="H141" t="s">
        <v>58</v>
      </c>
      <c r="I141" s="2">
        <v>1.35</v>
      </c>
      <c r="J141" s="2">
        <v>1.65</v>
      </c>
      <c r="K141" s="2">
        <v>1.5</v>
      </c>
      <c r="L141" s="2">
        <v>0.29999999999999982</v>
      </c>
      <c r="M141" s="2">
        <v>1.506159881225241</v>
      </c>
      <c r="N141" s="2">
        <v>1.493810736058709</v>
      </c>
      <c r="O141" s="2">
        <v>1.2349145166532519E-2</v>
      </c>
      <c r="P141" s="2">
        <v>485.85883100866897</v>
      </c>
      <c r="Q141" s="2">
        <v>24.29317948363191</v>
      </c>
      <c r="R141" t="str">
        <f t="shared" si="6"/>
        <v>yes</v>
      </c>
      <c r="S141" t="str">
        <f t="shared" si="7"/>
        <v>yes</v>
      </c>
      <c r="T14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1" s="2" t="b">
        <f t="shared" si="8"/>
        <v>1</v>
      </c>
      <c r="V141" s="2">
        <f>IF(Table4[[#This Row],[linear?]],Table4[[#This Row],[av]],10^(Table4[[#This Row],[av]]/10))</f>
        <v>1.499985308641975</v>
      </c>
      <c r="W141" s="2">
        <f>IF(Table4[[#This Row],[linear?]],Table4[[#This Row],[av]],10^(Table4[[#This Row],[av]]/10))</f>
        <v>1.499985308641975</v>
      </c>
      <c r="X141" s="2">
        <f>Table4[[#This Row],[av_lin]]-2*Table4[[#This Row],[std_lin]]</f>
        <v>-1.499985308641975</v>
      </c>
      <c r="Y141" s="2">
        <f>Table4[[#This Row],[av_lin]]+2*Table4[[#This Row],[std_lin]]</f>
        <v>4.4999559259259252</v>
      </c>
    </row>
    <row r="142" spans="1:25" x14ac:dyDescent="0.35">
      <c r="A142" s="1">
        <v>1753</v>
      </c>
      <c r="B142" t="s">
        <v>829</v>
      </c>
      <c r="C142" t="s">
        <v>549</v>
      </c>
      <c r="D142" t="s">
        <v>645</v>
      </c>
      <c r="E142" s="2">
        <v>35.83708037037038</v>
      </c>
      <c r="F142" s="2">
        <v>0.1059490486297669</v>
      </c>
      <c r="G142">
        <v>27</v>
      </c>
      <c r="H142" t="s">
        <v>58</v>
      </c>
      <c r="I142" s="2">
        <v>34.5</v>
      </c>
      <c r="J142" s="2">
        <v>37</v>
      </c>
      <c r="K142" s="2">
        <v>35.75</v>
      </c>
      <c r="L142" s="2">
        <v>2.5</v>
      </c>
      <c r="M142" s="2">
        <v>36.048978467629922</v>
      </c>
      <c r="N142" s="2">
        <v>35.625182273110838</v>
      </c>
      <c r="O142" s="2">
        <v>0.42379619451907052</v>
      </c>
      <c r="P142" s="2">
        <v>338.24825077572029</v>
      </c>
      <c r="Q142" s="2">
        <v>5.8990619366864134</v>
      </c>
      <c r="R142" t="str">
        <f t="shared" si="6"/>
        <v>yes</v>
      </c>
      <c r="S142" t="str">
        <f t="shared" si="7"/>
        <v>yes</v>
      </c>
      <c r="T14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2" s="2" t="b">
        <f t="shared" si="8"/>
        <v>1</v>
      </c>
      <c r="V142" s="2">
        <f>IF(Table4[[#This Row],[linear?]],Table4[[#This Row],[av]],10^(Table4[[#This Row],[av]]/10))</f>
        <v>35.83708037037038</v>
      </c>
      <c r="W142" s="2">
        <f>IF(Table4[[#This Row],[linear?]],Table4[[#This Row],[av]],10^(Table4[[#This Row],[av]]/10))</f>
        <v>35.83708037037038</v>
      </c>
      <c r="X142" s="2">
        <f>Table4[[#This Row],[av_lin]]-2*Table4[[#This Row],[std_lin]]</f>
        <v>-35.83708037037038</v>
      </c>
      <c r="Y142" s="2">
        <f>Table4[[#This Row],[av_lin]]+2*Table4[[#This Row],[std_lin]]</f>
        <v>107.51124111111113</v>
      </c>
    </row>
    <row r="143" spans="1:25" x14ac:dyDescent="0.35">
      <c r="A143" s="1">
        <v>1755</v>
      </c>
      <c r="B143" t="s">
        <v>829</v>
      </c>
      <c r="C143" t="s">
        <v>549</v>
      </c>
      <c r="D143" t="s">
        <v>647</v>
      </c>
      <c r="E143" s="2">
        <v>0.99738037037037031</v>
      </c>
      <c r="F143" s="2">
        <v>1.1952187209498619E-3</v>
      </c>
      <c r="G143">
        <v>27</v>
      </c>
      <c r="H143" t="s">
        <v>58</v>
      </c>
      <c r="I143" s="2">
        <v>0.85</v>
      </c>
      <c r="J143" s="2">
        <v>1.2</v>
      </c>
      <c r="K143" s="2">
        <v>1.0249999999999999</v>
      </c>
      <c r="L143" s="2">
        <v>0.35</v>
      </c>
      <c r="M143" s="2">
        <v>0.99977080781227001</v>
      </c>
      <c r="N143" s="2">
        <v>0.9949899329284706</v>
      </c>
      <c r="O143" s="2">
        <v>4.7808748837994131E-3</v>
      </c>
      <c r="P143" s="2">
        <v>834.47519093219535</v>
      </c>
      <c r="Q143" s="2">
        <v>73.208357990295525</v>
      </c>
      <c r="R143" t="str">
        <f t="shared" si="6"/>
        <v>yes</v>
      </c>
      <c r="S143" t="str">
        <f t="shared" si="7"/>
        <v>yes</v>
      </c>
      <c r="T14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3" s="2" t="b">
        <f t="shared" si="8"/>
        <v>1</v>
      </c>
      <c r="V143" s="2">
        <f>IF(Table4[[#This Row],[linear?]],Table4[[#This Row],[av]],10^(Table4[[#This Row],[av]]/10))</f>
        <v>0.99738037037037031</v>
      </c>
      <c r="W143" s="2">
        <f>IF(Table4[[#This Row],[linear?]],Table4[[#This Row],[av]],10^(Table4[[#This Row],[av]]/10))</f>
        <v>0.99738037037037031</v>
      </c>
      <c r="X143" s="2">
        <f>Table4[[#This Row],[av_lin]]-2*Table4[[#This Row],[std_lin]]</f>
        <v>-0.99738037037037031</v>
      </c>
      <c r="Y143" s="2">
        <f>Table4[[#This Row],[av_lin]]+2*Table4[[#This Row],[std_lin]]</f>
        <v>2.9921411111111107</v>
      </c>
    </row>
    <row r="144" spans="1:25" x14ac:dyDescent="0.35">
      <c r="A144" s="1">
        <v>1757</v>
      </c>
      <c r="B144" t="s">
        <v>829</v>
      </c>
      <c r="C144" t="s">
        <v>549</v>
      </c>
      <c r="D144" t="s">
        <v>649</v>
      </c>
      <c r="E144" s="2">
        <v>1.501698765432099</v>
      </c>
      <c r="F144" s="2">
        <v>2.8201116648276579E-3</v>
      </c>
      <c r="G144">
        <v>27</v>
      </c>
      <c r="H144" t="s">
        <v>58</v>
      </c>
      <c r="I144" s="2">
        <v>1.35</v>
      </c>
      <c r="J144" s="2">
        <v>1.65</v>
      </c>
      <c r="K144" s="2">
        <v>1.5</v>
      </c>
      <c r="L144" s="2">
        <v>0.29999999999999982</v>
      </c>
      <c r="M144" s="2">
        <v>1.5073389887617541</v>
      </c>
      <c r="N144" s="2">
        <v>1.4960585421024439</v>
      </c>
      <c r="O144" s="2">
        <v>1.1280446659310611E-2</v>
      </c>
      <c r="P144" s="2">
        <v>532.49620721095471</v>
      </c>
      <c r="Q144" s="2">
        <v>26.594691598704301</v>
      </c>
      <c r="R144" t="str">
        <f t="shared" si="6"/>
        <v>yes</v>
      </c>
      <c r="S144" t="str">
        <f t="shared" si="7"/>
        <v>yes</v>
      </c>
      <c r="T14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4" s="2" t="b">
        <f t="shared" si="8"/>
        <v>1</v>
      </c>
      <c r="V144" s="2">
        <f>IF(Table4[[#This Row],[linear?]],Table4[[#This Row],[av]],10^(Table4[[#This Row],[av]]/10))</f>
        <v>1.501698765432099</v>
      </c>
      <c r="W144" s="2">
        <f>IF(Table4[[#This Row],[linear?]],Table4[[#This Row],[av]],10^(Table4[[#This Row],[av]]/10))</f>
        <v>1.501698765432099</v>
      </c>
      <c r="X144" s="2">
        <f>Table4[[#This Row],[av_lin]]-2*Table4[[#This Row],[std_lin]]</f>
        <v>-1.501698765432099</v>
      </c>
      <c r="Y144" s="2">
        <f>Table4[[#This Row],[av_lin]]+2*Table4[[#This Row],[std_lin]]</f>
        <v>4.5050962962962968</v>
      </c>
    </row>
    <row r="145" spans="1:25" x14ac:dyDescent="0.35">
      <c r="A145" s="1">
        <v>1759</v>
      </c>
      <c r="B145" t="s">
        <v>829</v>
      </c>
      <c r="C145" t="s">
        <v>549</v>
      </c>
      <c r="D145" t="s">
        <v>651</v>
      </c>
      <c r="E145" s="2">
        <v>35.929459135802468</v>
      </c>
      <c r="F145" s="2">
        <v>8.1653310808986232E-2</v>
      </c>
      <c r="G145">
        <v>27</v>
      </c>
      <c r="H145" t="s">
        <v>58</v>
      </c>
      <c r="I145" s="2">
        <v>34.5</v>
      </c>
      <c r="J145" s="2">
        <v>37</v>
      </c>
      <c r="K145" s="2">
        <v>35.75</v>
      </c>
      <c r="L145" s="2">
        <v>2.5</v>
      </c>
      <c r="M145" s="2">
        <v>36.092765757420437</v>
      </c>
      <c r="N145" s="2">
        <v>35.766152514184498</v>
      </c>
      <c r="O145" s="2">
        <v>0.32661324323593988</v>
      </c>
      <c r="P145" s="2">
        <v>440.02452294743091</v>
      </c>
      <c r="Q145" s="2">
        <v>7.6543130193714841</v>
      </c>
      <c r="R145" t="str">
        <f t="shared" si="6"/>
        <v>yes</v>
      </c>
      <c r="S145" t="str">
        <f t="shared" si="7"/>
        <v>yes</v>
      </c>
      <c r="T14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5" s="2" t="b">
        <f t="shared" si="8"/>
        <v>1</v>
      </c>
      <c r="V145" s="2">
        <f>IF(Table4[[#This Row],[linear?]],Table4[[#This Row],[av]],10^(Table4[[#This Row],[av]]/10))</f>
        <v>35.929459135802468</v>
      </c>
      <c r="W145" s="2">
        <f>IF(Table4[[#This Row],[linear?]],Table4[[#This Row],[av]],10^(Table4[[#This Row],[av]]/10))</f>
        <v>35.929459135802468</v>
      </c>
      <c r="X145" s="2">
        <f>Table4[[#This Row],[av_lin]]-2*Table4[[#This Row],[std_lin]]</f>
        <v>-35.929459135802468</v>
      </c>
      <c r="Y145" s="2">
        <f>Table4[[#This Row],[av_lin]]+2*Table4[[#This Row],[std_lin]]</f>
        <v>107.78837740740741</v>
      </c>
    </row>
    <row r="146" spans="1:25" x14ac:dyDescent="0.35">
      <c r="A146" s="1">
        <v>1761</v>
      </c>
      <c r="B146" t="s">
        <v>829</v>
      </c>
      <c r="C146" t="s">
        <v>549</v>
      </c>
      <c r="D146" t="s">
        <v>653</v>
      </c>
      <c r="E146" s="2">
        <v>0.99525888888888903</v>
      </c>
      <c r="F146" s="2">
        <v>2.3795019180319851E-3</v>
      </c>
      <c r="G146">
        <v>27</v>
      </c>
      <c r="H146" t="s">
        <v>58</v>
      </c>
      <c r="I146" s="2">
        <v>0.85</v>
      </c>
      <c r="J146" s="2">
        <v>1.2</v>
      </c>
      <c r="K146" s="2">
        <v>1.0249999999999999</v>
      </c>
      <c r="L146" s="2">
        <v>0.35</v>
      </c>
      <c r="M146" s="2">
        <v>1.000017892724953</v>
      </c>
      <c r="N146" s="2">
        <v>0.99049988505282505</v>
      </c>
      <c r="O146" s="2">
        <v>9.5180076721279594E-3</v>
      </c>
      <c r="P146" s="2">
        <v>418.26353714900051</v>
      </c>
      <c r="Q146" s="2">
        <v>36.77240154207081</v>
      </c>
      <c r="R146" t="str">
        <f t="shared" si="6"/>
        <v>yes</v>
      </c>
      <c r="S146" t="str">
        <f t="shared" si="7"/>
        <v>yes</v>
      </c>
      <c r="T14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6" s="2" t="b">
        <f t="shared" si="8"/>
        <v>1</v>
      </c>
      <c r="V146" s="2">
        <f>IF(Table4[[#This Row],[linear?]],Table4[[#This Row],[av]],10^(Table4[[#This Row],[av]]/10))</f>
        <v>0.99525888888888903</v>
      </c>
      <c r="W146" s="2">
        <f>IF(Table4[[#This Row],[linear?]],Table4[[#This Row],[av]],10^(Table4[[#This Row],[av]]/10))</f>
        <v>0.99525888888888903</v>
      </c>
      <c r="X146" s="2">
        <f>Table4[[#This Row],[av_lin]]-2*Table4[[#This Row],[std_lin]]</f>
        <v>-0.99525888888888903</v>
      </c>
      <c r="Y146" s="2">
        <f>Table4[[#This Row],[av_lin]]+2*Table4[[#This Row],[std_lin]]</f>
        <v>2.9857766666666672</v>
      </c>
    </row>
    <row r="147" spans="1:25" x14ac:dyDescent="0.35">
      <c r="A147" s="1">
        <v>1763</v>
      </c>
      <c r="B147" t="s">
        <v>829</v>
      </c>
      <c r="C147" t="s">
        <v>549</v>
      </c>
      <c r="D147" t="s">
        <v>655</v>
      </c>
      <c r="E147" s="2">
        <v>1.502216296296297</v>
      </c>
      <c r="F147" s="2">
        <v>3.9825507394544444E-3</v>
      </c>
      <c r="G147">
        <v>27</v>
      </c>
      <c r="H147" t="s">
        <v>58</v>
      </c>
      <c r="I147" s="2">
        <v>1.35</v>
      </c>
      <c r="J147" s="2">
        <v>1.65</v>
      </c>
      <c r="K147" s="2">
        <v>1.5</v>
      </c>
      <c r="L147" s="2">
        <v>0.29999999999999982</v>
      </c>
      <c r="M147" s="2">
        <v>1.5101813977752061</v>
      </c>
      <c r="N147" s="2">
        <v>1.494251194817388</v>
      </c>
      <c r="O147" s="2">
        <v>1.5930202957817659E-2</v>
      </c>
      <c r="P147" s="2">
        <v>377.19953732518678</v>
      </c>
      <c r="Q147" s="2">
        <v>18.832151780764121</v>
      </c>
      <c r="R147" t="str">
        <f t="shared" si="6"/>
        <v>yes</v>
      </c>
      <c r="S147" t="str">
        <f t="shared" si="7"/>
        <v>yes</v>
      </c>
      <c r="T14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7" s="2" t="b">
        <f t="shared" si="8"/>
        <v>1</v>
      </c>
      <c r="V147" s="2">
        <f>IF(Table4[[#This Row],[linear?]],Table4[[#This Row],[av]],10^(Table4[[#This Row],[av]]/10))</f>
        <v>1.502216296296297</v>
      </c>
      <c r="W147" s="2">
        <f>IF(Table4[[#This Row],[linear?]],Table4[[#This Row],[av]],10^(Table4[[#This Row],[av]]/10))</f>
        <v>1.502216296296297</v>
      </c>
      <c r="X147" s="2">
        <f>Table4[[#This Row],[av_lin]]-2*Table4[[#This Row],[std_lin]]</f>
        <v>-1.502216296296297</v>
      </c>
      <c r="Y147" s="2">
        <f>Table4[[#This Row],[av_lin]]+2*Table4[[#This Row],[std_lin]]</f>
        <v>4.5066488888888916</v>
      </c>
    </row>
    <row r="148" spans="1:25" x14ac:dyDescent="0.35">
      <c r="A148" s="1">
        <v>1765</v>
      </c>
      <c r="B148" t="s">
        <v>829</v>
      </c>
      <c r="C148" t="s">
        <v>549</v>
      </c>
      <c r="D148" t="s">
        <v>657</v>
      </c>
      <c r="E148" s="2">
        <v>35.87713049382716</v>
      </c>
      <c r="F148" s="2">
        <v>0.1293140540739991</v>
      </c>
      <c r="G148">
        <v>27</v>
      </c>
      <c r="H148" t="s">
        <v>58</v>
      </c>
      <c r="I148" s="2">
        <v>34.5</v>
      </c>
      <c r="J148" s="2">
        <v>37</v>
      </c>
      <c r="K148" s="2">
        <v>35.75</v>
      </c>
      <c r="L148" s="2">
        <v>2.5</v>
      </c>
      <c r="M148" s="2">
        <v>36.135758601975162</v>
      </c>
      <c r="N148" s="2">
        <v>35.618502385679157</v>
      </c>
      <c r="O148" s="2">
        <v>0.51725621629599061</v>
      </c>
      <c r="P148" s="2">
        <v>277.44185077746238</v>
      </c>
      <c r="Q148" s="2">
        <v>4.8331946939220929</v>
      </c>
      <c r="R148" t="str">
        <f t="shared" si="6"/>
        <v>yes</v>
      </c>
      <c r="S148" t="str">
        <f t="shared" si="7"/>
        <v>yes</v>
      </c>
      <c r="T14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8" s="2" t="b">
        <f t="shared" si="8"/>
        <v>1</v>
      </c>
      <c r="V148" s="2">
        <f>IF(Table4[[#This Row],[linear?]],Table4[[#This Row],[av]],10^(Table4[[#This Row],[av]]/10))</f>
        <v>35.87713049382716</v>
      </c>
      <c r="W148" s="2">
        <f>IF(Table4[[#This Row],[linear?]],Table4[[#This Row],[av]],10^(Table4[[#This Row],[av]]/10))</f>
        <v>35.87713049382716</v>
      </c>
      <c r="X148" s="2">
        <f>Table4[[#This Row],[av_lin]]-2*Table4[[#This Row],[std_lin]]</f>
        <v>-35.87713049382716</v>
      </c>
      <c r="Y148" s="2">
        <f>Table4[[#This Row],[av_lin]]+2*Table4[[#This Row],[std_lin]]</f>
        <v>107.63139148148147</v>
      </c>
    </row>
    <row r="149" spans="1:25" x14ac:dyDescent="0.35">
      <c r="A149" s="1">
        <v>1766</v>
      </c>
      <c r="B149" t="s">
        <v>829</v>
      </c>
      <c r="C149" t="s">
        <v>549</v>
      </c>
      <c r="D149" t="s">
        <v>658</v>
      </c>
      <c r="E149" s="2">
        <v>1.803112222222222</v>
      </c>
      <c r="F149" s="2">
        <v>3.6064915586428992E-3</v>
      </c>
      <c r="G149">
        <v>27</v>
      </c>
      <c r="H149" t="s">
        <v>58</v>
      </c>
      <c r="I149" s="2">
        <v>1.62</v>
      </c>
      <c r="J149" s="2">
        <v>1.98</v>
      </c>
      <c r="K149" s="2">
        <v>1.8</v>
      </c>
      <c r="L149" s="2">
        <v>0.35999999999999988</v>
      </c>
      <c r="M149" s="2">
        <v>1.810325205339508</v>
      </c>
      <c r="N149" s="2">
        <v>1.795899239104936</v>
      </c>
      <c r="O149" s="2">
        <v>1.44259662345716E-2</v>
      </c>
      <c r="P149" s="2">
        <v>499.96296758302191</v>
      </c>
      <c r="Q149" s="2">
        <v>24.95500087455256</v>
      </c>
      <c r="R149" t="str">
        <f t="shared" si="6"/>
        <v>yes</v>
      </c>
      <c r="S149" t="str">
        <f t="shared" si="7"/>
        <v>yes</v>
      </c>
      <c r="T14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9" s="2" t="b">
        <f t="shared" si="8"/>
        <v>1</v>
      </c>
      <c r="V149" s="2">
        <f>IF(Table4[[#This Row],[linear?]],Table4[[#This Row],[av]],10^(Table4[[#This Row],[av]]/10))</f>
        <v>1.803112222222222</v>
      </c>
      <c r="W149" s="2">
        <f>IF(Table4[[#This Row],[linear?]],Table4[[#This Row],[av]],10^(Table4[[#This Row],[av]]/10))</f>
        <v>1.803112222222222</v>
      </c>
      <c r="X149" s="2">
        <f>Table4[[#This Row],[av_lin]]-2*Table4[[#This Row],[std_lin]]</f>
        <v>-1.803112222222222</v>
      </c>
      <c r="Y149" s="2">
        <f>Table4[[#This Row],[av_lin]]+2*Table4[[#This Row],[std_lin]]</f>
        <v>5.4093366666666665</v>
      </c>
    </row>
    <row r="150" spans="1:25" x14ac:dyDescent="0.35">
      <c r="A150" s="1">
        <v>1771</v>
      </c>
      <c r="B150" t="s">
        <v>829</v>
      </c>
      <c r="C150" t="s">
        <v>549</v>
      </c>
      <c r="D150" t="s">
        <v>663</v>
      </c>
      <c r="E150" s="2">
        <v>3.982198395061729</v>
      </c>
      <c r="F150" s="2">
        <v>1.0474769364809421E-2</v>
      </c>
      <c r="G150">
        <v>27</v>
      </c>
      <c r="H150" t="s">
        <v>58</v>
      </c>
      <c r="I150" s="2">
        <v>3.6</v>
      </c>
      <c r="J150" s="2">
        <v>4.4000000000000004</v>
      </c>
      <c r="K150" s="2">
        <v>4</v>
      </c>
      <c r="L150" s="2">
        <v>0.80000000000000027</v>
      </c>
      <c r="M150" s="2">
        <v>4.0031479337913476</v>
      </c>
      <c r="N150" s="2">
        <v>3.96124885633211</v>
      </c>
      <c r="O150" s="2">
        <v>4.1899077459237599E-2</v>
      </c>
      <c r="P150" s="2">
        <v>380.17050842571763</v>
      </c>
      <c r="Q150" s="2">
        <v>19.093499153490839</v>
      </c>
      <c r="R150" t="str">
        <f t="shared" si="6"/>
        <v>yes</v>
      </c>
      <c r="S150" t="str">
        <f t="shared" si="7"/>
        <v>yes</v>
      </c>
      <c r="T15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0" s="2" t="b">
        <f t="shared" si="8"/>
        <v>1</v>
      </c>
      <c r="V150" s="2">
        <f>IF(Table4[[#This Row],[linear?]],Table4[[#This Row],[av]],10^(Table4[[#This Row],[av]]/10))</f>
        <v>3.982198395061729</v>
      </c>
      <c r="W150" s="2">
        <f>IF(Table4[[#This Row],[linear?]],Table4[[#This Row],[av]],10^(Table4[[#This Row],[av]]/10))</f>
        <v>3.982198395061729</v>
      </c>
      <c r="X150" s="2">
        <f>Table4[[#This Row],[av_lin]]-2*Table4[[#This Row],[std_lin]]</f>
        <v>-3.982198395061729</v>
      </c>
      <c r="Y150" s="2">
        <f>Table4[[#This Row],[av_lin]]+2*Table4[[#This Row],[std_lin]]</f>
        <v>11.946595185185187</v>
      </c>
    </row>
    <row r="151" spans="1:25" x14ac:dyDescent="0.35">
      <c r="A151" s="1">
        <v>1775</v>
      </c>
      <c r="B151" t="s">
        <v>829</v>
      </c>
      <c r="C151" t="s">
        <v>549</v>
      </c>
      <c r="D151" t="s">
        <v>667</v>
      </c>
      <c r="E151" s="2">
        <v>1.7998422222222219</v>
      </c>
      <c r="F151" s="2">
        <v>5.9654366848561251E-3</v>
      </c>
      <c r="G151">
        <v>27</v>
      </c>
      <c r="H151" t="s">
        <v>58</v>
      </c>
      <c r="I151" s="2">
        <v>1.62</v>
      </c>
      <c r="J151" s="2">
        <v>1.98</v>
      </c>
      <c r="K151" s="2">
        <v>1.8</v>
      </c>
      <c r="L151" s="2">
        <v>0.35999999999999988</v>
      </c>
      <c r="M151" s="2">
        <v>1.811773095591934</v>
      </c>
      <c r="N151" s="2">
        <v>1.78791134885251</v>
      </c>
      <c r="O151" s="2">
        <v>2.386174673942465E-2</v>
      </c>
      <c r="P151" s="2">
        <v>301.71172997130401</v>
      </c>
      <c r="Q151" s="2">
        <v>15.086908931323279</v>
      </c>
      <c r="R151" t="str">
        <f t="shared" si="6"/>
        <v>yes</v>
      </c>
      <c r="S151" t="str">
        <f t="shared" si="7"/>
        <v>yes</v>
      </c>
      <c r="T15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1" s="2" t="b">
        <f t="shared" si="8"/>
        <v>1</v>
      </c>
      <c r="V151" s="2">
        <f>IF(Table4[[#This Row],[linear?]],Table4[[#This Row],[av]],10^(Table4[[#This Row],[av]]/10))</f>
        <v>1.7998422222222219</v>
      </c>
      <c r="W151" s="2">
        <f>IF(Table4[[#This Row],[linear?]],Table4[[#This Row],[av]],10^(Table4[[#This Row],[av]]/10))</f>
        <v>1.7998422222222219</v>
      </c>
      <c r="X151" s="2">
        <f>Table4[[#This Row],[av_lin]]-2*Table4[[#This Row],[std_lin]]</f>
        <v>-1.7998422222222219</v>
      </c>
      <c r="Y151" s="2">
        <f>Table4[[#This Row],[av_lin]]+2*Table4[[#This Row],[std_lin]]</f>
        <v>5.3995266666666657</v>
      </c>
    </row>
    <row r="152" spans="1:25" x14ac:dyDescent="0.35">
      <c r="A152" s="1">
        <v>1780</v>
      </c>
      <c r="B152" t="s">
        <v>829</v>
      </c>
      <c r="C152" t="s">
        <v>549</v>
      </c>
      <c r="D152" t="s">
        <v>672</v>
      </c>
      <c r="E152" s="2">
        <v>3.971753333333333</v>
      </c>
      <c r="F152" s="2">
        <v>1.5927551184885289E-2</v>
      </c>
      <c r="G152">
        <v>27</v>
      </c>
      <c r="H152" t="s">
        <v>58</v>
      </c>
      <c r="I152" s="2">
        <v>3.6</v>
      </c>
      <c r="J152" s="2">
        <v>4.4000000000000004</v>
      </c>
      <c r="K152" s="2">
        <v>4</v>
      </c>
      <c r="L152" s="2">
        <v>0.80000000000000027</v>
      </c>
      <c r="M152" s="2">
        <v>4.0036084357031037</v>
      </c>
      <c r="N152" s="2">
        <v>3.939898230963562</v>
      </c>
      <c r="O152" s="2">
        <v>6.3710204739541254E-2</v>
      </c>
      <c r="P152" s="2">
        <v>249.3637149383261</v>
      </c>
      <c r="Q152" s="2">
        <v>12.55685809315076</v>
      </c>
      <c r="R152" t="str">
        <f t="shared" si="6"/>
        <v>yes</v>
      </c>
      <c r="S152" t="str">
        <f t="shared" si="7"/>
        <v>yes</v>
      </c>
      <c r="T15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2" s="2" t="b">
        <f t="shared" si="8"/>
        <v>1</v>
      </c>
      <c r="V152" s="2">
        <f>IF(Table4[[#This Row],[linear?]],Table4[[#This Row],[av]],10^(Table4[[#This Row],[av]]/10))</f>
        <v>3.971753333333333</v>
      </c>
      <c r="W152" s="2">
        <f>IF(Table4[[#This Row],[linear?]],Table4[[#This Row],[av]],10^(Table4[[#This Row],[av]]/10))</f>
        <v>3.971753333333333</v>
      </c>
      <c r="X152" s="2">
        <f>Table4[[#This Row],[av_lin]]-2*Table4[[#This Row],[std_lin]]</f>
        <v>-3.971753333333333</v>
      </c>
      <c r="Y152" s="2">
        <f>Table4[[#This Row],[av_lin]]+2*Table4[[#This Row],[std_lin]]</f>
        <v>11.91526</v>
      </c>
    </row>
    <row r="153" spans="1:25" x14ac:dyDescent="0.35">
      <c r="A153" s="1">
        <v>1784</v>
      </c>
      <c r="B153" t="s">
        <v>829</v>
      </c>
      <c r="C153" t="s">
        <v>549</v>
      </c>
      <c r="D153" t="s">
        <v>676</v>
      </c>
      <c r="E153" s="2">
        <v>1.803731111111111</v>
      </c>
      <c r="F153" s="2">
        <v>6.6603210734496442E-3</v>
      </c>
      <c r="G153">
        <v>27</v>
      </c>
      <c r="H153" t="s">
        <v>58</v>
      </c>
      <c r="I153" s="2">
        <v>1.62</v>
      </c>
      <c r="J153" s="2">
        <v>1.98</v>
      </c>
      <c r="K153" s="2">
        <v>1.8</v>
      </c>
      <c r="L153" s="2">
        <v>0.35999999999999988</v>
      </c>
      <c r="M153" s="2">
        <v>1.8170517532580099</v>
      </c>
      <c r="N153" s="2">
        <v>1.790410468964212</v>
      </c>
      <c r="O153" s="2">
        <v>2.6641284293798421E-2</v>
      </c>
      <c r="P153" s="2">
        <v>270.81744126441748</v>
      </c>
      <c r="Q153" s="2">
        <v>13.512862068883109</v>
      </c>
      <c r="R153" t="str">
        <f t="shared" si="6"/>
        <v>yes</v>
      </c>
      <c r="S153" t="str">
        <f t="shared" si="7"/>
        <v>yes</v>
      </c>
      <c r="T15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3" s="2" t="b">
        <f t="shared" si="8"/>
        <v>1</v>
      </c>
      <c r="V153" s="2">
        <f>IF(Table4[[#This Row],[linear?]],Table4[[#This Row],[av]],10^(Table4[[#This Row],[av]]/10))</f>
        <v>1.803731111111111</v>
      </c>
      <c r="W153" s="2">
        <f>IF(Table4[[#This Row],[linear?]],Table4[[#This Row],[av]],10^(Table4[[#This Row],[av]]/10))</f>
        <v>1.803731111111111</v>
      </c>
      <c r="X153" s="2">
        <f>Table4[[#This Row],[av_lin]]-2*Table4[[#This Row],[std_lin]]</f>
        <v>-1.803731111111111</v>
      </c>
      <c r="Y153" s="2">
        <f>Table4[[#This Row],[av_lin]]+2*Table4[[#This Row],[std_lin]]</f>
        <v>5.4111933333333333</v>
      </c>
    </row>
    <row r="154" spans="1:25" x14ac:dyDescent="0.35">
      <c r="A154" s="1">
        <v>1789</v>
      </c>
      <c r="B154" t="s">
        <v>829</v>
      </c>
      <c r="C154" t="s">
        <v>549</v>
      </c>
      <c r="D154" t="s">
        <v>681</v>
      </c>
      <c r="E154" s="2">
        <v>3.9830762962962969</v>
      </c>
      <c r="F154" s="2">
        <v>1.5975083384188529E-2</v>
      </c>
      <c r="G154">
        <v>27</v>
      </c>
      <c r="H154" t="s">
        <v>58</v>
      </c>
      <c r="I154" s="2">
        <v>3.6</v>
      </c>
      <c r="J154" s="2">
        <v>4.4000000000000004</v>
      </c>
      <c r="K154" s="2">
        <v>4</v>
      </c>
      <c r="L154" s="2">
        <v>0.80000000000000027</v>
      </c>
      <c r="M154" s="2">
        <v>4.0150264630646744</v>
      </c>
      <c r="N154" s="2">
        <v>3.9511261295279199</v>
      </c>
      <c r="O154" s="2">
        <v>6.3900333536754506E-2</v>
      </c>
      <c r="P154" s="2">
        <v>249.33054811085239</v>
      </c>
      <c r="Q154" s="2">
        <v>12.519496467727389</v>
      </c>
      <c r="R154" t="str">
        <f t="shared" si="6"/>
        <v>yes</v>
      </c>
      <c r="S154" t="str">
        <f t="shared" si="7"/>
        <v>yes</v>
      </c>
      <c r="T15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4" s="2" t="b">
        <f t="shared" si="8"/>
        <v>1</v>
      </c>
      <c r="V154" s="2">
        <f>IF(Table4[[#This Row],[linear?]],Table4[[#This Row],[av]],10^(Table4[[#This Row],[av]]/10))</f>
        <v>3.9830762962962969</v>
      </c>
      <c r="W154" s="2">
        <f>IF(Table4[[#This Row],[linear?]],Table4[[#This Row],[av]],10^(Table4[[#This Row],[av]]/10))</f>
        <v>3.9830762962962969</v>
      </c>
      <c r="X154" s="2">
        <f>Table4[[#This Row],[av_lin]]-2*Table4[[#This Row],[std_lin]]</f>
        <v>-3.9830762962962969</v>
      </c>
      <c r="Y154" s="2">
        <f>Table4[[#This Row],[av_lin]]+2*Table4[[#This Row],[std_lin]]</f>
        <v>11.949228888888891</v>
      </c>
    </row>
    <row r="155" spans="1:25" x14ac:dyDescent="0.35">
      <c r="A155" s="1">
        <v>1794</v>
      </c>
      <c r="B155" t="s">
        <v>829</v>
      </c>
      <c r="C155" t="s">
        <v>549</v>
      </c>
      <c r="D155" t="s">
        <v>686</v>
      </c>
      <c r="E155" s="2">
        <v>0.9949306172839506</v>
      </c>
      <c r="F155" s="2">
        <v>2.0900270524224292E-3</v>
      </c>
      <c r="G155">
        <v>27</v>
      </c>
      <c r="H155" t="s">
        <v>58</v>
      </c>
      <c r="I155" s="2">
        <v>0.85</v>
      </c>
      <c r="J155" s="2">
        <v>1.2</v>
      </c>
      <c r="K155" s="2">
        <v>1.0249999999999999</v>
      </c>
      <c r="L155" s="2">
        <v>0.35</v>
      </c>
      <c r="M155" s="2">
        <v>0.9991106713887955</v>
      </c>
      <c r="N155" s="2">
        <v>0.9907505631791057</v>
      </c>
      <c r="O155" s="2">
        <v>8.3601082096897983E-3</v>
      </c>
      <c r="P155" s="2">
        <v>476.03719584910829</v>
      </c>
      <c r="Q155" s="2">
        <v>41.865486812040523</v>
      </c>
      <c r="R155" t="str">
        <f t="shared" si="6"/>
        <v>yes</v>
      </c>
      <c r="S155" t="str">
        <f t="shared" si="7"/>
        <v>yes</v>
      </c>
      <c r="T15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5" s="2" t="b">
        <f t="shared" si="8"/>
        <v>1</v>
      </c>
      <c r="V155" s="2">
        <f>IF(Table4[[#This Row],[linear?]],Table4[[#This Row],[av]],10^(Table4[[#This Row],[av]]/10))</f>
        <v>0.9949306172839506</v>
      </c>
      <c r="W155" s="2">
        <f>IF(Table4[[#This Row],[linear?]],Table4[[#This Row],[av]],10^(Table4[[#This Row],[av]]/10))</f>
        <v>0.9949306172839506</v>
      </c>
      <c r="X155" s="2">
        <f>Table4[[#This Row],[av_lin]]-2*Table4[[#This Row],[std_lin]]</f>
        <v>-0.9949306172839506</v>
      </c>
      <c r="Y155" s="2">
        <f>Table4[[#This Row],[av_lin]]+2*Table4[[#This Row],[std_lin]]</f>
        <v>2.9847918518518517</v>
      </c>
    </row>
    <row r="156" spans="1:25" x14ac:dyDescent="0.35">
      <c r="A156" s="1">
        <v>1796</v>
      </c>
      <c r="B156" t="s">
        <v>829</v>
      </c>
      <c r="C156" t="s">
        <v>549</v>
      </c>
      <c r="D156" t="s">
        <v>688</v>
      </c>
      <c r="E156" s="2">
        <v>1.4987365432098769</v>
      </c>
      <c r="F156" s="2">
        <v>4.0142116166770351E-3</v>
      </c>
      <c r="G156">
        <v>27</v>
      </c>
      <c r="H156" t="s">
        <v>58</v>
      </c>
      <c r="I156" s="2">
        <v>1.35</v>
      </c>
      <c r="J156" s="2">
        <v>1.65</v>
      </c>
      <c r="K156" s="2">
        <v>1.5</v>
      </c>
      <c r="L156" s="2">
        <v>0.29999999999999982</v>
      </c>
      <c r="M156" s="2">
        <v>1.506764966443231</v>
      </c>
      <c r="N156" s="2">
        <v>1.4907081199765231</v>
      </c>
      <c r="O156" s="2">
        <v>1.605684646670813E-2</v>
      </c>
      <c r="P156" s="2">
        <v>373.35763191541241</v>
      </c>
      <c r="Q156" s="2">
        <v>18.683618892539851</v>
      </c>
      <c r="R156" t="str">
        <f t="shared" si="6"/>
        <v>yes</v>
      </c>
      <c r="S156" t="str">
        <f t="shared" si="7"/>
        <v>yes</v>
      </c>
      <c r="T15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6" s="2" t="b">
        <f t="shared" si="8"/>
        <v>1</v>
      </c>
      <c r="V156" s="2">
        <f>IF(Table4[[#This Row],[linear?]],Table4[[#This Row],[av]],10^(Table4[[#This Row],[av]]/10))</f>
        <v>1.4987365432098769</v>
      </c>
      <c r="W156" s="2">
        <f>IF(Table4[[#This Row],[linear?]],Table4[[#This Row],[av]],10^(Table4[[#This Row],[av]]/10))</f>
        <v>1.4987365432098769</v>
      </c>
      <c r="X156" s="2">
        <f>Table4[[#This Row],[av_lin]]-2*Table4[[#This Row],[std_lin]]</f>
        <v>-1.4987365432098769</v>
      </c>
      <c r="Y156" s="2">
        <f>Table4[[#This Row],[av_lin]]+2*Table4[[#This Row],[std_lin]]</f>
        <v>4.4962096296296306</v>
      </c>
    </row>
    <row r="157" spans="1:25" x14ac:dyDescent="0.35">
      <c r="A157" s="1">
        <v>1798</v>
      </c>
      <c r="B157" t="s">
        <v>829</v>
      </c>
      <c r="C157" t="s">
        <v>549</v>
      </c>
      <c r="D157" t="s">
        <v>690</v>
      </c>
      <c r="E157" s="2">
        <v>35.77528518518519</v>
      </c>
      <c r="F157" s="2">
        <v>0.19757791335827779</v>
      </c>
      <c r="G157">
        <v>27</v>
      </c>
      <c r="H157" t="s">
        <v>58</v>
      </c>
      <c r="I157" s="2">
        <v>34.5</v>
      </c>
      <c r="J157" s="2">
        <v>37</v>
      </c>
      <c r="K157" s="2">
        <v>35.75</v>
      </c>
      <c r="L157" s="2">
        <v>2.5</v>
      </c>
      <c r="M157" s="2">
        <v>36.170441011901737</v>
      </c>
      <c r="N157" s="2">
        <v>35.380129358468643</v>
      </c>
      <c r="O157" s="2">
        <v>0.79031165343310761</v>
      </c>
      <c r="P157" s="2">
        <v>181.06925302076701</v>
      </c>
      <c r="Q157" s="2">
        <v>3.1633090428820321</v>
      </c>
      <c r="R157" t="str">
        <f t="shared" si="6"/>
        <v>yes</v>
      </c>
      <c r="S157" t="str">
        <f t="shared" si="7"/>
        <v>yes</v>
      </c>
      <c r="T15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7" s="2" t="b">
        <f t="shared" si="8"/>
        <v>1</v>
      </c>
      <c r="V157" s="2">
        <f>IF(Table4[[#This Row],[linear?]],Table4[[#This Row],[av]],10^(Table4[[#This Row],[av]]/10))</f>
        <v>35.77528518518519</v>
      </c>
      <c r="W157" s="2">
        <f>IF(Table4[[#This Row],[linear?]],Table4[[#This Row],[av]],10^(Table4[[#This Row],[av]]/10))</f>
        <v>35.77528518518519</v>
      </c>
      <c r="X157" s="2">
        <f>Table4[[#This Row],[av_lin]]-2*Table4[[#This Row],[std_lin]]</f>
        <v>-35.77528518518519</v>
      </c>
      <c r="Y157" s="2">
        <f>Table4[[#This Row],[av_lin]]+2*Table4[[#This Row],[std_lin]]</f>
        <v>107.32585555555556</v>
      </c>
    </row>
    <row r="158" spans="1:25" x14ac:dyDescent="0.35">
      <c r="A158" s="1">
        <v>1800</v>
      </c>
      <c r="B158" t="s">
        <v>829</v>
      </c>
      <c r="C158" t="s">
        <v>549</v>
      </c>
      <c r="D158" t="s">
        <v>692</v>
      </c>
      <c r="E158" s="2">
        <v>0.99775444444444439</v>
      </c>
      <c r="F158" s="2">
        <v>2.7887551910855909E-3</v>
      </c>
      <c r="G158">
        <v>27</v>
      </c>
      <c r="H158" t="s">
        <v>58</v>
      </c>
      <c r="I158" s="2">
        <v>0.85</v>
      </c>
      <c r="J158" s="2">
        <v>1.2</v>
      </c>
      <c r="K158" s="2">
        <v>1.0249999999999999</v>
      </c>
      <c r="L158" s="2">
        <v>0.35</v>
      </c>
      <c r="M158" s="2">
        <v>1.003331954826616</v>
      </c>
      <c r="N158" s="2">
        <v>0.99217693406227325</v>
      </c>
      <c r="O158" s="2">
        <v>1.115502076434227E-2</v>
      </c>
      <c r="P158" s="2">
        <v>357.77770943603127</v>
      </c>
      <c r="Q158" s="2">
        <v>31.376006140553059</v>
      </c>
      <c r="R158" t="str">
        <f t="shared" si="6"/>
        <v>yes</v>
      </c>
      <c r="S158" t="str">
        <f t="shared" si="7"/>
        <v>yes</v>
      </c>
      <c r="T15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8" s="2" t="b">
        <f t="shared" si="8"/>
        <v>1</v>
      </c>
      <c r="V158" s="2">
        <f>IF(Table4[[#This Row],[linear?]],Table4[[#This Row],[av]],10^(Table4[[#This Row],[av]]/10))</f>
        <v>0.99775444444444439</v>
      </c>
      <c r="W158" s="2">
        <f>IF(Table4[[#This Row],[linear?]],Table4[[#This Row],[av]],10^(Table4[[#This Row],[av]]/10))</f>
        <v>0.99775444444444439</v>
      </c>
      <c r="X158" s="2">
        <f>Table4[[#This Row],[av_lin]]-2*Table4[[#This Row],[std_lin]]</f>
        <v>-0.99775444444444439</v>
      </c>
      <c r="Y158" s="2">
        <f>Table4[[#This Row],[av_lin]]+2*Table4[[#This Row],[std_lin]]</f>
        <v>2.9932633333333332</v>
      </c>
    </row>
    <row r="159" spans="1:25" x14ac:dyDescent="0.35">
      <c r="A159" s="1">
        <v>1802</v>
      </c>
      <c r="B159" t="s">
        <v>829</v>
      </c>
      <c r="C159" t="s">
        <v>549</v>
      </c>
      <c r="D159" t="s">
        <v>694</v>
      </c>
      <c r="E159" s="2">
        <v>1.5024840740740739</v>
      </c>
      <c r="F159" s="2">
        <v>2.7057054846589242E-3</v>
      </c>
      <c r="G159">
        <v>27</v>
      </c>
      <c r="H159" t="s">
        <v>58</v>
      </c>
      <c r="I159" s="2">
        <v>1.35</v>
      </c>
      <c r="J159" s="2">
        <v>1.65</v>
      </c>
      <c r="K159" s="2">
        <v>1.5</v>
      </c>
      <c r="L159" s="2">
        <v>0.29999999999999982</v>
      </c>
      <c r="M159" s="2">
        <v>1.5078954850433921</v>
      </c>
      <c r="N159" s="2">
        <v>1.497072663104756</v>
      </c>
      <c r="O159" s="2">
        <v>1.082282193863549E-2</v>
      </c>
      <c r="P159" s="2">
        <v>555.30215043470412</v>
      </c>
      <c r="Q159" s="2">
        <v>27.71920315246571</v>
      </c>
      <c r="R159" t="str">
        <f t="shared" si="6"/>
        <v>yes</v>
      </c>
      <c r="S159" t="str">
        <f t="shared" si="7"/>
        <v>yes</v>
      </c>
      <c r="T15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9" s="2" t="b">
        <f t="shared" si="8"/>
        <v>1</v>
      </c>
      <c r="V159" s="2">
        <f>IF(Table4[[#This Row],[linear?]],Table4[[#This Row],[av]],10^(Table4[[#This Row],[av]]/10))</f>
        <v>1.5024840740740739</v>
      </c>
      <c r="W159" s="2">
        <f>IF(Table4[[#This Row],[linear?]],Table4[[#This Row],[av]],10^(Table4[[#This Row],[av]]/10))</f>
        <v>1.5024840740740739</v>
      </c>
      <c r="X159" s="2">
        <f>Table4[[#This Row],[av_lin]]-2*Table4[[#This Row],[std_lin]]</f>
        <v>-1.5024840740740739</v>
      </c>
      <c r="Y159" s="2">
        <f>Table4[[#This Row],[av_lin]]+2*Table4[[#This Row],[std_lin]]</f>
        <v>4.5074522222222217</v>
      </c>
    </row>
    <row r="160" spans="1:25" x14ac:dyDescent="0.35">
      <c r="A160" s="1">
        <v>1804</v>
      </c>
      <c r="B160" t="s">
        <v>829</v>
      </c>
      <c r="C160" t="s">
        <v>549</v>
      </c>
      <c r="D160" t="s">
        <v>696</v>
      </c>
      <c r="E160" s="2">
        <v>35.940137530864199</v>
      </c>
      <c r="F160" s="2">
        <v>7.695296543022738E-2</v>
      </c>
      <c r="G160">
        <v>27</v>
      </c>
      <c r="H160" t="s">
        <v>58</v>
      </c>
      <c r="I160" s="2">
        <v>34.5</v>
      </c>
      <c r="J160" s="2">
        <v>37</v>
      </c>
      <c r="K160" s="2">
        <v>35.75</v>
      </c>
      <c r="L160" s="2">
        <v>2.5</v>
      </c>
      <c r="M160" s="2">
        <v>36.094043461724652</v>
      </c>
      <c r="N160" s="2">
        <v>35.786231600003752</v>
      </c>
      <c r="O160" s="2">
        <v>0.30781186172090708</v>
      </c>
      <c r="P160" s="2">
        <v>467.04031910831071</v>
      </c>
      <c r="Q160" s="2">
        <v>8.1218442525998196</v>
      </c>
      <c r="R160" t="str">
        <f t="shared" si="6"/>
        <v>yes</v>
      </c>
      <c r="S160" t="str">
        <f t="shared" si="7"/>
        <v>yes</v>
      </c>
      <c r="T16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0" s="2" t="b">
        <f t="shared" si="8"/>
        <v>1</v>
      </c>
      <c r="V160" s="2">
        <f>IF(Table4[[#This Row],[linear?]],Table4[[#This Row],[av]],10^(Table4[[#This Row],[av]]/10))</f>
        <v>35.940137530864199</v>
      </c>
      <c r="W160" s="2">
        <f>IF(Table4[[#This Row],[linear?]],Table4[[#This Row],[av]],10^(Table4[[#This Row],[av]]/10))</f>
        <v>35.940137530864199</v>
      </c>
      <c r="X160" s="2">
        <f>Table4[[#This Row],[av_lin]]-2*Table4[[#This Row],[std_lin]]</f>
        <v>-35.940137530864199</v>
      </c>
      <c r="Y160" s="2">
        <f>Table4[[#This Row],[av_lin]]+2*Table4[[#This Row],[std_lin]]</f>
        <v>107.82041259259259</v>
      </c>
    </row>
    <row r="161" spans="1:25" x14ac:dyDescent="0.35">
      <c r="A161" s="1">
        <v>1806</v>
      </c>
      <c r="B161" t="s">
        <v>829</v>
      </c>
      <c r="C161" t="s">
        <v>549</v>
      </c>
      <c r="D161" t="s">
        <v>698</v>
      </c>
      <c r="E161" s="2">
        <v>0.99366950617283956</v>
      </c>
      <c r="F161" s="2">
        <v>5.4874983886365452E-3</v>
      </c>
      <c r="G161">
        <v>27</v>
      </c>
      <c r="H161" t="s">
        <v>58</v>
      </c>
      <c r="I161" s="2">
        <v>0.85</v>
      </c>
      <c r="J161" s="2">
        <v>1.2</v>
      </c>
      <c r="K161" s="2">
        <v>1.0249999999999999</v>
      </c>
      <c r="L161" s="2">
        <v>0.35</v>
      </c>
      <c r="M161" s="2">
        <v>1.004644502950113</v>
      </c>
      <c r="N161" s="2">
        <v>0.98269450939556646</v>
      </c>
      <c r="O161" s="2">
        <v>2.194999355454608E-2</v>
      </c>
      <c r="P161" s="2">
        <v>181.07877867090039</v>
      </c>
      <c r="Q161" s="2">
        <v>15.94533497835635</v>
      </c>
      <c r="R161" t="str">
        <f t="shared" si="6"/>
        <v>yes</v>
      </c>
      <c r="S161" t="str">
        <f t="shared" si="7"/>
        <v>yes</v>
      </c>
      <c r="T16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1" s="2" t="b">
        <f t="shared" si="8"/>
        <v>1</v>
      </c>
      <c r="V161" s="2">
        <f>IF(Table4[[#This Row],[linear?]],Table4[[#This Row],[av]],10^(Table4[[#This Row],[av]]/10))</f>
        <v>0.99366950617283956</v>
      </c>
      <c r="W161" s="2">
        <f>IF(Table4[[#This Row],[linear?]],Table4[[#This Row],[av]],10^(Table4[[#This Row],[av]]/10))</f>
        <v>0.99366950617283956</v>
      </c>
      <c r="X161" s="2">
        <f>Table4[[#This Row],[av_lin]]-2*Table4[[#This Row],[std_lin]]</f>
        <v>-0.99366950617283956</v>
      </c>
      <c r="Y161" s="2">
        <f>Table4[[#This Row],[av_lin]]+2*Table4[[#This Row],[std_lin]]</f>
        <v>2.9810085185185189</v>
      </c>
    </row>
    <row r="162" spans="1:25" x14ac:dyDescent="0.35">
      <c r="A162" s="1">
        <v>1808</v>
      </c>
      <c r="B162" t="s">
        <v>829</v>
      </c>
      <c r="C162" t="s">
        <v>549</v>
      </c>
      <c r="D162" t="s">
        <v>700</v>
      </c>
      <c r="E162" s="2">
        <v>1.499257160493827</v>
      </c>
      <c r="F162" s="2">
        <v>4.5969273603758756E-3</v>
      </c>
      <c r="G162">
        <v>27</v>
      </c>
      <c r="H162" t="s">
        <v>58</v>
      </c>
      <c r="I162" s="2">
        <v>1.35</v>
      </c>
      <c r="J162" s="2">
        <v>1.65</v>
      </c>
      <c r="K162" s="2">
        <v>1.5</v>
      </c>
      <c r="L162" s="2">
        <v>0.29999999999999982</v>
      </c>
      <c r="M162" s="2">
        <v>1.5084510152145789</v>
      </c>
      <c r="N162" s="2">
        <v>1.490063305773075</v>
      </c>
      <c r="O162" s="2">
        <v>1.8387709441503471E-2</v>
      </c>
      <c r="P162" s="2">
        <v>326.14332204092898</v>
      </c>
      <c r="Q162" s="2">
        <v>16.315245841489119</v>
      </c>
      <c r="R162" t="str">
        <f t="shared" si="6"/>
        <v>yes</v>
      </c>
      <c r="S162" t="str">
        <f t="shared" si="7"/>
        <v>yes</v>
      </c>
      <c r="T16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2" s="2" t="b">
        <f t="shared" si="8"/>
        <v>1</v>
      </c>
      <c r="V162" s="2">
        <f>IF(Table4[[#This Row],[linear?]],Table4[[#This Row],[av]],10^(Table4[[#This Row],[av]]/10))</f>
        <v>1.499257160493827</v>
      </c>
      <c r="W162" s="2">
        <f>IF(Table4[[#This Row],[linear?]],Table4[[#This Row],[av]],10^(Table4[[#This Row],[av]]/10))</f>
        <v>1.499257160493827</v>
      </c>
      <c r="X162" s="2">
        <f>Table4[[#This Row],[av_lin]]-2*Table4[[#This Row],[std_lin]]</f>
        <v>-1.499257160493827</v>
      </c>
      <c r="Y162" s="2">
        <f>Table4[[#This Row],[av_lin]]+2*Table4[[#This Row],[std_lin]]</f>
        <v>4.4977714814814806</v>
      </c>
    </row>
    <row r="163" spans="1:25" x14ac:dyDescent="0.35">
      <c r="A163" s="1">
        <v>1810</v>
      </c>
      <c r="B163" t="s">
        <v>829</v>
      </c>
      <c r="C163" t="s">
        <v>549</v>
      </c>
      <c r="D163" t="s">
        <v>702</v>
      </c>
      <c r="E163" s="2">
        <v>35.839597037037038</v>
      </c>
      <c r="F163" s="2">
        <v>0.1032785801012797</v>
      </c>
      <c r="G163">
        <v>27</v>
      </c>
      <c r="H163" t="s">
        <v>58</v>
      </c>
      <c r="I163" s="2">
        <v>34.5</v>
      </c>
      <c r="J163" s="2">
        <v>37</v>
      </c>
      <c r="K163" s="2">
        <v>35.75</v>
      </c>
      <c r="L163" s="2">
        <v>2.5</v>
      </c>
      <c r="M163" s="2">
        <v>36.046154197239588</v>
      </c>
      <c r="N163" s="2">
        <v>35.633039876834481</v>
      </c>
      <c r="O163" s="2">
        <v>0.4131143204051142</v>
      </c>
      <c r="P163" s="2">
        <v>347.01868482207141</v>
      </c>
      <c r="Q163" s="2">
        <v>6.0515936546290954</v>
      </c>
      <c r="R163" t="str">
        <f t="shared" si="6"/>
        <v>yes</v>
      </c>
      <c r="S163" t="str">
        <f t="shared" si="7"/>
        <v>yes</v>
      </c>
      <c r="T16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3" s="2" t="b">
        <f t="shared" si="8"/>
        <v>1</v>
      </c>
      <c r="V163" s="2">
        <f>IF(Table4[[#This Row],[linear?]],Table4[[#This Row],[av]],10^(Table4[[#This Row],[av]]/10))</f>
        <v>35.839597037037038</v>
      </c>
      <c r="W163" s="2">
        <f>IF(Table4[[#This Row],[linear?]],Table4[[#This Row],[av]],10^(Table4[[#This Row],[av]]/10))</f>
        <v>35.839597037037038</v>
      </c>
      <c r="X163" s="2">
        <f>Table4[[#This Row],[av_lin]]-2*Table4[[#This Row],[std_lin]]</f>
        <v>-35.839597037037038</v>
      </c>
      <c r="Y163" s="2">
        <f>Table4[[#This Row],[av_lin]]+2*Table4[[#This Row],[std_lin]]</f>
        <v>107.51879111111111</v>
      </c>
    </row>
    <row r="164" spans="1:25" x14ac:dyDescent="0.35">
      <c r="A164" s="1">
        <v>1811</v>
      </c>
      <c r="B164" t="s">
        <v>829</v>
      </c>
      <c r="C164" t="s">
        <v>549</v>
      </c>
      <c r="D164" t="s">
        <v>703</v>
      </c>
      <c r="E164" s="2">
        <v>1.806723333333333</v>
      </c>
      <c r="F164" s="2">
        <v>5.2415398700347534E-3</v>
      </c>
      <c r="G164">
        <v>27</v>
      </c>
      <c r="H164" t="s">
        <v>58</v>
      </c>
      <c r="I164" s="2">
        <v>1.62</v>
      </c>
      <c r="J164" s="2">
        <v>1.98</v>
      </c>
      <c r="K164" s="2">
        <v>1.8</v>
      </c>
      <c r="L164" s="2">
        <v>0.35999999999999988</v>
      </c>
      <c r="M164" s="2">
        <v>1.817206413073402</v>
      </c>
      <c r="N164" s="2">
        <v>1.796240253593264</v>
      </c>
      <c r="O164" s="2">
        <v>2.0966159480138909E-2</v>
      </c>
      <c r="P164" s="2">
        <v>344.6932348377527</v>
      </c>
      <c r="Q164" s="2">
        <v>17.17052664514096</v>
      </c>
      <c r="R164" t="str">
        <f t="shared" si="6"/>
        <v>yes</v>
      </c>
      <c r="S164" t="str">
        <f t="shared" si="7"/>
        <v>yes</v>
      </c>
      <c r="T16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4" s="2" t="b">
        <f t="shared" si="8"/>
        <v>1</v>
      </c>
      <c r="V164" s="2">
        <f>IF(Table4[[#This Row],[linear?]],Table4[[#This Row],[av]],10^(Table4[[#This Row],[av]]/10))</f>
        <v>1.806723333333333</v>
      </c>
      <c r="W164" s="2">
        <f>IF(Table4[[#This Row],[linear?]],Table4[[#This Row],[av]],10^(Table4[[#This Row],[av]]/10))</f>
        <v>1.806723333333333</v>
      </c>
      <c r="X164" s="2">
        <f>Table4[[#This Row],[av_lin]]-2*Table4[[#This Row],[std_lin]]</f>
        <v>-1.806723333333333</v>
      </c>
      <c r="Y164" s="2">
        <f>Table4[[#This Row],[av_lin]]+2*Table4[[#This Row],[std_lin]]</f>
        <v>5.4201699999999988</v>
      </c>
    </row>
    <row r="165" spans="1:25" x14ac:dyDescent="0.35">
      <c r="A165" s="1">
        <v>1816</v>
      </c>
      <c r="B165" t="s">
        <v>829</v>
      </c>
      <c r="C165" t="s">
        <v>549</v>
      </c>
      <c r="D165" t="s">
        <v>708</v>
      </c>
      <c r="E165" s="2">
        <v>3.9839616049382731</v>
      </c>
      <c r="F165" s="2">
        <v>7.594651207878474E-3</v>
      </c>
      <c r="G165">
        <v>27</v>
      </c>
      <c r="H165" t="s">
        <v>58</v>
      </c>
      <c r="I165" s="2">
        <v>3.6</v>
      </c>
      <c r="J165" s="2">
        <v>4.4000000000000004</v>
      </c>
      <c r="K165" s="2">
        <v>4</v>
      </c>
      <c r="L165" s="2">
        <v>0.80000000000000027</v>
      </c>
      <c r="M165" s="2">
        <v>3.9991509073540299</v>
      </c>
      <c r="N165" s="2">
        <v>3.9687723025225159</v>
      </c>
      <c r="O165" s="2">
        <v>3.0378604831513559E-2</v>
      </c>
      <c r="P165" s="2">
        <v>524.57466391681362</v>
      </c>
      <c r="Q165" s="2">
        <v>26.334323265896401</v>
      </c>
      <c r="R165" t="str">
        <f t="shared" si="6"/>
        <v>yes</v>
      </c>
      <c r="S165" t="str">
        <f t="shared" si="7"/>
        <v>yes</v>
      </c>
      <c r="T16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5" s="2" t="b">
        <f t="shared" si="8"/>
        <v>1</v>
      </c>
      <c r="V165" s="2">
        <f>IF(Table4[[#This Row],[linear?]],Table4[[#This Row],[av]],10^(Table4[[#This Row],[av]]/10))</f>
        <v>3.9839616049382731</v>
      </c>
      <c r="W165" s="2">
        <f>IF(Table4[[#This Row],[linear?]],Table4[[#This Row],[av]],10^(Table4[[#This Row],[av]]/10))</f>
        <v>3.9839616049382731</v>
      </c>
      <c r="X165" s="2">
        <f>Table4[[#This Row],[av_lin]]-2*Table4[[#This Row],[std_lin]]</f>
        <v>-3.9839616049382731</v>
      </c>
      <c r="Y165" s="2">
        <f>Table4[[#This Row],[av_lin]]+2*Table4[[#This Row],[std_lin]]</f>
        <v>11.95188481481482</v>
      </c>
    </row>
    <row r="166" spans="1:25" x14ac:dyDescent="0.35">
      <c r="A166" s="1">
        <v>1820</v>
      </c>
      <c r="B166" t="s">
        <v>829</v>
      </c>
      <c r="C166" t="s">
        <v>549</v>
      </c>
      <c r="D166" t="s">
        <v>712</v>
      </c>
      <c r="E166" s="2">
        <v>1.8039665432098759</v>
      </c>
      <c r="F166" s="2">
        <v>7.1978019726348774E-3</v>
      </c>
      <c r="G166">
        <v>27</v>
      </c>
      <c r="H166" t="s">
        <v>58</v>
      </c>
      <c r="I166" s="2">
        <v>1.62</v>
      </c>
      <c r="J166" s="2">
        <v>1.98</v>
      </c>
      <c r="K166" s="2">
        <v>1.8</v>
      </c>
      <c r="L166" s="2">
        <v>0.35999999999999988</v>
      </c>
      <c r="M166" s="2">
        <v>1.8183621471551461</v>
      </c>
      <c r="N166" s="2">
        <v>1.789570939264606</v>
      </c>
      <c r="O166" s="2">
        <v>2.8791207890539461E-2</v>
      </c>
      <c r="P166" s="2">
        <v>250.6274207137576</v>
      </c>
      <c r="Q166" s="2">
        <v>12.50381718504741</v>
      </c>
      <c r="R166" t="str">
        <f t="shared" si="6"/>
        <v>yes</v>
      </c>
      <c r="S166" t="str">
        <f t="shared" si="7"/>
        <v>yes</v>
      </c>
      <c r="T16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6" s="2" t="b">
        <f t="shared" si="8"/>
        <v>1</v>
      </c>
      <c r="V166" s="2">
        <f>IF(Table4[[#This Row],[linear?]],Table4[[#This Row],[av]],10^(Table4[[#This Row],[av]]/10))</f>
        <v>1.8039665432098759</v>
      </c>
      <c r="W166" s="2">
        <f>IF(Table4[[#This Row],[linear?]],Table4[[#This Row],[av]],10^(Table4[[#This Row],[av]]/10))</f>
        <v>1.8039665432098759</v>
      </c>
      <c r="X166" s="2">
        <f>Table4[[#This Row],[av_lin]]-2*Table4[[#This Row],[std_lin]]</f>
        <v>-1.8039665432098759</v>
      </c>
      <c r="Y166" s="2">
        <f>Table4[[#This Row],[av_lin]]+2*Table4[[#This Row],[std_lin]]</f>
        <v>5.4118996296296276</v>
      </c>
    </row>
    <row r="167" spans="1:25" x14ac:dyDescent="0.35">
      <c r="A167" s="1">
        <v>1825</v>
      </c>
      <c r="B167" t="s">
        <v>829</v>
      </c>
      <c r="C167" t="s">
        <v>549</v>
      </c>
      <c r="D167" t="s">
        <v>717</v>
      </c>
      <c r="E167" s="2">
        <v>3.977560987654321</v>
      </c>
      <c r="F167" s="2">
        <v>1.451325423424152E-2</v>
      </c>
      <c r="G167">
        <v>27</v>
      </c>
      <c r="H167" t="s">
        <v>58</v>
      </c>
      <c r="I167" s="2">
        <v>3.6</v>
      </c>
      <c r="J167" s="2">
        <v>4.4000000000000004</v>
      </c>
      <c r="K167" s="2">
        <v>4</v>
      </c>
      <c r="L167" s="2">
        <v>0.80000000000000027</v>
      </c>
      <c r="M167" s="2">
        <v>4.0065874961228038</v>
      </c>
      <c r="N167" s="2">
        <v>3.9485344791858381</v>
      </c>
      <c r="O167" s="2">
        <v>5.805301693696574E-2</v>
      </c>
      <c r="P167" s="2">
        <v>274.06403301817397</v>
      </c>
      <c r="Q167" s="2">
        <v>13.78050689197849</v>
      </c>
      <c r="R167" t="str">
        <f t="shared" si="6"/>
        <v>yes</v>
      </c>
      <c r="S167" t="str">
        <f t="shared" si="7"/>
        <v>yes</v>
      </c>
      <c r="T16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7" s="2" t="b">
        <f t="shared" si="8"/>
        <v>1</v>
      </c>
      <c r="V167" s="2">
        <f>IF(Table4[[#This Row],[linear?]],Table4[[#This Row],[av]],10^(Table4[[#This Row],[av]]/10))</f>
        <v>3.977560987654321</v>
      </c>
      <c r="W167" s="2">
        <f>IF(Table4[[#This Row],[linear?]],Table4[[#This Row],[av]],10^(Table4[[#This Row],[av]]/10))</f>
        <v>3.977560987654321</v>
      </c>
      <c r="X167" s="2">
        <f>Table4[[#This Row],[av_lin]]-2*Table4[[#This Row],[std_lin]]</f>
        <v>-3.977560987654321</v>
      </c>
      <c r="Y167" s="2">
        <f>Table4[[#This Row],[av_lin]]+2*Table4[[#This Row],[std_lin]]</f>
        <v>11.932682962962962</v>
      </c>
    </row>
    <row r="168" spans="1:25" x14ac:dyDescent="0.35">
      <c r="A168" s="1">
        <v>1829</v>
      </c>
      <c r="B168" t="s">
        <v>829</v>
      </c>
      <c r="C168" t="s">
        <v>549</v>
      </c>
      <c r="D168" t="s">
        <v>721</v>
      </c>
      <c r="E168" s="2">
        <v>1.8073348148148149</v>
      </c>
      <c r="F168" s="2">
        <v>5.8187039722674382E-3</v>
      </c>
      <c r="G168">
        <v>27</v>
      </c>
      <c r="H168" t="s">
        <v>58</v>
      </c>
      <c r="I168" s="2">
        <v>1.62</v>
      </c>
      <c r="J168" s="2">
        <v>1.98</v>
      </c>
      <c r="K168" s="2">
        <v>1.8</v>
      </c>
      <c r="L168" s="2">
        <v>0.35999999999999988</v>
      </c>
      <c r="M168" s="2">
        <v>1.8189722227593501</v>
      </c>
      <c r="N168" s="2">
        <v>1.79569740687028</v>
      </c>
      <c r="O168" s="2">
        <v>2.3274815889069881E-2</v>
      </c>
      <c r="P168" s="2">
        <v>310.60779572715239</v>
      </c>
      <c r="Q168" s="2">
        <v>15.467361877997069</v>
      </c>
      <c r="R168" t="str">
        <f t="shared" si="6"/>
        <v>yes</v>
      </c>
      <c r="S168" t="str">
        <f t="shared" si="7"/>
        <v>yes</v>
      </c>
      <c r="T16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8" s="2" t="b">
        <f t="shared" si="8"/>
        <v>1</v>
      </c>
      <c r="V168" s="2">
        <f>IF(Table4[[#This Row],[linear?]],Table4[[#This Row],[av]],10^(Table4[[#This Row],[av]]/10))</f>
        <v>1.8073348148148149</v>
      </c>
      <c r="W168" s="2">
        <f>IF(Table4[[#This Row],[linear?]],Table4[[#This Row],[av]],10^(Table4[[#This Row],[av]]/10))</f>
        <v>1.8073348148148149</v>
      </c>
      <c r="X168" s="2">
        <f>Table4[[#This Row],[av_lin]]-2*Table4[[#This Row],[std_lin]]</f>
        <v>-1.8073348148148149</v>
      </c>
      <c r="Y168" s="2">
        <f>Table4[[#This Row],[av_lin]]+2*Table4[[#This Row],[std_lin]]</f>
        <v>5.4220044444444451</v>
      </c>
    </row>
    <row r="169" spans="1:25" x14ac:dyDescent="0.35">
      <c r="A169" s="1">
        <v>1834</v>
      </c>
      <c r="B169" t="s">
        <v>829</v>
      </c>
      <c r="C169" t="s">
        <v>549</v>
      </c>
      <c r="D169" t="s">
        <v>726</v>
      </c>
      <c r="E169" s="2">
        <v>3.9812565432098759</v>
      </c>
      <c r="F169" s="2">
        <v>8.505642557393946E-3</v>
      </c>
      <c r="G169">
        <v>27</v>
      </c>
      <c r="H169" t="s">
        <v>58</v>
      </c>
      <c r="I169" s="2">
        <v>3.6</v>
      </c>
      <c r="J169" s="2">
        <v>4.4000000000000004</v>
      </c>
      <c r="K169" s="2">
        <v>4</v>
      </c>
      <c r="L169" s="2">
        <v>0.80000000000000027</v>
      </c>
      <c r="M169" s="2">
        <v>3.9982678283246642</v>
      </c>
      <c r="N169" s="2">
        <v>3.964245258095088</v>
      </c>
      <c r="O169" s="2">
        <v>3.4022570229575777E-2</v>
      </c>
      <c r="P169" s="2">
        <v>468.07240209606198</v>
      </c>
      <c r="Q169" s="2">
        <v>23.51380259050979</v>
      </c>
      <c r="R169" t="str">
        <f t="shared" si="6"/>
        <v>yes</v>
      </c>
      <c r="S169" t="str">
        <f t="shared" si="7"/>
        <v>yes</v>
      </c>
      <c r="T16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9" s="2" t="b">
        <f t="shared" si="8"/>
        <v>1</v>
      </c>
      <c r="V169" s="2">
        <f>IF(Table4[[#This Row],[linear?]],Table4[[#This Row],[av]],10^(Table4[[#This Row],[av]]/10))</f>
        <v>3.9812565432098759</v>
      </c>
      <c r="W169" s="2">
        <f>IF(Table4[[#This Row],[linear?]],Table4[[#This Row],[av]],10^(Table4[[#This Row],[av]]/10))</f>
        <v>3.9812565432098759</v>
      </c>
      <c r="X169" s="2">
        <f>Table4[[#This Row],[av_lin]]-2*Table4[[#This Row],[std_lin]]</f>
        <v>-3.9812565432098759</v>
      </c>
      <c r="Y169" s="2">
        <f>Table4[[#This Row],[av_lin]]+2*Table4[[#This Row],[std_lin]]</f>
        <v>11.943769629629628</v>
      </c>
    </row>
    <row r="170" spans="1:25" x14ac:dyDescent="0.35">
      <c r="A170" s="1">
        <v>1839</v>
      </c>
      <c r="B170" t="s">
        <v>829</v>
      </c>
      <c r="C170" t="s">
        <v>549</v>
      </c>
      <c r="D170" t="s">
        <v>731</v>
      </c>
      <c r="E170" s="2">
        <v>0.99582679012345665</v>
      </c>
      <c r="F170" s="2">
        <v>1.0176934366357489E-3</v>
      </c>
      <c r="G170">
        <v>27</v>
      </c>
      <c r="H170" t="s">
        <v>58</v>
      </c>
      <c r="I170" s="2">
        <v>0.85</v>
      </c>
      <c r="J170" s="2">
        <v>1.2</v>
      </c>
      <c r="K170" s="2">
        <v>1.0249999999999999</v>
      </c>
      <c r="L170" s="2">
        <v>0.35</v>
      </c>
      <c r="M170" s="2">
        <v>0.99786217699672819</v>
      </c>
      <c r="N170" s="2">
        <v>0.99379140325018511</v>
      </c>
      <c r="O170" s="2">
        <v>4.0707737465430771E-3</v>
      </c>
      <c r="P170" s="2">
        <v>978.51352310517188</v>
      </c>
      <c r="Q170" s="2">
        <v>85.978740601150292</v>
      </c>
      <c r="R170" t="str">
        <f t="shared" si="6"/>
        <v>yes</v>
      </c>
      <c r="S170" t="str">
        <f t="shared" si="7"/>
        <v>yes</v>
      </c>
      <c r="T17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0" s="2" t="b">
        <f t="shared" si="8"/>
        <v>1</v>
      </c>
      <c r="V170" s="2">
        <f>IF(Table4[[#This Row],[linear?]],Table4[[#This Row],[av]],10^(Table4[[#This Row],[av]]/10))</f>
        <v>0.99582679012345665</v>
      </c>
      <c r="W170" s="2">
        <f>IF(Table4[[#This Row],[linear?]],Table4[[#This Row],[av]],10^(Table4[[#This Row],[av]]/10))</f>
        <v>0.99582679012345665</v>
      </c>
      <c r="X170" s="2">
        <f>Table4[[#This Row],[av_lin]]-2*Table4[[#This Row],[std_lin]]</f>
        <v>-0.99582679012345665</v>
      </c>
      <c r="Y170" s="2">
        <f>Table4[[#This Row],[av_lin]]+2*Table4[[#This Row],[std_lin]]</f>
        <v>2.9874803703703701</v>
      </c>
    </row>
    <row r="171" spans="1:25" x14ac:dyDescent="0.35">
      <c r="A171" s="1">
        <v>1841</v>
      </c>
      <c r="B171" t="s">
        <v>829</v>
      </c>
      <c r="C171" t="s">
        <v>549</v>
      </c>
      <c r="D171" t="s">
        <v>733</v>
      </c>
      <c r="E171" s="2">
        <v>1.500533086419753</v>
      </c>
      <c r="F171" s="2">
        <v>3.5703751038163268E-3</v>
      </c>
      <c r="G171">
        <v>27</v>
      </c>
      <c r="H171" t="s">
        <v>58</v>
      </c>
      <c r="I171" s="2">
        <v>1.35</v>
      </c>
      <c r="J171" s="2">
        <v>1.65</v>
      </c>
      <c r="K171" s="2">
        <v>1.5</v>
      </c>
      <c r="L171" s="2">
        <v>0.29999999999999982</v>
      </c>
      <c r="M171" s="2">
        <v>1.5076738366273861</v>
      </c>
      <c r="N171" s="2">
        <v>1.49339233621212</v>
      </c>
      <c r="O171" s="2">
        <v>1.428150041526521E-2</v>
      </c>
      <c r="P171" s="2">
        <v>420.27323258440072</v>
      </c>
      <c r="Q171" s="2">
        <v>21.006196217264101</v>
      </c>
      <c r="R171" t="str">
        <f t="shared" si="6"/>
        <v>yes</v>
      </c>
      <c r="S171" t="str">
        <f t="shared" si="7"/>
        <v>yes</v>
      </c>
      <c r="T17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1" s="2" t="b">
        <f t="shared" si="8"/>
        <v>1</v>
      </c>
      <c r="V171" s="2">
        <f>IF(Table4[[#This Row],[linear?]],Table4[[#This Row],[av]],10^(Table4[[#This Row],[av]]/10))</f>
        <v>1.500533086419753</v>
      </c>
      <c r="W171" s="2">
        <f>IF(Table4[[#This Row],[linear?]],Table4[[#This Row],[av]],10^(Table4[[#This Row],[av]]/10))</f>
        <v>1.500533086419753</v>
      </c>
      <c r="X171" s="2">
        <f>Table4[[#This Row],[av_lin]]-2*Table4[[#This Row],[std_lin]]</f>
        <v>-1.500533086419753</v>
      </c>
      <c r="Y171" s="2">
        <f>Table4[[#This Row],[av_lin]]+2*Table4[[#This Row],[std_lin]]</f>
        <v>4.5015992592592591</v>
      </c>
    </row>
    <row r="172" spans="1:25" x14ac:dyDescent="0.35">
      <c r="A172" s="1">
        <v>1843</v>
      </c>
      <c r="B172" t="s">
        <v>829</v>
      </c>
      <c r="C172" t="s">
        <v>549</v>
      </c>
      <c r="D172" t="s">
        <v>735</v>
      </c>
      <c r="E172" s="2">
        <v>35.87645666666667</v>
      </c>
      <c r="F172" s="2">
        <v>9.5812255840649299E-2</v>
      </c>
      <c r="G172">
        <v>27</v>
      </c>
      <c r="H172" t="s">
        <v>58</v>
      </c>
      <c r="I172" s="2">
        <v>34.5</v>
      </c>
      <c r="J172" s="2">
        <v>37</v>
      </c>
      <c r="K172" s="2">
        <v>35.75</v>
      </c>
      <c r="L172" s="2">
        <v>2.5</v>
      </c>
      <c r="M172" s="2">
        <v>36.068081178347967</v>
      </c>
      <c r="N172" s="2">
        <v>35.684832154985372</v>
      </c>
      <c r="O172" s="2">
        <v>0.3832490233625947</v>
      </c>
      <c r="P172" s="2">
        <v>374.44538124991863</v>
      </c>
      <c r="Q172" s="2">
        <v>6.5231738311169334</v>
      </c>
      <c r="R172" t="str">
        <f t="shared" si="6"/>
        <v>yes</v>
      </c>
      <c r="S172" t="str">
        <f t="shared" si="7"/>
        <v>yes</v>
      </c>
      <c r="T17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2" s="2" t="b">
        <f t="shared" si="8"/>
        <v>1</v>
      </c>
      <c r="V172" s="2">
        <f>IF(Table4[[#This Row],[linear?]],Table4[[#This Row],[av]],10^(Table4[[#This Row],[av]]/10))</f>
        <v>35.87645666666667</v>
      </c>
      <c r="W172" s="2">
        <f>IF(Table4[[#This Row],[linear?]],Table4[[#This Row],[av]],10^(Table4[[#This Row],[av]]/10))</f>
        <v>35.87645666666667</v>
      </c>
      <c r="X172" s="2">
        <f>Table4[[#This Row],[av_lin]]-2*Table4[[#This Row],[std_lin]]</f>
        <v>-35.87645666666667</v>
      </c>
      <c r="Y172" s="2">
        <f>Table4[[#This Row],[av_lin]]+2*Table4[[#This Row],[std_lin]]</f>
        <v>107.62937000000001</v>
      </c>
    </row>
    <row r="173" spans="1:25" x14ac:dyDescent="0.35">
      <c r="A173" s="1">
        <v>1845</v>
      </c>
      <c r="B173" t="s">
        <v>829</v>
      </c>
      <c r="C173" t="s">
        <v>549</v>
      </c>
      <c r="D173" t="s">
        <v>737</v>
      </c>
      <c r="E173" s="2">
        <v>0.99586172839506149</v>
      </c>
      <c r="F173" s="2">
        <v>1.189422956841209E-3</v>
      </c>
      <c r="G173">
        <v>27</v>
      </c>
      <c r="H173" t="s">
        <v>58</v>
      </c>
      <c r="I173" s="2">
        <v>0.85</v>
      </c>
      <c r="J173" s="2">
        <v>1.2</v>
      </c>
      <c r="K173" s="2">
        <v>1.0249999999999999</v>
      </c>
      <c r="L173" s="2">
        <v>0.35</v>
      </c>
      <c r="M173" s="2">
        <v>0.99824057430874391</v>
      </c>
      <c r="N173" s="2">
        <v>0.99348288248137906</v>
      </c>
      <c r="O173" s="2">
        <v>4.7576918273648516E-3</v>
      </c>
      <c r="P173" s="2">
        <v>837.26459344605667</v>
      </c>
      <c r="Q173" s="2">
        <v>73.565084225695827</v>
      </c>
      <c r="R173" t="str">
        <f t="shared" si="6"/>
        <v>yes</v>
      </c>
      <c r="S173" t="str">
        <f t="shared" si="7"/>
        <v>yes</v>
      </c>
      <c r="T17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3" s="2" t="b">
        <f t="shared" si="8"/>
        <v>1</v>
      </c>
      <c r="V173" s="2">
        <f>IF(Table4[[#This Row],[linear?]],Table4[[#This Row],[av]],10^(Table4[[#This Row],[av]]/10))</f>
        <v>0.99586172839506149</v>
      </c>
      <c r="W173" s="2">
        <f>IF(Table4[[#This Row],[linear?]],Table4[[#This Row],[av]],10^(Table4[[#This Row],[av]]/10))</f>
        <v>0.99586172839506149</v>
      </c>
      <c r="X173" s="2">
        <f>Table4[[#This Row],[av_lin]]-2*Table4[[#This Row],[std_lin]]</f>
        <v>-0.99586172839506149</v>
      </c>
      <c r="Y173" s="2">
        <f>Table4[[#This Row],[av_lin]]+2*Table4[[#This Row],[std_lin]]</f>
        <v>2.9875851851851847</v>
      </c>
    </row>
    <row r="174" spans="1:25" x14ac:dyDescent="0.35">
      <c r="A174" s="1">
        <v>1847</v>
      </c>
      <c r="B174" t="s">
        <v>829</v>
      </c>
      <c r="C174" t="s">
        <v>549</v>
      </c>
      <c r="D174" t="s">
        <v>739</v>
      </c>
      <c r="E174" s="2">
        <v>1.499450864197531</v>
      </c>
      <c r="F174" s="2">
        <v>3.2698129244937979E-3</v>
      </c>
      <c r="G174">
        <v>27</v>
      </c>
      <c r="H174" t="s">
        <v>58</v>
      </c>
      <c r="I174" s="2">
        <v>1.35</v>
      </c>
      <c r="J174" s="2">
        <v>1.65</v>
      </c>
      <c r="K174" s="2">
        <v>1.5</v>
      </c>
      <c r="L174" s="2">
        <v>0.29999999999999982</v>
      </c>
      <c r="M174" s="2">
        <v>1.5059904900465191</v>
      </c>
      <c r="N174" s="2">
        <v>1.492911238348543</v>
      </c>
      <c r="O174" s="2">
        <v>1.307925169797519E-2</v>
      </c>
      <c r="P174" s="2">
        <v>458.5738997376011</v>
      </c>
      <c r="Q174" s="2">
        <v>22.937092039175528</v>
      </c>
      <c r="R174" t="str">
        <f t="shared" si="6"/>
        <v>yes</v>
      </c>
      <c r="S174" t="str">
        <f t="shared" si="7"/>
        <v>yes</v>
      </c>
      <c r="T17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4" s="2" t="b">
        <f t="shared" si="8"/>
        <v>1</v>
      </c>
      <c r="V174" s="2">
        <f>IF(Table4[[#This Row],[linear?]],Table4[[#This Row],[av]],10^(Table4[[#This Row],[av]]/10))</f>
        <v>1.499450864197531</v>
      </c>
      <c r="W174" s="2">
        <f>IF(Table4[[#This Row],[linear?]],Table4[[#This Row],[av]],10^(Table4[[#This Row],[av]]/10))</f>
        <v>1.499450864197531</v>
      </c>
      <c r="X174" s="2">
        <f>Table4[[#This Row],[av_lin]]-2*Table4[[#This Row],[std_lin]]</f>
        <v>-1.499450864197531</v>
      </c>
      <c r="Y174" s="2">
        <f>Table4[[#This Row],[av_lin]]+2*Table4[[#This Row],[std_lin]]</f>
        <v>4.4983525925925933</v>
      </c>
    </row>
    <row r="175" spans="1:25" x14ac:dyDescent="0.35">
      <c r="A175" s="1">
        <v>1849</v>
      </c>
      <c r="B175" t="s">
        <v>829</v>
      </c>
      <c r="C175" t="s">
        <v>549</v>
      </c>
      <c r="D175" t="s">
        <v>741</v>
      </c>
      <c r="E175" s="2">
        <v>35.8404150617284</v>
      </c>
      <c r="F175" s="2">
        <v>9.4730554968350769E-2</v>
      </c>
      <c r="G175">
        <v>27</v>
      </c>
      <c r="H175" t="s">
        <v>58</v>
      </c>
      <c r="I175" s="2">
        <v>34.5</v>
      </c>
      <c r="J175" s="2">
        <v>37</v>
      </c>
      <c r="K175" s="2">
        <v>35.75</v>
      </c>
      <c r="L175" s="2">
        <v>2.5</v>
      </c>
      <c r="M175" s="2">
        <v>36.029876171665101</v>
      </c>
      <c r="N175" s="2">
        <v>35.650953951791699</v>
      </c>
      <c r="O175" s="2">
        <v>0.37892221987340241</v>
      </c>
      <c r="P175" s="2">
        <v>378.34060059821871</v>
      </c>
      <c r="Q175" s="2">
        <v>6.5976600708062154</v>
      </c>
      <c r="R175" t="str">
        <f t="shared" si="6"/>
        <v>yes</v>
      </c>
      <c r="S175" t="str">
        <f t="shared" si="7"/>
        <v>yes</v>
      </c>
      <c r="T17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5" s="2" t="b">
        <f t="shared" si="8"/>
        <v>1</v>
      </c>
      <c r="V175" s="2">
        <f>IF(Table4[[#This Row],[linear?]],Table4[[#This Row],[av]],10^(Table4[[#This Row],[av]]/10))</f>
        <v>35.8404150617284</v>
      </c>
      <c r="W175" s="2">
        <f>IF(Table4[[#This Row],[linear?]],Table4[[#This Row],[av]],10^(Table4[[#This Row],[av]]/10))</f>
        <v>35.8404150617284</v>
      </c>
      <c r="X175" s="2">
        <f>Table4[[#This Row],[av_lin]]-2*Table4[[#This Row],[std_lin]]</f>
        <v>-35.8404150617284</v>
      </c>
      <c r="Y175" s="2">
        <f>Table4[[#This Row],[av_lin]]+2*Table4[[#This Row],[std_lin]]</f>
        <v>107.52124518518519</v>
      </c>
    </row>
    <row r="176" spans="1:25" x14ac:dyDescent="0.35">
      <c r="A176" s="1">
        <v>1851</v>
      </c>
      <c r="B176" t="s">
        <v>829</v>
      </c>
      <c r="C176" t="s">
        <v>549</v>
      </c>
      <c r="D176" t="s">
        <v>743</v>
      </c>
      <c r="E176" s="2">
        <v>0.99528209876543228</v>
      </c>
      <c r="F176" s="2">
        <v>2.0230958400874739E-3</v>
      </c>
      <c r="G176">
        <v>27</v>
      </c>
      <c r="H176" t="s">
        <v>58</v>
      </c>
      <c r="I176" s="2">
        <v>0.85</v>
      </c>
      <c r="J176" s="2">
        <v>1.2</v>
      </c>
      <c r="K176" s="2">
        <v>1.0249999999999999</v>
      </c>
      <c r="L176" s="2">
        <v>0.35</v>
      </c>
      <c r="M176" s="2">
        <v>0.99932829044560723</v>
      </c>
      <c r="N176" s="2">
        <v>0.99123590708525733</v>
      </c>
      <c r="O176" s="2">
        <v>8.0923833603498974E-3</v>
      </c>
      <c r="P176" s="2">
        <v>491.95993538417758</v>
      </c>
      <c r="Q176" s="2">
        <v>43.250546151198002</v>
      </c>
      <c r="R176" t="str">
        <f t="shared" si="6"/>
        <v>yes</v>
      </c>
      <c r="S176" t="str">
        <f t="shared" si="7"/>
        <v>yes</v>
      </c>
      <c r="T17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6" s="2" t="b">
        <f t="shared" si="8"/>
        <v>1</v>
      </c>
      <c r="V176" s="2">
        <f>IF(Table4[[#This Row],[linear?]],Table4[[#This Row],[av]],10^(Table4[[#This Row],[av]]/10))</f>
        <v>0.99528209876543228</v>
      </c>
      <c r="W176" s="2">
        <f>IF(Table4[[#This Row],[linear?]],Table4[[#This Row],[av]],10^(Table4[[#This Row],[av]]/10))</f>
        <v>0.99528209876543228</v>
      </c>
      <c r="X176" s="2">
        <f>Table4[[#This Row],[av_lin]]-2*Table4[[#This Row],[std_lin]]</f>
        <v>-0.99528209876543228</v>
      </c>
      <c r="Y176" s="2">
        <f>Table4[[#This Row],[av_lin]]+2*Table4[[#This Row],[std_lin]]</f>
        <v>2.9858462962962968</v>
      </c>
    </row>
    <row r="177" spans="1:25" x14ac:dyDescent="0.35">
      <c r="A177" s="1">
        <v>1853</v>
      </c>
      <c r="B177" t="s">
        <v>829</v>
      </c>
      <c r="C177" t="s">
        <v>549</v>
      </c>
      <c r="D177" t="s">
        <v>745</v>
      </c>
      <c r="E177" s="2">
        <v>1.5006096296296301</v>
      </c>
      <c r="F177" s="2">
        <v>3.619108264762712E-3</v>
      </c>
      <c r="G177">
        <v>27</v>
      </c>
      <c r="H177" t="s">
        <v>58</v>
      </c>
      <c r="I177" s="2">
        <v>1.35</v>
      </c>
      <c r="J177" s="2">
        <v>1.65</v>
      </c>
      <c r="K177" s="2">
        <v>1.5</v>
      </c>
      <c r="L177" s="2">
        <v>0.29999999999999982</v>
      </c>
      <c r="M177" s="2">
        <v>1.507847846159156</v>
      </c>
      <c r="N177" s="2">
        <v>1.493371413100105</v>
      </c>
      <c r="O177" s="2">
        <v>1.4476433059051001E-2</v>
      </c>
      <c r="P177" s="2">
        <v>414.63518630825428</v>
      </c>
      <c r="Q177" s="2">
        <v>20.723336941929421</v>
      </c>
      <c r="R177" t="str">
        <f t="shared" si="6"/>
        <v>yes</v>
      </c>
      <c r="S177" t="str">
        <f t="shared" si="7"/>
        <v>yes</v>
      </c>
      <c r="T17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7" s="2" t="b">
        <f t="shared" si="8"/>
        <v>1</v>
      </c>
      <c r="V177" s="2">
        <f>IF(Table4[[#This Row],[linear?]],Table4[[#This Row],[av]],10^(Table4[[#This Row],[av]]/10))</f>
        <v>1.5006096296296301</v>
      </c>
      <c r="W177" s="2">
        <f>IF(Table4[[#This Row],[linear?]],Table4[[#This Row],[av]],10^(Table4[[#This Row],[av]]/10))</f>
        <v>1.5006096296296301</v>
      </c>
      <c r="X177" s="2">
        <f>Table4[[#This Row],[av_lin]]-2*Table4[[#This Row],[std_lin]]</f>
        <v>-1.5006096296296301</v>
      </c>
      <c r="Y177" s="2">
        <f>Table4[[#This Row],[av_lin]]+2*Table4[[#This Row],[std_lin]]</f>
        <v>4.5018288888888902</v>
      </c>
    </row>
    <row r="178" spans="1:25" x14ac:dyDescent="0.35">
      <c r="A178" s="1">
        <v>1855</v>
      </c>
      <c r="B178" t="s">
        <v>829</v>
      </c>
      <c r="C178" t="s">
        <v>549</v>
      </c>
      <c r="D178" t="s">
        <v>747</v>
      </c>
      <c r="E178" s="2">
        <v>35.86572024691359</v>
      </c>
      <c r="F178" s="2">
        <v>0.1092471797439387</v>
      </c>
      <c r="G178">
        <v>27</v>
      </c>
      <c r="H178" t="s">
        <v>58</v>
      </c>
      <c r="I178" s="2">
        <v>34.5</v>
      </c>
      <c r="J178" s="2">
        <v>37</v>
      </c>
      <c r="K178" s="2">
        <v>35.75</v>
      </c>
      <c r="L178" s="2">
        <v>2.5</v>
      </c>
      <c r="M178" s="2">
        <v>36.084214606401467</v>
      </c>
      <c r="N178" s="2">
        <v>35.647225887425712</v>
      </c>
      <c r="O178" s="2">
        <v>0.43698871897575492</v>
      </c>
      <c r="P178" s="2">
        <v>328.29882044532599</v>
      </c>
      <c r="Q178" s="2">
        <v>5.7209714837940826</v>
      </c>
      <c r="R178" t="str">
        <f t="shared" si="6"/>
        <v>yes</v>
      </c>
      <c r="S178" t="str">
        <f t="shared" si="7"/>
        <v>yes</v>
      </c>
      <c r="T17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8" s="2" t="b">
        <f t="shared" si="8"/>
        <v>1</v>
      </c>
      <c r="V178" s="2">
        <f>IF(Table4[[#This Row],[linear?]],Table4[[#This Row],[av]],10^(Table4[[#This Row],[av]]/10))</f>
        <v>35.86572024691359</v>
      </c>
      <c r="W178" s="2">
        <f>IF(Table4[[#This Row],[linear?]],Table4[[#This Row],[av]],10^(Table4[[#This Row],[av]]/10))</f>
        <v>35.86572024691359</v>
      </c>
      <c r="X178" s="2">
        <f>Table4[[#This Row],[av_lin]]-2*Table4[[#This Row],[std_lin]]</f>
        <v>-35.86572024691359</v>
      </c>
      <c r="Y178" s="2">
        <f>Table4[[#This Row],[av_lin]]+2*Table4[[#This Row],[std_lin]]</f>
        <v>107.59716074074078</v>
      </c>
    </row>
    <row r="179" spans="1:25" x14ac:dyDescent="0.35">
      <c r="A179" s="1">
        <v>1856</v>
      </c>
      <c r="B179" t="s">
        <v>829</v>
      </c>
      <c r="C179" t="s">
        <v>549</v>
      </c>
      <c r="D179" t="s">
        <v>748</v>
      </c>
      <c r="E179" s="2">
        <v>1.8017248148148151</v>
      </c>
      <c r="F179" s="2">
        <v>7.0234824468362487E-3</v>
      </c>
      <c r="G179">
        <v>27</v>
      </c>
      <c r="H179" t="s">
        <v>58</v>
      </c>
      <c r="I179" s="2">
        <v>1.62</v>
      </c>
      <c r="J179" s="2">
        <v>1.98</v>
      </c>
      <c r="K179" s="2">
        <v>1.8</v>
      </c>
      <c r="L179" s="2">
        <v>0.35999999999999988</v>
      </c>
      <c r="M179" s="2">
        <v>1.815771779708488</v>
      </c>
      <c r="N179" s="2">
        <v>1.787677849921143</v>
      </c>
      <c r="O179" s="2">
        <v>2.809392978734504E-2</v>
      </c>
      <c r="P179" s="2">
        <v>256.52869903966342</v>
      </c>
      <c r="Q179" s="2">
        <v>12.814156037442739</v>
      </c>
      <c r="R179" t="str">
        <f t="shared" si="6"/>
        <v>yes</v>
      </c>
      <c r="S179" t="str">
        <f t="shared" si="7"/>
        <v>yes</v>
      </c>
      <c r="T17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9" s="2" t="b">
        <f t="shared" si="8"/>
        <v>1</v>
      </c>
      <c r="V179" s="2">
        <f>IF(Table4[[#This Row],[linear?]],Table4[[#This Row],[av]],10^(Table4[[#This Row],[av]]/10))</f>
        <v>1.8017248148148151</v>
      </c>
      <c r="W179" s="2">
        <f>IF(Table4[[#This Row],[linear?]],Table4[[#This Row],[av]],10^(Table4[[#This Row],[av]]/10))</f>
        <v>1.8017248148148151</v>
      </c>
      <c r="X179" s="2">
        <f>Table4[[#This Row],[av_lin]]-2*Table4[[#This Row],[std_lin]]</f>
        <v>-1.8017248148148151</v>
      </c>
      <c r="Y179" s="2">
        <f>Table4[[#This Row],[av_lin]]+2*Table4[[#This Row],[std_lin]]</f>
        <v>5.4051744444444454</v>
      </c>
    </row>
    <row r="180" spans="1:25" x14ac:dyDescent="0.35">
      <c r="A180" s="1">
        <v>1861</v>
      </c>
      <c r="B180" t="s">
        <v>829</v>
      </c>
      <c r="C180" t="s">
        <v>549</v>
      </c>
      <c r="D180" t="s">
        <v>753</v>
      </c>
      <c r="E180" s="2">
        <v>3.9805080246913591</v>
      </c>
      <c r="F180" s="2">
        <v>1.4453240019041519E-2</v>
      </c>
      <c r="G180">
        <v>27</v>
      </c>
      <c r="H180" t="s">
        <v>58</v>
      </c>
      <c r="I180" s="2">
        <v>3.6</v>
      </c>
      <c r="J180" s="2">
        <v>4.4000000000000004</v>
      </c>
      <c r="K180" s="2">
        <v>4</v>
      </c>
      <c r="L180" s="2">
        <v>0.80000000000000027</v>
      </c>
      <c r="M180" s="2">
        <v>4.0094145047294418</v>
      </c>
      <c r="N180" s="2">
        <v>3.951601544653276</v>
      </c>
      <c r="O180" s="2">
        <v>5.7812960076165883E-2</v>
      </c>
      <c r="P180" s="2">
        <v>275.40593108861492</v>
      </c>
      <c r="Q180" s="2">
        <v>13.83772771617363</v>
      </c>
      <c r="R180" t="str">
        <f t="shared" si="6"/>
        <v>yes</v>
      </c>
      <c r="S180" t="str">
        <f t="shared" si="7"/>
        <v>yes</v>
      </c>
      <c r="T18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0" s="2" t="b">
        <f t="shared" si="8"/>
        <v>1</v>
      </c>
      <c r="V180" s="2">
        <f>IF(Table4[[#This Row],[linear?]],Table4[[#This Row],[av]],10^(Table4[[#This Row],[av]]/10))</f>
        <v>3.9805080246913591</v>
      </c>
      <c r="W180" s="2">
        <f>IF(Table4[[#This Row],[linear?]],Table4[[#This Row],[av]],10^(Table4[[#This Row],[av]]/10))</f>
        <v>3.9805080246913591</v>
      </c>
      <c r="X180" s="2">
        <f>Table4[[#This Row],[av_lin]]-2*Table4[[#This Row],[std_lin]]</f>
        <v>-3.9805080246913591</v>
      </c>
      <c r="Y180" s="2">
        <f>Table4[[#This Row],[av_lin]]+2*Table4[[#This Row],[std_lin]]</f>
        <v>11.941524074074078</v>
      </c>
    </row>
    <row r="181" spans="1:25" x14ac:dyDescent="0.35">
      <c r="A181" s="1">
        <v>1865</v>
      </c>
      <c r="B181" t="s">
        <v>829</v>
      </c>
      <c r="C181" t="s">
        <v>549</v>
      </c>
      <c r="D181" t="s">
        <v>757</v>
      </c>
      <c r="E181" s="2">
        <v>1.801221604938271</v>
      </c>
      <c r="F181" s="2">
        <v>4.5443499890737782E-3</v>
      </c>
      <c r="G181">
        <v>27</v>
      </c>
      <c r="H181" t="s">
        <v>58</v>
      </c>
      <c r="I181" s="2">
        <v>1.62</v>
      </c>
      <c r="J181" s="2">
        <v>1.98</v>
      </c>
      <c r="K181" s="2">
        <v>1.8</v>
      </c>
      <c r="L181" s="2">
        <v>0.35999999999999988</v>
      </c>
      <c r="M181" s="2">
        <v>1.8103103049164191</v>
      </c>
      <c r="N181" s="2">
        <v>1.7921329049601229</v>
      </c>
      <c r="O181" s="2">
        <v>1.81773999562953E-2</v>
      </c>
      <c r="P181" s="2">
        <v>396.36507075138218</v>
      </c>
      <c r="Q181" s="2">
        <v>19.804812617071921</v>
      </c>
      <c r="R181" t="str">
        <f t="shared" si="6"/>
        <v>yes</v>
      </c>
      <c r="S181" t="str">
        <f t="shared" si="7"/>
        <v>yes</v>
      </c>
      <c r="T18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1" s="2" t="b">
        <f t="shared" si="8"/>
        <v>1</v>
      </c>
      <c r="V181" s="2">
        <f>IF(Table4[[#This Row],[linear?]],Table4[[#This Row],[av]],10^(Table4[[#This Row],[av]]/10))</f>
        <v>1.801221604938271</v>
      </c>
      <c r="W181" s="2">
        <f>IF(Table4[[#This Row],[linear?]],Table4[[#This Row],[av]],10^(Table4[[#This Row],[av]]/10))</f>
        <v>1.801221604938271</v>
      </c>
      <c r="X181" s="2">
        <f>Table4[[#This Row],[av_lin]]-2*Table4[[#This Row],[std_lin]]</f>
        <v>-1.801221604938271</v>
      </c>
      <c r="Y181" s="2">
        <f>Table4[[#This Row],[av_lin]]+2*Table4[[#This Row],[std_lin]]</f>
        <v>5.403664814814813</v>
      </c>
    </row>
    <row r="182" spans="1:25" x14ac:dyDescent="0.35">
      <c r="A182" s="1">
        <v>1870</v>
      </c>
      <c r="B182" t="s">
        <v>829</v>
      </c>
      <c r="C182" t="s">
        <v>549</v>
      </c>
      <c r="D182" t="s">
        <v>762</v>
      </c>
      <c r="E182" s="2">
        <v>3.9791304938271592</v>
      </c>
      <c r="F182" s="2">
        <v>1.168942970103426E-2</v>
      </c>
      <c r="G182">
        <v>27</v>
      </c>
      <c r="H182" t="s">
        <v>58</v>
      </c>
      <c r="I182" s="2">
        <v>3.6</v>
      </c>
      <c r="J182" s="2">
        <v>4.4000000000000004</v>
      </c>
      <c r="K182" s="2">
        <v>4</v>
      </c>
      <c r="L182" s="2">
        <v>0.80000000000000027</v>
      </c>
      <c r="M182" s="2">
        <v>4.002509353229228</v>
      </c>
      <c r="N182" s="2">
        <v>3.95575163442509</v>
      </c>
      <c r="O182" s="2">
        <v>4.6757718804137482E-2</v>
      </c>
      <c r="P182" s="2">
        <v>340.40415962081482</v>
      </c>
      <c r="Q182" s="2">
        <v>17.109474552236069</v>
      </c>
      <c r="R182" t="str">
        <f t="shared" si="6"/>
        <v>yes</v>
      </c>
      <c r="S182" t="str">
        <f t="shared" si="7"/>
        <v>yes</v>
      </c>
      <c r="T18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2" s="2" t="b">
        <f t="shared" si="8"/>
        <v>1</v>
      </c>
      <c r="V182" s="2">
        <f>IF(Table4[[#This Row],[linear?]],Table4[[#This Row],[av]],10^(Table4[[#This Row],[av]]/10))</f>
        <v>3.9791304938271592</v>
      </c>
      <c r="W182" s="2">
        <f>IF(Table4[[#This Row],[linear?]],Table4[[#This Row],[av]],10^(Table4[[#This Row],[av]]/10))</f>
        <v>3.9791304938271592</v>
      </c>
      <c r="X182" s="2">
        <f>Table4[[#This Row],[av_lin]]-2*Table4[[#This Row],[std_lin]]</f>
        <v>-3.9791304938271592</v>
      </c>
      <c r="Y182" s="2">
        <f>Table4[[#This Row],[av_lin]]+2*Table4[[#This Row],[std_lin]]</f>
        <v>11.937391481481477</v>
      </c>
    </row>
    <row r="183" spans="1:25" x14ac:dyDescent="0.35">
      <c r="A183" s="1">
        <v>1874</v>
      </c>
      <c r="B183" t="s">
        <v>829</v>
      </c>
      <c r="C183" t="s">
        <v>549</v>
      </c>
      <c r="D183" t="s">
        <v>766</v>
      </c>
      <c r="E183" s="2">
        <v>1.8033686419753081</v>
      </c>
      <c r="F183" s="2">
        <v>4.2703443222781058E-3</v>
      </c>
      <c r="G183">
        <v>27</v>
      </c>
      <c r="H183" t="s">
        <v>58</v>
      </c>
      <c r="I183" s="2">
        <v>1.62</v>
      </c>
      <c r="J183" s="2">
        <v>1.98</v>
      </c>
      <c r="K183" s="2">
        <v>1.8</v>
      </c>
      <c r="L183" s="2">
        <v>0.35999999999999988</v>
      </c>
      <c r="M183" s="2">
        <v>1.8119093306198639</v>
      </c>
      <c r="N183" s="2">
        <v>1.7948279533307521</v>
      </c>
      <c r="O183" s="2">
        <v>1.708137728911252E-2</v>
      </c>
      <c r="P183" s="2">
        <v>422.30052330142382</v>
      </c>
      <c r="Q183" s="2">
        <v>21.075583889213661</v>
      </c>
      <c r="R183" t="str">
        <f t="shared" si="6"/>
        <v>yes</v>
      </c>
      <c r="S183" t="str">
        <f t="shared" si="7"/>
        <v>yes</v>
      </c>
      <c r="T18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3" s="2" t="b">
        <f t="shared" si="8"/>
        <v>1</v>
      </c>
      <c r="V183" s="2">
        <f>IF(Table4[[#This Row],[linear?]],Table4[[#This Row],[av]],10^(Table4[[#This Row],[av]]/10))</f>
        <v>1.8033686419753081</v>
      </c>
      <c r="W183" s="2">
        <f>IF(Table4[[#This Row],[linear?]],Table4[[#This Row],[av]],10^(Table4[[#This Row],[av]]/10))</f>
        <v>1.8033686419753081</v>
      </c>
      <c r="X183" s="2">
        <f>Table4[[#This Row],[av_lin]]-2*Table4[[#This Row],[std_lin]]</f>
        <v>-1.8033686419753081</v>
      </c>
      <c r="Y183" s="2">
        <f>Table4[[#This Row],[av_lin]]+2*Table4[[#This Row],[std_lin]]</f>
        <v>5.4101059259259241</v>
      </c>
    </row>
    <row r="184" spans="1:25" x14ac:dyDescent="0.35">
      <c r="A184" s="1">
        <v>1879</v>
      </c>
      <c r="B184" t="s">
        <v>829</v>
      </c>
      <c r="C184" t="s">
        <v>549</v>
      </c>
      <c r="D184" t="s">
        <v>771</v>
      </c>
      <c r="E184" s="2">
        <v>3.982217654320988</v>
      </c>
      <c r="F184" s="2">
        <v>9.7130019588917028E-3</v>
      </c>
      <c r="G184">
        <v>27</v>
      </c>
      <c r="H184" t="s">
        <v>58</v>
      </c>
      <c r="I184" s="2">
        <v>3.6</v>
      </c>
      <c r="J184" s="2">
        <v>4.4000000000000004</v>
      </c>
      <c r="K184" s="2">
        <v>4</v>
      </c>
      <c r="L184" s="2">
        <v>0.80000000000000027</v>
      </c>
      <c r="M184" s="2">
        <v>4.0016436582387724</v>
      </c>
      <c r="N184" s="2">
        <v>3.9627916504032039</v>
      </c>
      <c r="O184" s="2">
        <v>3.8852007835567193E-2</v>
      </c>
      <c r="P184" s="2">
        <v>409.9883507874199</v>
      </c>
      <c r="Q184" s="2">
        <v>20.59095641558164</v>
      </c>
      <c r="R184" t="str">
        <f t="shared" si="6"/>
        <v>yes</v>
      </c>
      <c r="S184" t="str">
        <f t="shared" si="7"/>
        <v>yes</v>
      </c>
      <c r="T18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4" s="2" t="b">
        <f t="shared" si="8"/>
        <v>1</v>
      </c>
      <c r="V184" s="2">
        <f>IF(Table4[[#This Row],[linear?]],Table4[[#This Row],[av]],10^(Table4[[#This Row],[av]]/10))</f>
        <v>3.982217654320988</v>
      </c>
      <c r="W184" s="2">
        <f>IF(Table4[[#This Row],[linear?]],Table4[[#This Row],[av]],10^(Table4[[#This Row],[av]]/10))</f>
        <v>3.982217654320988</v>
      </c>
      <c r="X184" s="2">
        <f>Table4[[#This Row],[av_lin]]-2*Table4[[#This Row],[std_lin]]</f>
        <v>-3.982217654320988</v>
      </c>
      <c r="Y184" s="2">
        <f>Table4[[#This Row],[av_lin]]+2*Table4[[#This Row],[std_lin]]</f>
        <v>11.946652962962965</v>
      </c>
    </row>
    <row r="185" spans="1:25" x14ac:dyDescent="0.35">
      <c r="A185" s="1">
        <v>1884</v>
      </c>
      <c r="B185" t="s">
        <v>829</v>
      </c>
      <c r="C185" t="s">
        <v>549</v>
      </c>
      <c r="D185" t="s">
        <v>776</v>
      </c>
      <c r="E185" s="2">
        <v>0.9950608641975307</v>
      </c>
      <c r="F185" s="2">
        <v>2.359030916599844E-3</v>
      </c>
      <c r="G185">
        <v>27</v>
      </c>
      <c r="H185" t="s">
        <v>58</v>
      </c>
      <c r="I185" s="2">
        <v>0.85</v>
      </c>
      <c r="J185" s="2">
        <v>1.2</v>
      </c>
      <c r="K185" s="2">
        <v>1.0249999999999999</v>
      </c>
      <c r="L185" s="2">
        <v>0.35</v>
      </c>
      <c r="M185" s="2">
        <v>0.99977892603073037</v>
      </c>
      <c r="N185" s="2">
        <v>0.99034280236433103</v>
      </c>
      <c r="O185" s="2">
        <v>9.4361236663993431E-3</v>
      </c>
      <c r="P185" s="2">
        <v>421.80916629602621</v>
      </c>
      <c r="Q185" s="2">
        <v>37.091502016479367</v>
      </c>
      <c r="R185" t="str">
        <f t="shared" si="6"/>
        <v>yes</v>
      </c>
      <c r="S185" t="str">
        <f t="shared" si="7"/>
        <v>yes</v>
      </c>
      <c r="T18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5" s="2" t="b">
        <f t="shared" si="8"/>
        <v>1</v>
      </c>
      <c r="V185" s="2">
        <f>IF(Table4[[#This Row],[linear?]],Table4[[#This Row],[av]],10^(Table4[[#This Row],[av]]/10))</f>
        <v>0.9950608641975307</v>
      </c>
      <c r="W185" s="2">
        <f>IF(Table4[[#This Row],[linear?]],Table4[[#This Row],[av]],10^(Table4[[#This Row],[av]]/10))</f>
        <v>0.9950608641975307</v>
      </c>
      <c r="X185" s="2">
        <f>Table4[[#This Row],[av_lin]]-2*Table4[[#This Row],[std_lin]]</f>
        <v>-0.9950608641975307</v>
      </c>
      <c r="Y185" s="2">
        <f>Table4[[#This Row],[av_lin]]+2*Table4[[#This Row],[std_lin]]</f>
        <v>2.9851825925925919</v>
      </c>
    </row>
    <row r="186" spans="1:25" x14ac:dyDescent="0.35">
      <c r="A186" s="1">
        <v>1886</v>
      </c>
      <c r="B186" t="s">
        <v>829</v>
      </c>
      <c r="C186" t="s">
        <v>549</v>
      </c>
      <c r="D186" t="s">
        <v>778</v>
      </c>
      <c r="E186" s="2">
        <v>1.501025432098765</v>
      </c>
      <c r="F186" s="2">
        <v>3.3557772110269909E-3</v>
      </c>
      <c r="G186">
        <v>27</v>
      </c>
      <c r="H186" t="s">
        <v>58</v>
      </c>
      <c r="I186" s="2">
        <v>1.35</v>
      </c>
      <c r="J186" s="2">
        <v>1.65</v>
      </c>
      <c r="K186" s="2">
        <v>1.5</v>
      </c>
      <c r="L186" s="2">
        <v>0.29999999999999982</v>
      </c>
      <c r="M186" s="2">
        <v>1.507736986520819</v>
      </c>
      <c r="N186" s="2">
        <v>1.4943138776767111</v>
      </c>
      <c r="O186" s="2">
        <v>1.342310884410791E-2</v>
      </c>
      <c r="P186" s="2">
        <v>447.29591319901601</v>
      </c>
      <c r="Q186" s="2">
        <v>22.349517051832979</v>
      </c>
      <c r="R186" t="str">
        <f t="shared" si="6"/>
        <v>yes</v>
      </c>
      <c r="S186" t="str">
        <f t="shared" si="7"/>
        <v>yes</v>
      </c>
      <c r="T18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6" s="2" t="b">
        <f t="shared" si="8"/>
        <v>1</v>
      </c>
      <c r="V186" s="2">
        <f>IF(Table4[[#This Row],[linear?]],Table4[[#This Row],[av]],10^(Table4[[#This Row],[av]]/10))</f>
        <v>1.501025432098765</v>
      </c>
      <c r="W186" s="2">
        <f>IF(Table4[[#This Row],[linear?]],Table4[[#This Row],[av]],10^(Table4[[#This Row],[av]]/10))</f>
        <v>1.501025432098765</v>
      </c>
      <c r="X186" s="2">
        <f>Table4[[#This Row],[av_lin]]-2*Table4[[#This Row],[std_lin]]</f>
        <v>-1.501025432098765</v>
      </c>
      <c r="Y186" s="2">
        <f>Table4[[#This Row],[av_lin]]+2*Table4[[#This Row],[std_lin]]</f>
        <v>4.5030762962962951</v>
      </c>
    </row>
    <row r="187" spans="1:25" x14ac:dyDescent="0.35">
      <c r="A187" s="1">
        <v>1888</v>
      </c>
      <c r="B187" t="s">
        <v>829</v>
      </c>
      <c r="C187" t="s">
        <v>549</v>
      </c>
      <c r="D187" t="s">
        <v>780</v>
      </c>
      <c r="E187" s="2">
        <v>35.913449629629639</v>
      </c>
      <c r="F187" s="2">
        <v>0.1058341378245686</v>
      </c>
      <c r="G187">
        <v>27</v>
      </c>
      <c r="H187" t="s">
        <v>58</v>
      </c>
      <c r="I187" s="2">
        <v>34.5</v>
      </c>
      <c r="J187" s="2">
        <v>37</v>
      </c>
      <c r="K187" s="2">
        <v>35.75</v>
      </c>
      <c r="L187" s="2">
        <v>2.5</v>
      </c>
      <c r="M187" s="2">
        <v>36.125117905278778</v>
      </c>
      <c r="N187" s="2">
        <v>35.7017813539805</v>
      </c>
      <c r="O187" s="2">
        <v>0.42333655129827719</v>
      </c>
      <c r="P187" s="2">
        <v>339.33710207154542</v>
      </c>
      <c r="Q187" s="2">
        <v>5.9054669206641073</v>
      </c>
      <c r="R187" t="str">
        <f t="shared" si="6"/>
        <v>yes</v>
      </c>
      <c r="S187" t="str">
        <f t="shared" si="7"/>
        <v>yes</v>
      </c>
      <c r="T18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7" s="2" t="b">
        <f t="shared" si="8"/>
        <v>1</v>
      </c>
      <c r="V187" s="2">
        <f>IF(Table4[[#This Row],[linear?]],Table4[[#This Row],[av]],10^(Table4[[#This Row],[av]]/10))</f>
        <v>35.913449629629639</v>
      </c>
      <c r="W187" s="2">
        <f>IF(Table4[[#This Row],[linear?]],Table4[[#This Row],[av]],10^(Table4[[#This Row],[av]]/10))</f>
        <v>35.913449629629639</v>
      </c>
      <c r="X187" s="2">
        <f>Table4[[#This Row],[av_lin]]-2*Table4[[#This Row],[std_lin]]</f>
        <v>-35.913449629629639</v>
      </c>
      <c r="Y187" s="2">
        <f>Table4[[#This Row],[av_lin]]+2*Table4[[#This Row],[std_lin]]</f>
        <v>107.74034888888892</v>
      </c>
    </row>
    <row r="188" spans="1:25" x14ac:dyDescent="0.35">
      <c r="A188" s="1">
        <v>1890</v>
      </c>
      <c r="B188" t="s">
        <v>829</v>
      </c>
      <c r="C188" t="s">
        <v>549</v>
      </c>
      <c r="D188" t="s">
        <v>782</v>
      </c>
      <c r="E188" s="2">
        <v>0.99720259259259236</v>
      </c>
      <c r="F188" s="2">
        <v>1.481250772538823E-3</v>
      </c>
      <c r="G188">
        <v>27</v>
      </c>
      <c r="H188" t="s">
        <v>58</v>
      </c>
      <c r="I188" s="2">
        <v>0.85</v>
      </c>
      <c r="J188" s="2">
        <v>1.2</v>
      </c>
      <c r="K188" s="2">
        <v>1.0249999999999999</v>
      </c>
      <c r="L188" s="2">
        <v>0.35</v>
      </c>
      <c r="M188" s="2">
        <v>1.0001650941376701</v>
      </c>
      <c r="N188" s="2">
        <v>0.99424009104751476</v>
      </c>
      <c r="O188" s="2">
        <v>5.9250030901553119E-3</v>
      </c>
      <c r="P188" s="2">
        <v>673.21658903401931</v>
      </c>
      <c r="Q188" s="2">
        <v>59.071699149244743</v>
      </c>
      <c r="R188" t="str">
        <f t="shared" si="6"/>
        <v>yes</v>
      </c>
      <c r="S188" t="str">
        <f t="shared" si="7"/>
        <v>yes</v>
      </c>
      <c r="T18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8" s="2" t="b">
        <f t="shared" si="8"/>
        <v>1</v>
      </c>
      <c r="V188" s="2">
        <f>IF(Table4[[#This Row],[linear?]],Table4[[#This Row],[av]],10^(Table4[[#This Row],[av]]/10))</f>
        <v>0.99720259259259236</v>
      </c>
      <c r="W188" s="2">
        <f>IF(Table4[[#This Row],[linear?]],Table4[[#This Row],[av]],10^(Table4[[#This Row],[av]]/10))</f>
        <v>0.99720259259259236</v>
      </c>
      <c r="X188" s="2">
        <f>Table4[[#This Row],[av_lin]]-2*Table4[[#This Row],[std_lin]]</f>
        <v>-0.99720259259259236</v>
      </c>
      <c r="Y188" s="2">
        <f>Table4[[#This Row],[av_lin]]+2*Table4[[#This Row],[std_lin]]</f>
        <v>2.991607777777777</v>
      </c>
    </row>
    <row r="189" spans="1:25" x14ac:dyDescent="0.35">
      <c r="A189" s="1">
        <v>1892</v>
      </c>
      <c r="B189" t="s">
        <v>829</v>
      </c>
      <c r="C189" t="s">
        <v>549</v>
      </c>
      <c r="D189" t="s">
        <v>784</v>
      </c>
      <c r="E189" s="2">
        <v>1.502266049382716</v>
      </c>
      <c r="F189" s="2">
        <v>6.3116828007806084E-3</v>
      </c>
      <c r="G189">
        <v>27</v>
      </c>
      <c r="H189" t="s">
        <v>58</v>
      </c>
      <c r="I189" s="2">
        <v>1.35</v>
      </c>
      <c r="J189" s="2">
        <v>1.65</v>
      </c>
      <c r="K189" s="2">
        <v>1.5</v>
      </c>
      <c r="L189" s="2">
        <v>0.29999999999999982</v>
      </c>
      <c r="M189" s="2">
        <v>1.5148894149842771</v>
      </c>
      <c r="N189" s="2">
        <v>1.4896426837811549</v>
      </c>
      <c r="O189" s="2">
        <v>2.52467312031226E-2</v>
      </c>
      <c r="P189" s="2">
        <v>238.01355308871359</v>
      </c>
      <c r="Q189" s="2">
        <v>11.88272642451609</v>
      </c>
      <c r="R189" t="str">
        <f t="shared" si="6"/>
        <v>yes</v>
      </c>
      <c r="S189" t="str">
        <f t="shared" si="7"/>
        <v>yes</v>
      </c>
      <c r="T18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9" s="2" t="b">
        <f t="shared" si="8"/>
        <v>1</v>
      </c>
      <c r="V189" s="2">
        <f>IF(Table4[[#This Row],[linear?]],Table4[[#This Row],[av]],10^(Table4[[#This Row],[av]]/10))</f>
        <v>1.502266049382716</v>
      </c>
      <c r="W189" s="2">
        <f>IF(Table4[[#This Row],[linear?]],Table4[[#This Row],[av]],10^(Table4[[#This Row],[av]]/10))</f>
        <v>1.502266049382716</v>
      </c>
      <c r="X189" s="2">
        <f>Table4[[#This Row],[av_lin]]-2*Table4[[#This Row],[std_lin]]</f>
        <v>-1.502266049382716</v>
      </c>
      <c r="Y189" s="2">
        <f>Table4[[#This Row],[av_lin]]+2*Table4[[#This Row],[std_lin]]</f>
        <v>4.5067981481481478</v>
      </c>
    </row>
    <row r="190" spans="1:25" x14ac:dyDescent="0.35">
      <c r="A190" s="1">
        <v>1894</v>
      </c>
      <c r="B190" t="s">
        <v>829</v>
      </c>
      <c r="C190" t="s">
        <v>549</v>
      </c>
      <c r="D190" t="s">
        <v>786</v>
      </c>
      <c r="E190" s="2">
        <v>35.96123469135803</v>
      </c>
      <c r="F190" s="2">
        <v>7.929976926534052E-2</v>
      </c>
      <c r="G190">
        <v>27</v>
      </c>
      <c r="H190" t="s">
        <v>58</v>
      </c>
      <c r="I190" s="2">
        <v>34.5</v>
      </c>
      <c r="J190" s="2">
        <v>37</v>
      </c>
      <c r="K190" s="2">
        <v>35.75</v>
      </c>
      <c r="L190" s="2">
        <v>2.5</v>
      </c>
      <c r="M190" s="2">
        <v>36.11983422988871</v>
      </c>
      <c r="N190" s="2">
        <v>35.802635152827349</v>
      </c>
      <c r="O190" s="2">
        <v>0.31719907706136041</v>
      </c>
      <c r="P190" s="2">
        <v>453.48473298869447</v>
      </c>
      <c r="Q190" s="2">
        <v>7.8814857318023934</v>
      </c>
      <c r="R190" t="str">
        <f t="shared" si="6"/>
        <v>yes</v>
      </c>
      <c r="S190" t="str">
        <f t="shared" si="7"/>
        <v>yes</v>
      </c>
      <c r="T19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0" s="2" t="b">
        <f t="shared" si="8"/>
        <v>1</v>
      </c>
      <c r="V190" s="2">
        <f>IF(Table4[[#This Row],[linear?]],Table4[[#This Row],[av]],10^(Table4[[#This Row],[av]]/10))</f>
        <v>35.96123469135803</v>
      </c>
      <c r="W190" s="2">
        <f>IF(Table4[[#This Row],[linear?]],Table4[[#This Row],[av]],10^(Table4[[#This Row],[av]]/10))</f>
        <v>35.96123469135803</v>
      </c>
      <c r="X190" s="2">
        <f>Table4[[#This Row],[av_lin]]-2*Table4[[#This Row],[std_lin]]</f>
        <v>-35.96123469135803</v>
      </c>
      <c r="Y190" s="2">
        <f>Table4[[#This Row],[av_lin]]+2*Table4[[#This Row],[std_lin]]</f>
        <v>107.88370407407409</v>
      </c>
    </row>
    <row r="191" spans="1:25" x14ac:dyDescent="0.35">
      <c r="A191" s="1">
        <v>1896</v>
      </c>
      <c r="B191" t="s">
        <v>829</v>
      </c>
      <c r="C191" t="s">
        <v>549</v>
      </c>
      <c r="D191" t="s">
        <v>788</v>
      </c>
      <c r="E191" s="2">
        <v>0.9945477777777777</v>
      </c>
      <c r="F191" s="2">
        <v>3.0509058872537679E-3</v>
      </c>
      <c r="G191">
        <v>27</v>
      </c>
      <c r="H191" t="s">
        <v>58</v>
      </c>
      <c r="I191" s="2">
        <v>0.85</v>
      </c>
      <c r="J191" s="2">
        <v>1.2</v>
      </c>
      <c r="K191" s="2">
        <v>1.0249999999999999</v>
      </c>
      <c r="L191" s="2">
        <v>0.35</v>
      </c>
      <c r="M191" s="2">
        <v>1.0006495895522849</v>
      </c>
      <c r="N191" s="2">
        <v>0.98844596600327017</v>
      </c>
      <c r="O191" s="2">
        <v>1.220362354901516E-2</v>
      </c>
      <c r="P191" s="2">
        <v>325.98441726205021</v>
      </c>
      <c r="Q191" s="2">
        <v>28.680006277991509</v>
      </c>
      <c r="R191" t="str">
        <f t="shared" si="6"/>
        <v>yes</v>
      </c>
      <c r="S191" t="str">
        <f t="shared" si="7"/>
        <v>yes</v>
      </c>
      <c r="T19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1" s="2" t="b">
        <f t="shared" si="8"/>
        <v>1</v>
      </c>
      <c r="V191" s="2">
        <f>IF(Table4[[#This Row],[linear?]],Table4[[#This Row],[av]],10^(Table4[[#This Row],[av]]/10))</f>
        <v>0.9945477777777777</v>
      </c>
      <c r="W191" s="2">
        <f>IF(Table4[[#This Row],[linear?]],Table4[[#This Row],[av]],10^(Table4[[#This Row],[av]]/10))</f>
        <v>0.9945477777777777</v>
      </c>
      <c r="X191" s="2">
        <f>Table4[[#This Row],[av_lin]]-2*Table4[[#This Row],[std_lin]]</f>
        <v>-0.9945477777777777</v>
      </c>
      <c r="Y191" s="2">
        <f>Table4[[#This Row],[av_lin]]+2*Table4[[#This Row],[std_lin]]</f>
        <v>2.9836433333333332</v>
      </c>
    </row>
    <row r="192" spans="1:25" x14ac:dyDescent="0.35">
      <c r="A192" s="1">
        <v>1898</v>
      </c>
      <c r="B192" t="s">
        <v>829</v>
      </c>
      <c r="C192" t="s">
        <v>549</v>
      </c>
      <c r="D192" t="s">
        <v>790</v>
      </c>
      <c r="E192" s="2">
        <v>1.499190987654321</v>
      </c>
      <c r="F192" s="2">
        <v>4.1490324427402442E-3</v>
      </c>
      <c r="G192">
        <v>27</v>
      </c>
      <c r="H192" t="s">
        <v>58</v>
      </c>
      <c r="I192" s="2">
        <v>1.35</v>
      </c>
      <c r="J192" s="2">
        <v>1.65</v>
      </c>
      <c r="K192" s="2">
        <v>1.5</v>
      </c>
      <c r="L192" s="2">
        <v>0.29999999999999982</v>
      </c>
      <c r="M192" s="2">
        <v>1.507489052539801</v>
      </c>
      <c r="N192" s="2">
        <v>1.490892922768841</v>
      </c>
      <c r="O192" s="2">
        <v>1.6596129770960921E-2</v>
      </c>
      <c r="P192" s="2">
        <v>361.33508434659882</v>
      </c>
      <c r="Q192" s="2">
        <v>18.076503627063989</v>
      </c>
      <c r="R192" t="str">
        <f t="shared" si="6"/>
        <v>yes</v>
      </c>
      <c r="S192" t="str">
        <f t="shared" si="7"/>
        <v>yes</v>
      </c>
      <c r="T19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2" s="2" t="b">
        <f t="shared" si="8"/>
        <v>1</v>
      </c>
      <c r="V192" s="2">
        <f>IF(Table4[[#This Row],[linear?]],Table4[[#This Row],[av]],10^(Table4[[#This Row],[av]]/10))</f>
        <v>1.499190987654321</v>
      </c>
      <c r="W192" s="2">
        <f>IF(Table4[[#This Row],[linear?]],Table4[[#This Row],[av]],10^(Table4[[#This Row],[av]]/10))</f>
        <v>1.499190987654321</v>
      </c>
      <c r="X192" s="2">
        <f>Table4[[#This Row],[av_lin]]-2*Table4[[#This Row],[std_lin]]</f>
        <v>-1.499190987654321</v>
      </c>
      <c r="Y192" s="2">
        <f>Table4[[#This Row],[av_lin]]+2*Table4[[#This Row],[std_lin]]</f>
        <v>4.4975729629629626</v>
      </c>
    </row>
    <row r="193" spans="1:25" x14ac:dyDescent="0.35">
      <c r="A193" s="1">
        <v>1900</v>
      </c>
      <c r="B193" t="s">
        <v>829</v>
      </c>
      <c r="C193" t="s">
        <v>549</v>
      </c>
      <c r="D193" t="s">
        <v>792</v>
      </c>
      <c r="E193" s="2">
        <v>35.845508518518507</v>
      </c>
      <c r="F193" s="2">
        <v>9.2902910047585024E-2</v>
      </c>
      <c r="G193">
        <v>27</v>
      </c>
      <c r="H193" t="s">
        <v>58</v>
      </c>
      <c r="I193" s="2">
        <v>34.5</v>
      </c>
      <c r="J193" s="2">
        <v>37</v>
      </c>
      <c r="K193" s="2">
        <v>35.75</v>
      </c>
      <c r="L193" s="2">
        <v>2.5</v>
      </c>
      <c r="M193" s="2">
        <v>36.031314338613683</v>
      </c>
      <c r="N193" s="2">
        <v>35.659702698423338</v>
      </c>
      <c r="O193" s="2">
        <v>0.37161164019033782</v>
      </c>
      <c r="P193" s="2">
        <v>385.83838224398329</v>
      </c>
      <c r="Q193" s="2">
        <v>6.7274534207795851</v>
      </c>
      <c r="R193" t="str">
        <f t="shared" si="6"/>
        <v>yes</v>
      </c>
      <c r="S193" t="str">
        <f t="shared" si="7"/>
        <v>yes</v>
      </c>
      <c r="T19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3" s="2" t="b">
        <f t="shared" si="8"/>
        <v>1</v>
      </c>
      <c r="V193" s="2">
        <f>IF(Table4[[#This Row],[linear?]],Table4[[#This Row],[av]],10^(Table4[[#This Row],[av]]/10))</f>
        <v>35.845508518518507</v>
      </c>
      <c r="W193" s="2">
        <f>IF(Table4[[#This Row],[linear?]],Table4[[#This Row],[av]],10^(Table4[[#This Row],[av]]/10))</f>
        <v>35.845508518518507</v>
      </c>
      <c r="X193" s="2">
        <f>Table4[[#This Row],[av_lin]]-2*Table4[[#This Row],[std_lin]]</f>
        <v>-35.845508518518507</v>
      </c>
      <c r="Y193" s="2">
        <f>Table4[[#This Row],[av_lin]]+2*Table4[[#This Row],[std_lin]]</f>
        <v>107.53652555555553</v>
      </c>
    </row>
    <row r="194" spans="1:25" x14ac:dyDescent="0.35">
      <c r="A194" s="1">
        <v>1901</v>
      </c>
      <c r="B194" t="s">
        <v>829</v>
      </c>
      <c r="C194" t="s">
        <v>549</v>
      </c>
      <c r="D194" t="s">
        <v>793</v>
      </c>
      <c r="E194" s="2">
        <v>1.8026111111111109</v>
      </c>
      <c r="F194" s="2">
        <v>4.5370452304047586E-3</v>
      </c>
      <c r="G194">
        <v>27</v>
      </c>
      <c r="H194" t="s">
        <v>58</v>
      </c>
      <c r="I194" s="2">
        <v>1.62</v>
      </c>
      <c r="J194" s="2">
        <v>1.98</v>
      </c>
      <c r="K194" s="2">
        <v>1.8</v>
      </c>
      <c r="L194" s="2">
        <v>0.35999999999999988</v>
      </c>
      <c r="M194" s="2">
        <v>1.81168520157192</v>
      </c>
      <c r="N194" s="2">
        <v>1.793537020650301</v>
      </c>
      <c r="O194" s="2">
        <v>1.8148180921619069E-2</v>
      </c>
      <c r="P194" s="2">
        <v>397.30948658633861</v>
      </c>
      <c r="Q194" s="2">
        <v>19.836698871077971</v>
      </c>
      <c r="R194" t="str">
        <f t="shared" ref="R194:R257" si="9">IF(H194="yes","yes","no")</f>
        <v>yes</v>
      </c>
      <c r="S194" t="str">
        <f t="shared" ref="S194:S257" si="10">IF(I194,"yes","no")</f>
        <v>yes</v>
      </c>
      <c r="T19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4" s="2" t="b">
        <f t="shared" ref="U194:U257" si="11">NOT(ISNUMBER(SEARCH("RFIC*POWER", D194)))</f>
        <v>1</v>
      </c>
      <c r="V194" s="2">
        <f>IF(Table4[[#This Row],[linear?]],Table4[[#This Row],[av]],10^(Table4[[#This Row],[av]]/10))</f>
        <v>1.8026111111111109</v>
      </c>
      <c r="W194" s="2">
        <f>IF(Table4[[#This Row],[linear?]],Table4[[#This Row],[av]],10^(Table4[[#This Row],[av]]/10))</f>
        <v>1.8026111111111109</v>
      </c>
      <c r="X194" s="2">
        <f>Table4[[#This Row],[av_lin]]-2*Table4[[#This Row],[std_lin]]</f>
        <v>-1.8026111111111109</v>
      </c>
      <c r="Y194" s="2">
        <f>Table4[[#This Row],[av_lin]]+2*Table4[[#This Row],[std_lin]]</f>
        <v>5.4078333333333326</v>
      </c>
    </row>
    <row r="195" spans="1:25" x14ac:dyDescent="0.35">
      <c r="A195" s="1">
        <v>1906</v>
      </c>
      <c r="B195" t="s">
        <v>829</v>
      </c>
      <c r="C195" t="s">
        <v>549</v>
      </c>
      <c r="D195" t="s">
        <v>798</v>
      </c>
      <c r="E195" s="2">
        <v>3.97038901234568</v>
      </c>
      <c r="F195" s="2">
        <v>1.3397270493696999E-2</v>
      </c>
      <c r="G195">
        <v>27</v>
      </c>
      <c r="H195" t="s">
        <v>58</v>
      </c>
      <c r="I195" s="2">
        <v>3.6</v>
      </c>
      <c r="J195" s="2">
        <v>4.4000000000000004</v>
      </c>
      <c r="K195" s="2">
        <v>4</v>
      </c>
      <c r="L195" s="2">
        <v>0.80000000000000027</v>
      </c>
      <c r="M195" s="2">
        <v>3.9971835533330742</v>
      </c>
      <c r="N195" s="2">
        <v>3.9435944713582858</v>
      </c>
      <c r="O195" s="2">
        <v>5.35890819747884E-2</v>
      </c>
      <c r="P195" s="2">
        <v>296.35805399417927</v>
      </c>
      <c r="Q195" s="2">
        <v>14.928413970151039</v>
      </c>
      <c r="R195" t="str">
        <f t="shared" si="9"/>
        <v>yes</v>
      </c>
      <c r="S195" t="str">
        <f t="shared" si="10"/>
        <v>yes</v>
      </c>
      <c r="T19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5" s="2" t="b">
        <f t="shared" si="11"/>
        <v>1</v>
      </c>
      <c r="V195" s="2">
        <f>IF(Table4[[#This Row],[linear?]],Table4[[#This Row],[av]],10^(Table4[[#This Row],[av]]/10))</f>
        <v>3.97038901234568</v>
      </c>
      <c r="W195" s="2">
        <f>IF(Table4[[#This Row],[linear?]],Table4[[#This Row],[av]],10^(Table4[[#This Row],[av]]/10))</f>
        <v>3.97038901234568</v>
      </c>
      <c r="X195" s="2">
        <f>Table4[[#This Row],[av_lin]]-2*Table4[[#This Row],[std_lin]]</f>
        <v>-3.97038901234568</v>
      </c>
      <c r="Y195" s="2">
        <f>Table4[[#This Row],[av_lin]]+2*Table4[[#This Row],[std_lin]]</f>
        <v>11.911167037037039</v>
      </c>
    </row>
    <row r="196" spans="1:25" x14ac:dyDescent="0.35">
      <c r="A196" s="1">
        <v>1910</v>
      </c>
      <c r="B196" t="s">
        <v>829</v>
      </c>
      <c r="C196" t="s">
        <v>549</v>
      </c>
      <c r="D196" t="s">
        <v>802</v>
      </c>
      <c r="E196" s="2">
        <v>1.801513456790123</v>
      </c>
      <c r="F196" s="2">
        <v>6.3121166147215874E-3</v>
      </c>
      <c r="G196">
        <v>27</v>
      </c>
      <c r="H196" t="s">
        <v>58</v>
      </c>
      <c r="I196" s="2">
        <v>1.62</v>
      </c>
      <c r="J196" s="2">
        <v>1.98</v>
      </c>
      <c r="K196" s="2">
        <v>1.8</v>
      </c>
      <c r="L196" s="2">
        <v>0.35999999999999988</v>
      </c>
      <c r="M196" s="2">
        <v>1.814137690019566</v>
      </c>
      <c r="N196" s="2">
        <v>1.7888892235606799</v>
      </c>
      <c r="O196" s="2">
        <v>2.5248466458886561E-2</v>
      </c>
      <c r="P196" s="2">
        <v>285.40560429262342</v>
      </c>
      <c r="Q196" s="2">
        <v>14.25829170996216</v>
      </c>
      <c r="R196" t="str">
        <f t="shared" si="9"/>
        <v>yes</v>
      </c>
      <c r="S196" t="str">
        <f t="shared" si="10"/>
        <v>yes</v>
      </c>
      <c r="T19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6" s="2" t="b">
        <f t="shared" si="11"/>
        <v>1</v>
      </c>
      <c r="V196" s="2">
        <f>IF(Table4[[#This Row],[linear?]],Table4[[#This Row],[av]],10^(Table4[[#This Row],[av]]/10))</f>
        <v>1.801513456790123</v>
      </c>
      <c r="W196" s="2">
        <f>IF(Table4[[#This Row],[linear?]],Table4[[#This Row],[av]],10^(Table4[[#This Row],[av]]/10))</f>
        <v>1.801513456790123</v>
      </c>
      <c r="X196" s="2">
        <f>Table4[[#This Row],[av_lin]]-2*Table4[[#This Row],[std_lin]]</f>
        <v>-1.801513456790123</v>
      </c>
      <c r="Y196" s="2">
        <f>Table4[[#This Row],[av_lin]]+2*Table4[[#This Row],[std_lin]]</f>
        <v>5.4045403703703689</v>
      </c>
    </row>
    <row r="197" spans="1:25" x14ac:dyDescent="0.35">
      <c r="A197" s="1">
        <v>1915</v>
      </c>
      <c r="B197" t="s">
        <v>829</v>
      </c>
      <c r="C197" t="s">
        <v>549</v>
      </c>
      <c r="D197" t="s">
        <v>807</v>
      </c>
      <c r="E197" s="2">
        <v>3.981988888888889</v>
      </c>
      <c r="F197" s="2">
        <v>1.2586077838272119E-2</v>
      </c>
      <c r="G197">
        <v>27</v>
      </c>
      <c r="H197" t="s">
        <v>58</v>
      </c>
      <c r="I197" s="2">
        <v>3.6</v>
      </c>
      <c r="J197" s="2">
        <v>4.4000000000000004</v>
      </c>
      <c r="K197" s="2">
        <v>4</v>
      </c>
      <c r="L197" s="2">
        <v>0.80000000000000027</v>
      </c>
      <c r="M197" s="2">
        <v>4.0071610445654331</v>
      </c>
      <c r="N197" s="2">
        <v>3.9568167332123449</v>
      </c>
      <c r="O197" s="2">
        <v>5.0344311353088138E-2</v>
      </c>
      <c r="P197" s="2">
        <v>316.38044353899818</v>
      </c>
      <c r="Q197" s="2">
        <v>15.890573899983</v>
      </c>
      <c r="R197" t="str">
        <f t="shared" si="9"/>
        <v>yes</v>
      </c>
      <c r="S197" t="str">
        <f t="shared" si="10"/>
        <v>yes</v>
      </c>
      <c r="T19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7" s="2" t="b">
        <f t="shared" si="11"/>
        <v>1</v>
      </c>
      <c r="V197" s="2">
        <f>IF(Table4[[#This Row],[linear?]],Table4[[#This Row],[av]],10^(Table4[[#This Row],[av]]/10))</f>
        <v>3.981988888888889</v>
      </c>
      <c r="W197" s="2">
        <f>IF(Table4[[#This Row],[linear?]],Table4[[#This Row],[av]],10^(Table4[[#This Row],[av]]/10))</f>
        <v>3.981988888888889</v>
      </c>
      <c r="X197" s="2">
        <f>Table4[[#This Row],[av_lin]]-2*Table4[[#This Row],[std_lin]]</f>
        <v>-3.981988888888889</v>
      </c>
      <c r="Y197" s="2">
        <f>Table4[[#This Row],[av_lin]]+2*Table4[[#This Row],[std_lin]]</f>
        <v>11.945966666666667</v>
      </c>
    </row>
    <row r="198" spans="1:25" x14ac:dyDescent="0.35">
      <c r="A198" s="1">
        <v>1919</v>
      </c>
      <c r="B198" t="s">
        <v>829</v>
      </c>
      <c r="C198" t="s">
        <v>549</v>
      </c>
      <c r="D198" t="s">
        <v>811</v>
      </c>
      <c r="E198" s="2">
        <v>1.801102098765432</v>
      </c>
      <c r="F198" s="2">
        <v>4.2834135435443534E-3</v>
      </c>
      <c r="G198">
        <v>27</v>
      </c>
      <c r="H198" t="s">
        <v>58</v>
      </c>
      <c r="I198" s="2">
        <v>1.62</v>
      </c>
      <c r="J198" s="2">
        <v>1.98</v>
      </c>
      <c r="K198" s="2">
        <v>1.8</v>
      </c>
      <c r="L198" s="2">
        <v>0.35999999999999988</v>
      </c>
      <c r="M198" s="2">
        <v>1.8096689258525209</v>
      </c>
      <c r="N198" s="2">
        <v>1.7925352716783429</v>
      </c>
      <c r="O198" s="2">
        <v>1.7133654174177341E-2</v>
      </c>
      <c r="P198" s="2">
        <v>420.48288834495582</v>
      </c>
      <c r="Q198" s="2">
        <v>21.01127969202081</v>
      </c>
      <c r="R198" t="str">
        <f t="shared" si="9"/>
        <v>yes</v>
      </c>
      <c r="S198" t="str">
        <f t="shared" si="10"/>
        <v>yes</v>
      </c>
      <c r="T19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8" s="2" t="b">
        <f t="shared" si="11"/>
        <v>1</v>
      </c>
      <c r="V198" s="2">
        <f>IF(Table4[[#This Row],[linear?]],Table4[[#This Row],[av]],10^(Table4[[#This Row],[av]]/10))</f>
        <v>1.801102098765432</v>
      </c>
      <c r="W198" s="2">
        <f>IF(Table4[[#This Row],[linear?]],Table4[[#This Row],[av]],10^(Table4[[#This Row],[av]]/10))</f>
        <v>1.801102098765432</v>
      </c>
      <c r="X198" s="2">
        <f>Table4[[#This Row],[av_lin]]-2*Table4[[#This Row],[std_lin]]</f>
        <v>-1.801102098765432</v>
      </c>
      <c r="Y198" s="2">
        <f>Table4[[#This Row],[av_lin]]+2*Table4[[#This Row],[std_lin]]</f>
        <v>5.4033062962962966</v>
      </c>
    </row>
    <row r="199" spans="1:25" x14ac:dyDescent="0.35">
      <c r="A199" s="1">
        <v>1924</v>
      </c>
      <c r="B199" t="s">
        <v>829</v>
      </c>
      <c r="C199" t="s">
        <v>549</v>
      </c>
      <c r="D199" t="s">
        <v>816</v>
      </c>
      <c r="E199" s="2">
        <v>3.9667340740740751</v>
      </c>
      <c r="F199" s="2">
        <v>1.1785721950795809E-2</v>
      </c>
      <c r="G199">
        <v>27</v>
      </c>
      <c r="H199" t="s">
        <v>58</v>
      </c>
      <c r="I199" s="2">
        <v>3.6</v>
      </c>
      <c r="J199" s="2">
        <v>4.4000000000000004</v>
      </c>
      <c r="K199" s="2">
        <v>4</v>
      </c>
      <c r="L199" s="2">
        <v>0.80000000000000027</v>
      </c>
      <c r="M199" s="2">
        <v>3.990305517975667</v>
      </c>
      <c r="N199" s="2">
        <v>3.943162630172484</v>
      </c>
      <c r="O199" s="2">
        <v>4.7142887803182987E-2</v>
      </c>
      <c r="P199" s="2">
        <v>336.57115708607301</v>
      </c>
      <c r="Q199" s="2">
        <v>16.969685933113031</v>
      </c>
      <c r="R199" t="str">
        <f t="shared" si="9"/>
        <v>yes</v>
      </c>
      <c r="S199" t="str">
        <f t="shared" si="10"/>
        <v>yes</v>
      </c>
      <c r="T19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9" s="2" t="b">
        <f t="shared" si="11"/>
        <v>1</v>
      </c>
      <c r="V199" s="2">
        <f>IF(Table4[[#This Row],[linear?]],Table4[[#This Row],[av]],10^(Table4[[#This Row],[av]]/10))</f>
        <v>3.9667340740740751</v>
      </c>
      <c r="W199" s="2">
        <f>IF(Table4[[#This Row],[linear?]],Table4[[#This Row],[av]],10^(Table4[[#This Row],[av]]/10))</f>
        <v>3.9667340740740751</v>
      </c>
      <c r="X199" s="2">
        <f>Table4[[#This Row],[av_lin]]-2*Table4[[#This Row],[std_lin]]</f>
        <v>-3.9667340740740751</v>
      </c>
      <c r="Y199" s="2">
        <f>Table4[[#This Row],[av_lin]]+2*Table4[[#This Row],[std_lin]]</f>
        <v>11.900202222222225</v>
      </c>
    </row>
    <row r="200" spans="1:25" x14ac:dyDescent="0.35">
      <c r="A200" s="1">
        <v>36</v>
      </c>
      <c r="B200" t="s">
        <v>16</v>
      </c>
      <c r="C200" t="s">
        <v>56</v>
      </c>
      <c r="D200" t="s">
        <v>57</v>
      </c>
      <c r="E200" s="2">
        <v>0</v>
      </c>
      <c r="F200" s="2">
        <v>0</v>
      </c>
      <c r="G200">
        <v>45</v>
      </c>
      <c r="H200" t="s">
        <v>58</v>
      </c>
      <c r="M200" s="2">
        <v>0</v>
      </c>
      <c r="N200" s="2">
        <v>0</v>
      </c>
      <c r="O200" s="2">
        <v>0</v>
      </c>
      <c r="R200" t="str">
        <f t="shared" si="9"/>
        <v>yes</v>
      </c>
      <c r="S200" t="str">
        <f t="shared" si="10"/>
        <v>no</v>
      </c>
      <c r="T2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0" s="2" t="b">
        <f t="shared" si="11"/>
        <v>1</v>
      </c>
      <c r="V200" s="2">
        <f>IF(Table4[[#This Row],[linear?]],Table4[[#This Row],[av]],10^(Table4[[#This Row],[av]]/10))</f>
        <v>0</v>
      </c>
      <c r="W200" s="2">
        <f>IF(Table4[[#This Row],[linear?]],Table4[[#This Row],[av]],10^(Table4[[#This Row],[av]]/10))</f>
        <v>0</v>
      </c>
      <c r="X200" s="2">
        <f>Table4[[#This Row],[av_lin]]-2*Table4[[#This Row],[std_lin]]</f>
        <v>0</v>
      </c>
      <c r="Y200" s="2">
        <f>Table4[[#This Row],[av_lin]]+2*Table4[[#This Row],[std_lin]]</f>
        <v>0</v>
      </c>
    </row>
    <row r="201" spans="1:25" x14ac:dyDescent="0.35">
      <c r="A201" s="1">
        <v>37</v>
      </c>
      <c r="B201" t="s">
        <v>16</v>
      </c>
      <c r="C201" t="s">
        <v>56</v>
      </c>
      <c r="D201" t="s">
        <v>59</v>
      </c>
      <c r="E201" s="2">
        <v>0</v>
      </c>
      <c r="F201" s="2">
        <v>0</v>
      </c>
      <c r="G201">
        <v>45</v>
      </c>
      <c r="H201" t="s">
        <v>58</v>
      </c>
      <c r="M201" s="2">
        <v>0</v>
      </c>
      <c r="N201" s="2">
        <v>0</v>
      </c>
      <c r="O201" s="2">
        <v>0</v>
      </c>
      <c r="R201" t="str">
        <f t="shared" si="9"/>
        <v>yes</v>
      </c>
      <c r="S201" t="str">
        <f t="shared" si="10"/>
        <v>no</v>
      </c>
      <c r="T2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1" s="2" t="b">
        <f t="shared" si="11"/>
        <v>1</v>
      </c>
      <c r="V201" s="2">
        <f>IF(Table4[[#This Row],[linear?]],Table4[[#This Row],[av]],10^(Table4[[#This Row],[av]]/10))</f>
        <v>0</v>
      </c>
      <c r="W201" s="2">
        <f>IF(Table4[[#This Row],[linear?]],Table4[[#This Row],[av]],10^(Table4[[#This Row],[av]]/10))</f>
        <v>0</v>
      </c>
      <c r="X201" s="2">
        <f>Table4[[#This Row],[av_lin]]-2*Table4[[#This Row],[std_lin]]</f>
        <v>0</v>
      </c>
      <c r="Y201" s="2">
        <f>Table4[[#This Row],[av_lin]]+2*Table4[[#This Row],[std_lin]]</f>
        <v>0</v>
      </c>
    </row>
    <row r="202" spans="1:25" x14ac:dyDescent="0.35">
      <c r="A202" s="1">
        <v>38</v>
      </c>
      <c r="B202" t="s">
        <v>16</v>
      </c>
      <c r="C202" t="s">
        <v>56</v>
      </c>
      <c r="D202" t="s">
        <v>60</v>
      </c>
      <c r="E202" s="2">
        <v>0</v>
      </c>
      <c r="F202" s="2">
        <v>0</v>
      </c>
      <c r="G202">
        <v>45</v>
      </c>
      <c r="H202" t="s">
        <v>58</v>
      </c>
      <c r="M202" s="2">
        <v>0</v>
      </c>
      <c r="N202" s="2">
        <v>0</v>
      </c>
      <c r="O202" s="2">
        <v>0</v>
      </c>
      <c r="R202" t="str">
        <f t="shared" si="9"/>
        <v>yes</v>
      </c>
      <c r="S202" t="str">
        <f t="shared" si="10"/>
        <v>no</v>
      </c>
      <c r="T2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2" s="2" t="b">
        <f t="shared" si="11"/>
        <v>1</v>
      </c>
      <c r="V202" s="2">
        <f>IF(Table4[[#This Row],[linear?]],Table4[[#This Row],[av]],10^(Table4[[#This Row],[av]]/10))</f>
        <v>0</v>
      </c>
      <c r="W202" s="2">
        <f>IF(Table4[[#This Row],[linear?]],Table4[[#This Row],[av]],10^(Table4[[#This Row],[av]]/10))</f>
        <v>0</v>
      </c>
      <c r="X202" s="2">
        <f>Table4[[#This Row],[av_lin]]-2*Table4[[#This Row],[std_lin]]</f>
        <v>0</v>
      </c>
      <c r="Y202" s="2">
        <f>Table4[[#This Row],[av_lin]]+2*Table4[[#This Row],[std_lin]]</f>
        <v>0</v>
      </c>
    </row>
    <row r="203" spans="1:25" x14ac:dyDescent="0.35">
      <c r="A203" s="1">
        <v>39</v>
      </c>
      <c r="B203" t="s">
        <v>16</v>
      </c>
      <c r="C203" t="s">
        <v>56</v>
      </c>
      <c r="D203" t="s">
        <v>61</v>
      </c>
      <c r="E203" s="2">
        <v>0</v>
      </c>
      <c r="F203" s="2">
        <v>0</v>
      </c>
      <c r="G203">
        <v>45</v>
      </c>
      <c r="H203" t="s">
        <v>58</v>
      </c>
      <c r="M203" s="2">
        <v>0</v>
      </c>
      <c r="N203" s="2">
        <v>0</v>
      </c>
      <c r="O203" s="2">
        <v>0</v>
      </c>
      <c r="R203" t="str">
        <f t="shared" si="9"/>
        <v>yes</v>
      </c>
      <c r="S203" t="str">
        <f t="shared" si="10"/>
        <v>no</v>
      </c>
      <c r="T2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3" s="2" t="b">
        <f t="shared" si="11"/>
        <v>1</v>
      </c>
      <c r="V203" s="2">
        <f>IF(Table4[[#This Row],[linear?]],Table4[[#This Row],[av]],10^(Table4[[#This Row],[av]]/10))</f>
        <v>0</v>
      </c>
      <c r="W203" s="2">
        <f>IF(Table4[[#This Row],[linear?]],Table4[[#This Row],[av]],10^(Table4[[#This Row],[av]]/10))</f>
        <v>0</v>
      </c>
      <c r="X203" s="2">
        <f>Table4[[#This Row],[av_lin]]-2*Table4[[#This Row],[std_lin]]</f>
        <v>0</v>
      </c>
      <c r="Y203" s="2">
        <f>Table4[[#This Row],[av_lin]]+2*Table4[[#This Row],[std_lin]]</f>
        <v>0</v>
      </c>
    </row>
    <row r="204" spans="1:25" x14ac:dyDescent="0.35">
      <c r="A204" s="1">
        <v>40</v>
      </c>
      <c r="B204" t="s">
        <v>16</v>
      </c>
      <c r="C204" t="s">
        <v>56</v>
      </c>
      <c r="D204" t="s">
        <v>62</v>
      </c>
      <c r="E204" s="2">
        <v>0</v>
      </c>
      <c r="F204" s="2">
        <v>0</v>
      </c>
      <c r="G204">
        <v>45</v>
      </c>
      <c r="H204" t="s">
        <v>58</v>
      </c>
      <c r="M204" s="2">
        <v>0</v>
      </c>
      <c r="N204" s="2">
        <v>0</v>
      </c>
      <c r="O204" s="2">
        <v>0</v>
      </c>
      <c r="R204" t="str">
        <f t="shared" si="9"/>
        <v>yes</v>
      </c>
      <c r="S204" t="str">
        <f t="shared" si="10"/>
        <v>no</v>
      </c>
      <c r="T2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4" s="2" t="b">
        <f t="shared" si="11"/>
        <v>1</v>
      </c>
      <c r="V204" s="2">
        <f>IF(Table4[[#This Row],[linear?]],Table4[[#This Row],[av]],10^(Table4[[#This Row],[av]]/10))</f>
        <v>0</v>
      </c>
      <c r="W204" s="2">
        <f>IF(Table4[[#This Row],[linear?]],Table4[[#This Row],[av]],10^(Table4[[#This Row],[av]]/10))</f>
        <v>0</v>
      </c>
      <c r="X204" s="2">
        <f>Table4[[#This Row],[av_lin]]-2*Table4[[#This Row],[std_lin]]</f>
        <v>0</v>
      </c>
      <c r="Y204" s="2">
        <f>Table4[[#This Row],[av_lin]]+2*Table4[[#This Row],[std_lin]]</f>
        <v>0</v>
      </c>
    </row>
    <row r="205" spans="1:25" x14ac:dyDescent="0.35">
      <c r="A205" s="1">
        <v>41</v>
      </c>
      <c r="B205" t="s">
        <v>16</v>
      </c>
      <c r="C205" t="s">
        <v>56</v>
      </c>
      <c r="D205" t="s">
        <v>63</v>
      </c>
      <c r="E205" s="2">
        <v>0</v>
      </c>
      <c r="F205" s="2">
        <v>0</v>
      </c>
      <c r="G205">
        <v>45</v>
      </c>
      <c r="H205" t="s">
        <v>58</v>
      </c>
      <c r="M205" s="2">
        <v>0</v>
      </c>
      <c r="N205" s="2">
        <v>0</v>
      </c>
      <c r="O205" s="2">
        <v>0</v>
      </c>
      <c r="R205" t="str">
        <f t="shared" si="9"/>
        <v>yes</v>
      </c>
      <c r="S205" t="str">
        <f t="shared" si="10"/>
        <v>no</v>
      </c>
      <c r="T2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5" s="2" t="b">
        <f t="shared" si="11"/>
        <v>1</v>
      </c>
      <c r="V205" s="2">
        <f>IF(Table4[[#This Row],[linear?]],Table4[[#This Row],[av]],10^(Table4[[#This Row],[av]]/10))</f>
        <v>0</v>
      </c>
      <c r="W205" s="2">
        <f>IF(Table4[[#This Row],[linear?]],Table4[[#This Row],[av]],10^(Table4[[#This Row],[av]]/10))</f>
        <v>0</v>
      </c>
      <c r="X205" s="2">
        <f>Table4[[#This Row],[av_lin]]-2*Table4[[#This Row],[std_lin]]</f>
        <v>0</v>
      </c>
      <c r="Y205" s="2">
        <f>Table4[[#This Row],[av_lin]]+2*Table4[[#This Row],[std_lin]]</f>
        <v>0</v>
      </c>
    </row>
    <row r="206" spans="1:25" x14ac:dyDescent="0.35">
      <c r="A206" s="1">
        <v>42</v>
      </c>
      <c r="B206" t="s">
        <v>16</v>
      </c>
      <c r="C206" t="s">
        <v>56</v>
      </c>
      <c r="D206" t="s">
        <v>64</v>
      </c>
      <c r="E206" s="2">
        <v>0</v>
      </c>
      <c r="F206" s="2">
        <v>0</v>
      </c>
      <c r="G206">
        <v>45</v>
      </c>
      <c r="H206" t="s">
        <v>58</v>
      </c>
      <c r="M206" s="2">
        <v>0</v>
      </c>
      <c r="N206" s="2">
        <v>0</v>
      </c>
      <c r="O206" s="2">
        <v>0</v>
      </c>
      <c r="R206" t="str">
        <f t="shared" si="9"/>
        <v>yes</v>
      </c>
      <c r="S206" t="str">
        <f t="shared" si="10"/>
        <v>no</v>
      </c>
      <c r="T2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6" s="2" t="b">
        <f t="shared" si="11"/>
        <v>1</v>
      </c>
      <c r="V206" s="2">
        <f>IF(Table4[[#This Row],[linear?]],Table4[[#This Row],[av]],10^(Table4[[#This Row],[av]]/10))</f>
        <v>0</v>
      </c>
      <c r="W206" s="2">
        <f>IF(Table4[[#This Row],[linear?]],Table4[[#This Row],[av]],10^(Table4[[#This Row],[av]]/10))</f>
        <v>0</v>
      </c>
      <c r="X206" s="2">
        <f>Table4[[#This Row],[av_lin]]-2*Table4[[#This Row],[std_lin]]</f>
        <v>0</v>
      </c>
      <c r="Y206" s="2">
        <f>Table4[[#This Row],[av_lin]]+2*Table4[[#This Row],[std_lin]]</f>
        <v>0</v>
      </c>
    </row>
    <row r="207" spans="1:25" x14ac:dyDescent="0.35">
      <c r="A207" s="1">
        <v>43</v>
      </c>
      <c r="B207" t="s">
        <v>16</v>
      </c>
      <c r="C207" t="s">
        <v>56</v>
      </c>
      <c r="D207" t="s">
        <v>65</v>
      </c>
      <c r="E207" s="2">
        <v>0</v>
      </c>
      <c r="F207" s="2">
        <v>0</v>
      </c>
      <c r="G207">
        <v>45</v>
      </c>
      <c r="H207" t="s">
        <v>58</v>
      </c>
      <c r="M207" s="2">
        <v>0</v>
      </c>
      <c r="N207" s="2">
        <v>0</v>
      </c>
      <c r="O207" s="2">
        <v>0</v>
      </c>
      <c r="R207" t="str">
        <f t="shared" si="9"/>
        <v>yes</v>
      </c>
      <c r="S207" t="str">
        <f t="shared" si="10"/>
        <v>no</v>
      </c>
      <c r="T2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7" s="2" t="b">
        <f t="shared" si="11"/>
        <v>1</v>
      </c>
      <c r="V207" s="2">
        <f>IF(Table4[[#This Row],[linear?]],Table4[[#This Row],[av]],10^(Table4[[#This Row],[av]]/10))</f>
        <v>0</v>
      </c>
      <c r="W207" s="2">
        <f>IF(Table4[[#This Row],[linear?]],Table4[[#This Row],[av]],10^(Table4[[#This Row],[av]]/10))</f>
        <v>0</v>
      </c>
      <c r="X207" s="2">
        <f>Table4[[#This Row],[av_lin]]-2*Table4[[#This Row],[std_lin]]</f>
        <v>0</v>
      </c>
      <c r="Y207" s="2">
        <f>Table4[[#This Row],[av_lin]]+2*Table4[[#This Row],[std_lin]]</f>
        <v>0</v>
      </c>
    </row>
    <row r="208" spans="1:25" x14ac:dyDescent="0.35">
      <c r="A208" s="1">
        <v>44</v>
      </c>
      <c r="B208" t="s">
        <v>16</v>
      </c>
      <c r="C208" t="s">
        <v>56</v>
      </c>
      <c r="D208" t="s">
        <v>66</v>
      </c>
      <c r="E208" s="2">
        <v>0</v>
      </c>
      <c r="F208" s="2">
        <v>0</v>
      </c>
      <c r="G208">
        <v>45</v>
      </c>
      <c r="H208" t="s">
        <v>58</v>
      </c>
      <c r="M208" s="2">
        <v>0</v>
      </c>
      <c r="N208" s="2">
        <v>0</v>
      </c>
      <c r="O208" s="2">
        <v>0</v>
      </c>
      <c r="R208" t="str">
        <f t="shared" si="9"/>
        <v>yes</v>
      </c>
      <c r="S208" t="str">
        <f t="shared" si="10"/>
        <v>no</v>
      </c>
      <c r="T2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8" s="2" t="b">
        <f t="shared" si="11"/>
        <v>1</v>
      </c>
      <c r="V208" s="2">
        <f>IF(Table4[[#This Row],[linear?]],Table4[[#This Row],[av]],10^(Table4[[#This Row],[av]]/10))</f>
        <v>0</v>
      </c>
      <c r="W208" s="2">
        <f>IF(Table4[[#This Row],[linear?]],Table4[[#This Row],[av]],10^(Table4[[#This Row],[av]]/10))</f>
        <v>0</v>
      </c>
      <c r="X208" s="2">
        <f>Table4[[#This Row],[av_lin]]-2*Table4[[#This Row],[std_lin]]</f>
        <v>0</v>
      </c>
      <c r="Y208" s="2">
        <f>Table4[[#This Row],[av_lin]]+2*Table4[[#This Row],[std_lin]]</f>
        <v>0</v>
      </c>
    </row>
    <row r="209" spans="1:25" x14ac:dyDescent="0.35">
      <c r="A209" s="1">
        <v>47</v>
      </c>
      <c r="B209" t="s">
        <v>16</v>
      </c>
      <c r="C209" t="s">
        <v>56</v>
      </c>
      <c r="D209" t="s">
        <v>69</v>
      </c>
      <c r="E209" s="2">
        <v>0</v>
      </c>
      <c r="F209" s="2">
        <v>0</v>
      </c>
      <c r="G209">
        <v>45</v>
      </c>
      <c r="H209" t="s">
        <v>58</v>
      </c>
      <c r="M209" s="2">
        <v>0</v>
      </c>
      <c r="N209" s="2">
        <v>0</v>
      </c>
      <c r="O209" s="2">
        <v>0</v>
      </c>
      <c r="R209" t="str">
        <f t="shared" si="9"/>
        <v>yes</v>
      </c>
      <c r="S209" t="str">
        <f t="shared" si="10"/>
        <v>no</v>
      </c>
      <c r="T2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9" s="2" t="b">
        <f t="shared" si="11"/>
        <v>1</v>
      </c>
      <c r="V209" s="2">
        <f>IF(Table4[[#This Row],[linear?]],Table4[[#This Row],[av]],10^(Table4[[#This Row],[av]]/10))</f>
        <v>0</v>
      </c>
      <c r="W209" s="2">
        <f>IF(Table4[[#This Row],[linear?]],Table4[[#This Row],[av]],10^(Table4[[#This Row],[av]]/10))</f>
        <v>0</v>
      </c>
      <c r="X209" s="2">
        <f>Table4[[#This Row],[av_lin]]-2*Table4[[#This Row],[std_lin]]</f>
        <v>0</v>
      </c>
      <c r="Y209" s="2">
        <f>Table4[[#This Row],[av_lin]]+2*Table4[[#This Row],[std_lin]]</f>
        <v>0</v>
      </c>
    </row>
    <row r="210" spans="1:25" x14ac:dyDescent="0.35">
      <c r="A210" s="1">
        <v>48</v>
      </c>
      <c r="B210" t="s">
        <v>16</v>
      </c>
      <c r="C210" t="s">
        <v>56</v>
      </c>
      <c r="D210" t="s">
        <v>70</v>
      </c>
      <c r="E210" s="2">
        <v>0</v>
      </c>
      <c r="F210" s="2">
        <v>0</v>
      </c>
      <c r="G210">
        <v>45</v>
      </c>
      <c r="H210" t="s">
        <v>58</v>
      </c>
      <c r="M210" s="2">
        <v>0</v>
      </c>
      <c r="N210" s="2">
        <v>0</v>
      </c>
      <c r="O210" s="2">
        <v>0</v>
      </c>
      <c r="R210" t="str">
        <f t="shared" si="9"/>
        <v>yes</v>
      </c>
      <c r="S210" t="str">
        <f t="shared" si="10"/>
        <v>no</v>
      </c>
      <c r="T2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0" s="2" t="b">
        <f t="shared" si="11"/>
        <v>1</v>
      </c>
      <c r="V210" s="2">
        <f>IF(Table4[[#This Row],[linear?]],Table4[[#This Row],[av]],10^(Table4[[#This Row],[av]]/10))</f>
        <v>0</v>
      </c>
      <c r="W210" s="2">
        <f>IF(Table4[[#This Row],[linear?]],Table4[[#This Row],[av]],10^(Table4[[#This Row],[av]]/10))</f>
        <v>0</v>
      </c>
      <c r="X210" s="2">
        <f>Table4[[#This Row],[av_lin]]-2*Table4[[#This Row],[std_lin]]</f>
        <v>0</v>
      </c>
      <c r="Y210" s="2">
        <f>Table4[[#This Row],[av_lin]]+2*Table4[[#This Row],[std_lin]]</f>
        <v>0</v>
      </c>
    </row>
    <row r="211" spans="1:25" x14ac:dyDescent="0.35">
      <c r="A211" s="1">
        <v>49</v>
      </c>
      <c r="B211" t="s">
        <v>16</v>
      </c>
      <c r="C211" t="s">
        <v>56</v>
      </c>
      <c r="D211" t="s">
        <v>71</v>
      </c>
      <c r="E211" s="2">
        <v>0</v>
      </c>
      <c r="F211" s="2">
        <v>0</v>
      </c>
      <c r="G211">
        <v>45</v>
      </c>
      <c r="H211" t="s">
        <v>58</v>
      </c>
      <c r="M211" s="2">
        <v>0</v>
      </c>
      <c r="N211" s="2">
        <v>0</v>
      </c>
      <c r="O211" s="2">
        <v>0</v>
      </c>
      <c r="R211" t="str">
        <f t="shared" si="9"/>
        <v>yes</v>
      </c>
      <c r="S211" t="str">
        <f t="shared" si="10"/>
        <v>no</v>
      </c>
      <c r="T2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1" s="2" t="b">
        <f t="shared" si="11"/>
        <v>1</v>
      </c>
      <c r="V211" s="2">
        <f>IF(Table4[[#This Row],[linear?]],Table4[[#This Row],[av]],10^(Table4[[#This Row],[av]]/10))</f>
        <v>0</v>
      </c>
      <c r="W211" s="2">
        <f>IF(Table4[[#This Row],[linear?]],Table4[[#This Row],[av]],10^(Table4[[#This Row],[av]]/10))</f>
        <v>0</v>
      </c>
      <c r="X211" s="2">
        <f>Table4[[#This Row],[av_lin]]-2*Table4[[#This Row],[std_lin]]</f>
        <v>0</v>
      </c>
      <c r="Y211" s="2">
        <f>Table4[[#This Row],[av_lin]]+2*Table4[[#This Row],[std_lin]]</f>
        <v>0</v>
      </c>
    </row>
    <row r="212" spans="1:25" x14ac:dyDescent="0.35">
      <c r="A212" s="1">
        <v>50</v>
      </c>
      <c r="B212" t="s">
        <v>16</v>
      </c>
      <c r="C212" t="s">
        <v>56</v>
      </c>
      <c r="D212" t="s">
        <v>72</v>
      </c>
      <c r="E212" s="2">
        <v>0</v>
      </c>
      <c r="F212" s="2">
        <v>0</v>
      </c>
      <c r="G212">
        <v>45</v>
      </c>
      <c r="H212" t="s">
        <v>58</v>
      </c>
      <c r="M212" s="2">
        <v>0</v>
      </c>
      <c r="N212" s="2">
        <v>0</v>
      </c>
      <c r="O212" s="2">
        <v>0</v>
      </c>
      <c r="R212" t="str">
        <f t="shared" si="9"/>
        <v>yes</v>
      </c>
      <c r="S212" t="str">
        <f t="shared" si="10"/>
        <v>no</v>
      </c>
      <c r="T2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2" s="2" t="b">
        <f t="shared" si="11"/>
        <v>1</v>
      </c>
      <c r="V212" s="2">
        <f>IF(Table4[[#This Row],[linear?]],Table4[[#This Row],[av]],10^(Table4[[#This Row],[av]]/10))</f>
        <v>0</v>
      </c>
      <c r="W212" s="2">
        <f>IF(Table4[[#This Row],[linear?]],Table4[[#This Row],[av]],10^(Table4[[#This Row],[av]]/10))</f>
        <v>0</v>
      </c>
      <c r="X212" s="2">
        <f>Table4[[#This Row],[av_lin]]-2*Table4[[#This Row],[std_lin]]</f>
        <v>0</v>
      </c>
      <c r="Y212" s="2">
        <f>Table4[[#This Row],[av_lin]]+2*Table4[[#This Row],[std_lin]]</f>
        <v>0</v>
      </c>
    </row>
    <row r="213" spans="1:25" x14ac:dyDescent="0.35">
      <c r="A213" s="1">
        <v>51</v>
      </c>
      <c r="B213" t="s">
        <v>16</v>
      </c>
      <c r="C213" t="s">
        <v>56</v>
      </c>
      <c r="D213" t="s">
        <v>73</v>
      </c>
      <c r="E213" s="2">
        <v>0</v>
      </c>
      <c r="F213" s="2">
        <v>0</v>
      </c>
      <c r="G213">
        <v>45</v>
      </c>
      <c r="H213" t="s">
        <v>58</v>
      </c>
      <c r="M213" s="2">
        <v>0</v>
      </c>
      <c r="N213" s="2">
        <v>0</v>
      </c>
      <c r="O213" s="2">
        <v>0</v>
      </c>
      <c r="R213" t="str">
        <f t="shared" si="9"/>
        <v>yes</v>
      </c>
      <c r="S213" t="str">
        <f t="shared" si="10"/>
        <v>no</v>
      </c>
      <c r="T2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3" s="2" t="b">
        <f t="shared" si="11"/>
        <v>1</v>
      </c>
      <c r="V213" s="2">
        <f>IF(Table4[[#This Row],[linear?]],Table4[[#This Row],[av]],10^(Table4[[#This Row],[av]]/10))</f>
        <v>0</v>
      </c>
      <c r="W213" s="2">
        <f>IF(Table4[[#This Row],[linear?]],Table4[[#This Row],[av]],10^(Table4[[#This Row],[av]]/10))</f>
        <v>0</v>
      </c>
      <c r="X213" s="2">
        <f>Table4[[#This Row],[av_lin]]-2*Table4[[#This Row],[std_lin]]</f>
        <v>0</v>
      </c>
      <c r="Y213" s="2">
        <f>Table4[[#This Row],[av_lin]]+2*Table4[[#This Row],[std_lin]]</f>
        <v>0</v>
      </c>
    </row>
    <row r="214" spans="1:25" x14ac:dyDescent="0.35">
      <c r="A214" s="1">
        <v>52</v>
      </c>
      <c r="B214" t="s">
        <v>16</v>
      </c>
      <c r="C214" t="s">
        <v>56</v>
      </c>
      <c r="D214" t="s">
        <v>74</v>
      </c>
      <c r="E214" s="2">
        <v>0</v>
      </c>
      <c r="F214" s="2">
        <v>0</v>
      </c>
      <c r="G214">
        <v>45</v>
      </c>
      <c r="H214" t="s">
        <v>58</v>
      </c>
      <c r="M214" s="2">
        <v>0</v>
      </c>
      <c r="N214" s="2">
        <v>0</v>
      </c>
      <c r="O214" s="2">
        <v>0</v>
      </c>
      <c r="R214" t="str">
        <f t="shared" si="9"/>
        <v>yes</v>
      </c>
      <c r="S214" t="str">
        <f t="shared" si="10"/>
        <v>no</v>
      </c>
      <c r="T2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4" s="2" t="b">
        <f t="shared" si="11"/>
        <v>1</v>
      </c>
      <c r="V214" s="2">
        <f>IF(Table4[[#This Row],[linear?]],Table4[[#This Row],[av]],10^(Table4[[#This Row],[av]]/10))</f>
        <v>0</v>
      </c>
      <c r="W214" s="2">
        <f>IF(Table4[[#This Row],[linear?]],Table4[[#This Row],[av]],10^(Table4[[#This Row],[av]]/10))</f>
        <v>0</v>
      </c>
      <c r="X214" s="2">
        <f>Table4[[#This Row],[av_lin]]-2*Table4[[#This Row],[std_lin]]</f>
        <v>0</v>
      </c>
      <c r="Y214" s="2">
        <f>Table4[[#This Row],[av_lin]]+2*Table4[[#This Row],[std_lin]]</f>
        <v>0</v>
      </c>
    </row>
    <row r="215" spans="1:25" x14ac:dyDescent="0.35">
      <c r="A215" s="1">
        <v>260</v>
      </c>
      <c r="B215" t="s">
        <v>75</v>
      </c>
      <c r="C215" t="s">
        <v>56</v>
      </c>
      <c r="D215" t="s">
        <v>57</v>
      </c>
      <c r="E215" s="2">
        <v>0</v>
      </c>
      <c r="F215" s="2">
        <v>0</v>
      </c>
      <c r="G215">
        <v>27</v>
      </c>
      <c r="H215" t="s">
        <v>58</v>
      </c>
      <c r="M215" s="2">
        <v>0</v>
      </c>
      <c r="N215" s="2">
        <v>0</v>
      </c>
      <c r="O215" s="2">
        <v>0</v>
      </c>
      <c r="R215" t="str">
        <f t="shared" si="9"/>
        <v>yes</v>
      </c>
      <c r="S215" t="str">
        <f t="shared" si="10"/>
        <v>no</v>
      </c>
      <c r="T2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5" s="2" t="b">
        <f t="shared" si="11"/>
        <v>1</v>
      </c>
      <c r="V215" s="2">
        <f>IF(Table4[[#This Row],[linear?]],Table4[[#This Row],[av]],10^(Table4[[#This Row],[av]]/10))</f>
        <v>0</v>
      </c>
      <c r="W215" s="2">
        <f>IF(Table4[[#This Row],[linear?]],Table4[[#This Row],[av]],10^(Table4[[#This Row],[av]]/10))</f>
        <v>0</v>
      </c>
      <c r="X215" s="2">
        <f>Table4[[#This Row],[av_lin]]-2*Table4[[#This Row],[std_lin]]</f>
        <v>0</v>
      </c>
      <c r="Y215" s="2">
        <f>Table4[[#This Row],[av_lin]]+2*Table4[[#This Row],[std_lin]]</f>
        <v>0</v>
      </c>
    </row>
    <row r="216" spans="1:25" x14ac:dyDescent="0.35">
      <c r="A216" s="1">
        <v>261</v>
      </c>
      <c r="B216" t="s">
        <v>75</v>
      </c>
      <c r="C216" t="s">
        <v>56</v>
      </c>
      <c r="D216" t="s">
        <v>59</v>
      </c>
      <c r="E216" s="2">
        <v>0</v>
      </c>
      <c r="F216" s="2">
        <v>0</v>
      </c>
      <c r="G216">
        <v>27</v>
      </c>
      <c r="H216" t="s">
        <v>58</v>
      </c>
      <c r="M216" s="2">
        <v>0</v>
      </c>
      <c r="N216" s="2">
        <v>0</v>
      </c>
      <c r="O216" s="2">
        <v>0</v>
      </c>
      <c r="R216" t="str">
        <f t="shared" si="9"/>
        <v>yes</v>
      </c>
      <c r="S216" t="str">
        <f t="shared" si="10"/>
        <v>no</v>
      </c>
      <c r="T2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6" s="2" t="b">
        <f t="shared" si="11"/>
        <v>1</v>
      </c>
      <c r="V216" s="2">
        <f>IF(Table4[[#This Row],[linear?]],Table4[[#This Row],[av]],10^(Table4[[#This Row],[av]]/10))</f>
        <v>0</v>
      </c>
      <c r="W216" s="2">
        <f>IF(Table4[[#This Row],[linear?]],Table4[[#This Row],[av]],10^(Table4[[#This Row],[av]]/10))</f>
        <v>0</v>
      </c>
      <c r="X216" s="2">
        <f>Table4[[#This Row],[av_lin]]-2*Table4[[#This Row],[std_lin]]</f>
        <v>0</v>
      </c>
      <c r="Y216" s="2">
        <f>Table4[[#This Row],[av_lin]]+2*Table4[[#This Row],[std_lin]]</f>
        <v>0</v>
      </c>
    </row>
    <row r="217" spans="1:25" x14ac:dyDescent="0.35">
      <c r="A217" s="1">
        <v>262</v>
      </c>
      <c r="B217" t="s">
        <v>75</v>
      </c>
      <c r="C217" t="s">
        <v>56</v>
      </c>
      <c r="D217" t="s">
        <v>60</v>
      </c>
      <c r="E217" s="2">
        <v>0</v>
      </c>
      <c r="F217" s="2">
        <v>0</v>
      </c>
      <c r="G217">
        <v>27</v>
      </c>
      <c r="H217" t="s">
        <v>58</v>
      </c>
      <c r="M217" s="2">
        <v>0</v>
      </c>
      <c r="N217" s="2">
        <v>0</v>
      </c>
      <c r="O217" s="2">
        <v>0</v>
      </c>
      <c r="R217" t="str">
        <f t="shared" si="9"/>
        <v>yes</v>
      </c>
      <c r="S217" t="str">
        <f t="shared" si="10"/>
        <v>no</v>
      </c>
      <c r="T2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7" s="2" t="b">
        <f t="shared" si="11"/>
        <v>1</v>
      </c>
      <c r="V217" s="2">
        <f>IF(Table4[[#This Row],[linear?]],Table4[[#This Row],[av]],10^(Table4[[#This Row],[av]]/10))</f>
        <v>0</v>
      </c>
      <c r="W217" s="2">
        <f>IF(Table4[[#This Row],[linear?]],Table4[[#This Row],[av]],10^(Table4[[#This Row],[av]]/10))</f>
        <v>0</v>
      </c>
      <c r="X217" s="2">
        <f>Table4[[#This Row],[av_lin]]-2*Table4[[#This Row],[std_lin]]</f>
        <v>0</v>
      </c>
      <c r="Y217" s="2">
        <f>Table4[[#This Row],[av_lin]]+2*Table4[[#This Row],[std_lin]]</f>
        <v>0</v>
      </c>
    </row>
    <row r="218" spans="1:25" x14ac:dyDescent="0.35">
      <c r="A218" s="1">
        <v>263</v>
      </c>
      <c r="B218" t="s">
        <v>75</v>
      </c>
      <c r="C218" t="s">
        <v>56</v>
      </c>
      <c r="D218" t="s">
        <v>61</v>
      </c>
      <c r="E218" s="2">
        <v>0</v>
      </c>
      <c r="F218" s="2">
        <v>0</v>
      </c>
      <c r="G218">
        <v>27</v>
      </c>
      <c r="H218" t="s">
        <v>58</v>
      </c>
      <c r="M218" s="2">
        <v>0</v>
      </c>
      <c r="N218" s="2">
        <v>0</v>
      </c>
      <c r="O218" s="2">
        <v>0</v>
      </c>
      <c r="R218" t="str">
        <f t="shared" si="9"/>
        <v>yes</v>
      </c>
      <c r="S218" t="str">
        <f t="shared" si="10"/>
        <v>no</v>
      </c>
      <c r="T2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8" s="2" t="b">
        <f t="shared" si="11"/>
        <v>1</v>
      </c>
      <c r="V218" s="2">
        <f>IF(Table4[[#This Row],[linear?]],Table4[[#This Row],[av]],10^(Table4[[#This Row],[av]]/10))</f>
        <v>0</v>
      </c>
      <c r="W218" s="2">
        <f>IF(Table4[[#This Row],[linear?]],Table4[[#This Row],[av]],10^(Table4[[#This Row],[av]]/10))</f>
        <v>0</v>
      </c>
      <c r="X218" s="2">
        <f>Table4[[#This Row],[av_lin]]-2*Table4[[#This Row],[std_lin]]</f>
        <v>0</v>
      </c>
      <c r="Y218" s="2">
        <f>Table4[[#This Row],[av_lin]]+2*Table4[[#This Row],[std_lin]]</f>
        <v>0</v>
      </c>
    </row>
    <row r="219" spans="1:25" x14ac:dyDescent="0.35">
      <c r="A219" s="1">
        <v>264</v>
      </c>
      <c r="B219" t="s">
        <v>75</v>
      </c>
      <c r="C219" t="s">
        <v>56</v>
      </c>
      <c r="D219" t="s">
        <v>62</v>
      </c>
      <c r="E219" s="2">
        <v>0</v>
      </c>
      <c r="F219" s="2">
        <v>0</v>
      </c>
      <c r="G219">
        <v>27</v>
      </c>
      <c r="H219" t="s">
        <v>58</v>
      </c>
      <c r="M219" s="2">
        <v>0</v>
      </c>
      <c r="N219" s="2">
        <v>0</v>
      </c>
      <c r="O219" s="2">
        <v>0</v>
      </c>
      <c r="R219" t="str">
        <f t="shared" si="9"/>
        <v>yes</v>
      </c>
      <c r="S219" t="str">
        <f t="shared" si="10"/>
        <v>no</v>
      </c>
      <c r="T2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9" s="2" t="b">
        <f t="shared" si="11"/>
        <v>1</v>
      </c>
      <c r="V219" s="2">
        <f>IF(Table4[[#This Row],[linear?]],Table4[[#This Row],[av]],10^(Table4[[#This Row],[av]]/10))</f>
        <v>0</v>
      </c>
      <c r="W219" s="2">
        <f>IF(Table4[[#This Row],[linear?]],Table4[[#This Row],[av]],10^(Table4[[#This Row],[av]]/10))</f>
        <v>0</v>
      </c>
      <c r="X219" s="2">
        <f>Table4[[#This Row],[av_lin]]-2*Table4[[#This Row],[std_lin]]</f>
        <v>0</v>
      </c>
      <c r="Y219" s="2">
        <f>Table4[[#This Row],[av_lin]]+2*Table4[[#This Row],[std_lin]]</f>
        <v>0</v>
      </c>
    </row>
    <row r="220" spans="1:25" x14ac:dyDescent="0.35">
      <c r="A220" s="1">
        <v>265</v>
      </c>
      <c r="B220" t="s">
        <v>75</v>
      </c>
      <c r="C220" t="s">
        <v>56</v>
      </c>
      <c r="D220" t="s">
        <v>63</v>
      </c>
      <c r="E220" s="2">
        <v>0</v>
      </c>
      <c r="F220" s="2">
        <v>0</v>
      </c>
      <c r="G220">
        <v>27</v>
      </c>
      <c r="H220" t="s">
        <v>58</v>
      </c>
      <c r="M220" s="2">
        <v>0</v>
      </c>
      <c r="N220" s="2">
        <v>0</v>
      </c>
      <c r="O220" s="2">
        <v>0</v>
      </c>
      <c r="R220" t="str">
        <f t="shared" si="9"/>
        <v>yes</v>
      </c>
      <c r="S220" t="str">
        <f t="shared" si="10"/>
        <v>no</v>
      </c>
      <c r="T2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0" s="2" t="b">
        <f t="shared" si="11"/>
        <v>1</v>
      </c>
      <c r="V220" s="2">
        <f>IF(Table4[[#This Row],[linear?]],Table4[[#This Row],[av]],10^(Table4[[#This Row],[av]]/10))</f>
        <v>0</v>
      </c>
      <c r="W220" s="2">
        <f>IF(Table4[[#This Row],[linear?]],Table4[[#This Row],[av]],10^(Table4[[#This Row],[av]]/10))</f>
        <v>0</v>
      </c>
      <c r="X220" s="2">
        <f>Table4[[#This Row],[av_lin]]-2*Table4[[#This Row],[std_lin]]</f>
        <v>0</v>
      </c>
      <c r="Y220" s="2">
        <f>Table4[[#This Row],[av_lin]]+2*Table4[[#This Row],[std_lin]]</f>
        <v>0</v>
      </c>
    </row>
    <row r="221" spans="1:25" x14ac:dyDescent="0.35">
      <c r="A221" s="1">
        <v>266</v>
      </c>
      <c r="B221" t="s">
        <v>75</v>
      </c>
      <c r="C221" t="s">
        <v>56</v>
      </c>
      <c r="D221" t="s">
        <v>64</v>
      </c>
      <c r="E221" s="2">
        <v>0</v>
      </c>
      <c r="F221" s="2">
        <v>0</v>
      </c>
      <c r="G221">
        <v>27</v>
      </c>
      <c r="H221" t="s">
        <v>58</v>
      </c>
      <c r="M221" s="2">
        <v>0</v>
      </c>
      <c r="N221" s="2">
        <v>0</v>
      </c>
      <c r="O221" s="2">
        <v>0</v>
      </c>
      <c r="R221" t="str">
        <f t="shared" si="9"/>
        <v>yes</v>
      </c>
      <c r="S221" t="str">
        <f t="shared" si="10"/>
        <v>no</v>
      </c>
      <c r="T2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1" s="2" t="b">
        <f t="shared" si="11"/>
        <v>1</v>
      </c>
      <c r="V221" s="2">
        <f>IF(Table4[[#This Row],[linear?]],Table4[[#This Row],[av]],10^(Table4[[#This Row],[av]]/10))</f>
        <v>0</v>
      </c>
      <c r="W221" s="2">
        <f>IF(Table4[[#This Row],[linear?]],Table4[[#This Row],[av]],10^(Table4[[#This Row],[av]]/10))</f>
        <v>0</v>
      </c>
      <c r="X221" s="2">
        <f>Table4[[#This Row],[av_lin]]-2*Table4[[#This Row],[std_lin]]</f>
        <v>0</v>
      </c>
      <c r="Y221" s="2">
        <f>Table4[[#This Row],[av_lin]]+2*Table4[[#This Row],[std_lin]]</f>
        <v>0</v>
      </c>
    </row>
    <row r="222" spans="1:25" x14ac:dyDescent="0.35">
      <c r="A222" s="1">
        <v>267</v>
      </c>
      <c r="B222" t="s">
        <v>75</v>
      </c>
      <c r="C222" t="s">
        <v>56</v>
      </c>
      <c r="D222" t="s">
        <v>65</v>
      </c>
      <c r="E222" s="2">
        <v>0</v>
      </c>
      <c r="F222" s="2">
        <v>0</v>
      </c>
      <c r="G222">
        <v>27</v>
      </c>
      <c r="H222" t="s">
        <v>58</v>
      </c>
      <c r="M222" s="2">
        <v>0</v>
      </c>
      <c r="N222" s="2">
        <v>0</v>
      </c>
      <c r="O222" s="2">
        <v>0</v>
      </c>
      <c r="R222" t="str">
        <f t="shared" si="9"/>
        <v>yes</v>
      </c>
      <c r="S222" t="str">
        <f t="shared" si="10"/>
        <v>no</v>
      </c>
      <c r="T2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2" s="2" t="b">
        <f t="shared" si="11"/>
        <v>1</v>
      </c>
      <c r="V222" s="2">
        <f>IF(Table4[[#This Row],[linear?]],Table4[[#This Row],[av]],10^(Table4[[#This Row],[av]]/10))</f>
        <v>0</v>
      </c>
      <c r="W222" s="2">
        <f>IF(Table4[[#This Row],[linear?]],Table4[[#This Row],[av]],10^(Table4[[#This Row],[av]]/10))</f>
        <v>0</v>
      </c>
      <c r="X222" s="2">
        <f>Table4[[#This Row],[av_lin]]-2*Table4[[#This Row],[std_lin]]</f>
        <v>0</v>
      </c>
      <c r="Y222" s="2">
        <f>Table4[[#This Row],[av_lin]]+2*Table4[[#This Row],[std_lin]]</f>
        <v>0</v>
      </c>
    </row>
    <row r="223" spans="1:25" x14ac:dyDescent="0.35">
      <c r="A223" s="1">
        <v>268</v>
      </c>
      <c r="B223" t="s">
        <v>75</v>
      </c>
      <c r="C223" t="s">
        <v>56</v>
      </c>
      <c r="D223" t="s">
        <v>66</v>
      </c>
      <c r="E223" s="2">
        <v>0</v>
      </c>
      <c r="F223" s="2">
        <v>0</v>
      </c>
      <c r="G223">
        <v>27</v>
      </c>
      <c r="H223" t="s">
        <v>58</v>
      </c>
      <c r="M223" s="2">
        <v>0</v>
      </c>
      <c r="N223" s="2">
        <v>0</v>
      </c>
      <c r="O223" s="2">
        <v>0</v>
      </c>
      <c r="R223" t="str">
        <f t="shared" si="9"/>
        <v>yes</v>
      </c>
      <c r="S223" t="str">
        <f t="shared" si="10"/>
        <v>no</v>
      </c>
      <c r="T2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3" s="2" t="b">
        <f t="shared" si="11"/>
        <v>1</v>
      </c>
      <c r="V223" s="2">
        <f>IF(Table4[[#This Row],[linear?]],Table4[[#This Row],[av]],10^(Table4[[#This Row],[av]]/10))</f>
        <v>0</v>
      </c>
      <c r="W223" s="2">
        <f>IF(Table4[[#This Row],[linear?]],Table4[[#This Row],[av]],10^(Table4[[#This Row],[av]]/10))</f>
        <v>0</v>
      </c>
      <c r="X223" s="2">
        <f>Table4[[#This Row],[av_lin]]-2*Table4[[#This Row],[std_lin]]</f>
        <v>0</v>
      </c>
      <c r="Y223" s="2">
        <f>Table4[[#This Row],[av_lin]]+2*Table4[[#This Row],[std_lin]]</f>
        <v>0</v>
      </c>
    </row>
    <row r="224" spans="1:25" x14ac:dyDescent="0.35">
      <c r="A224" s="1">
        <v>271</v>
      </c>
      <c r="B224" t="s">
        <v>75</v>
      </c>
      <c r="C224" t="s">
        <v>56</v>
      </c>
      <c r="D224" t="s">
        <v>69</v>
      </c>
      <c r="E224" s="2">
        <v>0.26070625185185192</v>
      </c>
      <c r="F224" s="2">
        <v>0.69043655182632002</v>
      </c>
      <c r="G224">
        <v>27</v>
      </c>
      <c r="H224" t="s">
        <v>58</v>
      </c>
      <c r="M224" s="2">
        <v>1.641579355504492</v>
      </c>
      <c r="N224" s="2">
        <v>-1.1201668518007879</v>
      </c>
      <c r="O224" s="2">
        <v>2.7617462073052801</v>
      </c>
      <c r="P224" s="2">
        <v>0.37759624857959839</v>
      </c>
      <c r="R224" t="str">
        <f t="shared" si="9"/>
        <v>yes</v>
      </c>
      <c r="S224" t="str">
        <f t="shared" si="10"/>
        <v>no</v>
      </c>
      <c r="T2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4" s="2" t="b">
        <f t="shared" si="11"/>
        <v>1</v>
      </c>
      <c r="V224" s="2">
        <f>IF(Table4[[#This Row],[linear?]],Table4[[#This Row],[av]],10^(Table4[[#This Row],[av]]/10))</f>
        <v>0.26070625185185192</v>
      </c>
      <c r="W224" s="2">
        <f>IF(Table4[[#This Row],[linear?]],Table4[[#This Row],[av]],10^(Table4[[#This Row],[av]]/10))</f>
        <v>0.26070625185185192</v>
      </c>
      <c r="X224" s="2">
        <f>Table4[[#This Row],[av_lin]]-2*Table4[[#This Row],[std_lin]]</f>
        <v>-0.26070625185185192</v>
      </c>
      <c r="Y224" s="2">
        <f>Table4[[#This Row],[av_lin]]+2*Table4[[#This Row],[std_lin]]</f>
        <v>0.78211875555555577</v>
      </c>
    </row>
    <row r="225" spans="1:25" x14ac:dyDescent="0.35">
      <c r="A225" s="1">
        <v>272</v>
      </c>
      <c r="B225" t="s">
        <v>75</v>
      </c>
      <c r="C225" t="s">
        <v>56</v>
      </c>
      <c r="D225" t="s">
        <v>70</v>
      </c>
      <c r="E225" s="2">
        <v>-0.22689443333333331</v>
      </c>
      <c r="F225" s="2">
        <v>8.178133221636126E-2</v>
      </c>
      <c r="G225">
        <v>27</v>
      </c>
      <c r="H225" t="s">
        <v>58</v>
      </c>
      <c r="M225" s="2">
        <v>-6.3331768900610791E-2</v>
      </c>
      <c r="N225" s="2">
        <v>-0.39045709776605592</v>
      </c>
      <c r="O225" s="2">
        <v>0.3271253288654451</v>
      </c>
      <c r="P225" s="2">
        <v>-2.7744037322974862</v>
      </c>
      <c r="R225" t="str">
        <f t="shared" si="9"/>
        <v>yes</v>
      </c>
      <c r="S225" t="str">
        <f t="shared" si="10"/>
        <v>no</v>
      </c>
      <c r="T2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5" s="2" t="b">
        <f t="shared" si="11"/>
        <v>1</v>
      </c>
      <c r="V225" s="2">
        <f>IF(Table4[[#This Row],[linear?]],Table4[[#This Row],[av]],10^(Table4[[#This Row],[av]]/10))</f>
        <v>-0.22689443333333331</v>
      </c>
      <c r="W225" s="2">
        <f>IF(Table4[[#This Row],[linear?]],Table4[[#This Row],[av]],10^(Table4[[#This Row],[av]]/10))</f>
        <v>-0.22689443333333331</v>
      </c>
      <c r="X225" s="2">
        <f>Table4[[#This Row],[av_lin]]-2*Table4[[#This Row],[std_lin]]</f>
        <v>0.22689443333333331</v>
      </c>
      <c r="Y225" s="2">
        <f>Table4[[#This Row],[av_lin]]+2*Table4[[#This Row],[std_lin]]</f>
        <v>-0.68068329999999988</v>
      </c>
    </row>
    <row r="226" spans="1:25" x14ac:dyDescent="0.35">
      <c r="A226" s="1">
        <v>273</v>
      </c>
      <c r="B226" t="s">
        <v>75</v>
      </c>
      <c r="C226" t="s">
        <v>56</v>
      </c>
      <c r="D226" t="s">
        <v>71</v>
      </c>
      <c r="E226" s="2">
        <v>39.715870849382711</v>
      </c>
      <c r="F226" s="2">
        <v>68.650930473931268</v>
      </c>
      <c r="G226">
        <v>27</v>
      </c>
      <c r="H226" t="s">
        <v>58</v>
      </c>
      <c r="M226" s="2">
        <v>177.0177317972452</v>
      </c>
      <c r="N226" s="2">
        <v>-97.585990098479826</v>
      </c>
      <c r="O226" s="2">
        <v>274.60372189572507</v>
      </c>
      <c r="P226" s="2">
        <v>0.57851904664954201</v>
      </c>
      <c r="R226" t="str">
        <f t="shared" si="9"/>
        <v>yes</v>
      </c>
      <c r="S226" t="str">
        <f t="shared" si="10"/>
        <v>no</v>
      </c>
      <c r="T2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6" s="2" t="b">
        <f t="shared" si="11"/>
        <v>1</v>
      </c>
      <c r="V226" s="2">
        <f>IF(Table4[[#This Row],[linear?]],Table4[[#This Row],[av]],10^(Table4[[#This Row],[av]]/10))</f>
        <v>39.715870849382711</v>
      </c>
      <c r="W226" s="2">
        <f>IF(Table4[[#This Row],[linear?]],Table4[[#This Row],[av]],10^(Table4[[#This Row],[av]]/10))</f>
        <v>39.715870849382711</v>
      </c>
      <c r="X226" s="2">
        <f>Table4[[#This Row],[av_lin]]-2*Table4[[#This Row],[std_lin]]</f>
        <v>-39.715870849382711</v>
      </c>
      <c r="Y226" s="2">
        <f>Table4[[#This Row],[av_lin]]+2*Table4[[#This Row],[std_lin]]</f>
        <v>119.14761254814813</v>
      </c>
    </row>
    <row r="227" spans="1:25" x14ac:dyDescent="0.35">
      <c r="A227" s="1">
        <v>274</v>
      </c>
      <c r="B227" t="s">
        <v>75</v>
      </c>
      <c r="C227" t="s">
        <v>56</v>
      </c>
      <c r="D227" t="s">
        <v>72</v>
      </c>
      <c r="E227" s="2">
        <v>18.560154759259259</v>
      </c>
      <c r="F227" s="2">
        <v>52.574354936482443</v>
      </c>
      <c r="G227">
        <v>27</v>
      </c>
      <c r="H227" t="s">
        <v>58</v>
      </c>
      <c r="M227" s="2">
        <v>123.70886463222411</v>
      </c>
      <c r="N227" s="2">
        <v>-86.588555113705624</v>
      </c>
      <c r="O227" s="2">
        <v>210.2974197459298</v>
      </c>
      <c r="P227" s="2">
        <v>0.35302677097384572</v>
      </c>
      <c r="R227" t="str">
        <f t="shared" si="9"/>
        <v>yes</v>
      </c>
      <c r="S227" t="str">
        <f t="shared" si="10"/>
        <v>no</v>
      </c>
      <c r="T2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7" s="2" t="b">
        <f t="shared" si="11"/>
        <v>1</v>
      </c>
      <c r="V227" s="2">
        <f>IF(Table4[[#This Row],[linear?]],Table4[[#This Row],[av]],10^(Table4[[#This Row],[av]]/10))</f>
        <v>18.560154759259259</v>
      </c>
      <c r="W227" s="2">
        <f>IF(Table4[[#This Row],[linear?]],Table4[[#This Row],[av]],10^(Table4[[#This Row],[av]]/10))</f>
        <v>18.560154759259259</v>
      </c>
      <c r="X227" s="2">
        <f>Table4[[#This Row],[av_lin]]-2*Table4[[#This Row],[std_lin]]</f>
        <v>-18.560154759259259</v>
      </c>
      <c r="Y227" s="2">
        <f>Table4[[#This Row],[av_lin]]+2*Table4[[#This Row],[std_lin]]</f>
        <v>55.680464277777773</v>
      </c>
    </row>
    <row r="228" spans="1:25" x14ac:dyDescent="0.35">
      <c r="A228" s="1">
        <v>275</v>
      </c>
      <c r="B228" t="s">
        <v>75</v>
      </c>
      <c r="C228" t="s">
        <v>56</v>
      </c>
      <c r="D228" t="s">
        <v>73</v>
      </c>
      <c r="E228" s="2">
        <v>3.843637818518518</v>
      </c>
      <c r="F228" s="2">
        <v>10.871449463607201</v>
      </c>
      <c r="G228">
        <v>27</v>
      </c>
      <c r="H228" t="s">
        <v>58</v>
      </c>
      <c r="M228" s="2">
        <v>25.586536745732921</v>
      </c>
      <c r="N228" s="2">
        <v>-17.899261108695882</v>
      </c>
      <c r="O228" s="2">
        <v>43.485797854428803</v>
      </c>
      <c r="P228" s="2">
        <v>0.35355339059297619</v>
      </c>
      <c r="R228" t="str">
        <f t="shared" si="9"/>
        <v>yes</v>
      </c>
      <c r="S228" t="str">
        <f t="shared" si="10"/>
        <v>no</v>
      </c>
      <c r="T2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8" s="2" t="b">
        <f t="shared" si="11"/>
        <v>1</v>
      </c>
      <c r="V228" s="2">
        <f>IF(Table4[[#This Row],[linear?]],Table4[[#This Row],[av]],10^(Table4[[#This Row],[av]]/10))</f>
        <v>3.843637818518518</v>
      </c>
      <c r="W228" s="2">
        <f>IF(Table4[[#This Row],[linear?]],Table4[[#This Row],[av]],10^(Table4[[#This Row],[av]]/10))</f>
        <v>3.843637818518518</v>
      </c>
      <c r="X228" s="2">
        <f>Table4[[#This Row],[av_lin]]-2*Table4[[#This Row],[std_lin]]</f>
        <v>-3.843637818518518</v>
      </c>
      <c r="Y228" s="2">
        <f>Table4[[#This Row],[av_lin]]+2*Table4[[#This Row],[std_lin]]</f>
        <v>11.530913455555554</v>
      </c>
    </row>
    <row r="229" spans="1:25" x14ac:dyDescent="0.35">
      <c r="A229" s="1">
        <v>276</v>
      </c>
      <c r="B229" t="s">
        <v>75</v>
      </c>
      <c r="C229" t="s">
        <v>56</v>
      </c>
      <c r="D229" t="s">
        <v>74</v>
      </c>
      <c r="E229" s="2">
        <v>-9.6183718419753088</v>
      </c>
      <c r="F229" s="2">
        <v>27.204863813738431</v>
      </c>
      <c r="G229">
        <v>27</v>
      </c>
      <c r="H229" t="s">
        <v>58</v>
      </c>
      <c r="M229" s="2">
        <v>44.791355785501551</v>
      </c>
      <c r="N229" s="2">
        <v>-64.028099469452172</v>
      </c>
      <c r="O229" s="2">
        <v>108.8194552549537</v>
      </c>
      <c r="P229" s="2">
        <v>-0.35355339059326729</v>
      </c>
      <c r="R229" t="str">
        <f t="shared" si="9"/>
        <v>yes</v>
      </c>
      <c r="S229" t="str">
        <f t="shared" si="10"/>
        <v>no</v>
      </c>
      <c r="T2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9" s="2" t="b">
        <f t="shared" si="11"/>
        <v>1</v>
      </c>
      <c r="V229" s="2">
        <f>IF(Table4[[#This Row],[linear?]],Table4[[#This Row],[av]],10^(Table4[[#This Row],[av]]/10))</f>
        <v>-9.6183718419753088</v>
      </c>
      <c r="W229" s="2">
        <f>IF(Table4[[#This Row],[linear?]],Table4[[#This Row],[av]],10^(Table4[[#This Row],[av]]/10))</f>
        <v>-9.6183718419753088</v>
      </c>
      <c r="X229" s="2">
        <f>Table4[[#This Row],[av_lin]]-2*Table4[[#This Row],[std_lin]]</f>
        <v>9.6183718419753088</v>
      </c>
      <c r="Y229" s="2">
        <f>Table4[[#This Row],[av_lin]]+2*Table4[[#This Row],[std_lin]]</f>
        <v>-28.855115525925925</v>
      </c>
    </row>
    <row r="230" spans="1:25" x14ac:dyDescent="0.35">
      <c r="A230" s="1">
        <v>277</v>
      </c>
      <c r="B230" t="s">
        <v>75</v>
      </c>
      <c r="C230" t="s">
        <v>253</v>
      </c>
      <c r="D230" t="s">
        <v>254</v>
      </c>
      <c r="E230" s="2">
        <v>0</v>
      </c>
      <c r="F230" s="2">
        <v>0</v>
      </c>
      <c r="G230">
        <v>27</v>
      </c>
      <c r="H230" t="s">
        <v>58</v>
      </c>
      <c r="M230" s="2">
        <v>0</v>
      </c>
      <c r="N230" s="2">
        <v>0</v>
      </c>
      <c r="O230" s="2">
        <v>0</v>
      </c>
      <c r="R230" t="str">
        <f t="shared" si="9"/>
        <v>yes</v>
      </c>
      <c r="S230" t="str">
        <f t="shared" si="10"/>
        <v>no</v>
      </c>
      <c r="T2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0" s="2" t="b">
        <f t="shared" si="11"/>
        <v>0</v>
      </c>
      <c r="V230" s="2">
        <f>IF(Table4[[#This Row],[linear?]],Table4[[#This Row],[av]],10^(Table4[[#This Row],[av]]/10))</f>
        <v>1</v>
      </c>
      <c r="W230" s="2">
        <f>IF(Table4[[#This Row],[linear?]],Table4[[#This Row],[av]],10^(Table4[[#This Row],[av]]/10))</f>
        <v>1</v>
      </c>
      <c r="X230" s="2">
        <f>Table4[[#This Row],[av_lin]]-2*Table4[[#This Row],[std_lin]]</f>
        <v>-1</v>
      </c>
      <c r="Y230" s="2">
        <f>Table4[[#This Row],[av_lin]]+2*Table4[[#This Row],[std_lin]]</f>
        <v>3</v>
      </c>
    </row>
    <row r="231" spans="1:25" x14ac:dyDescent="0.35">
      <c r="A231" s="1">
        <v>278</v>
      </c>
      <c r="B231" t="s">
        <v>75</v>
      </c>
      <c r="C231" t="s">
        <v>253</v>
      </c>
      <c r="D231" t="s">
        <v>255</v>
      </c>
      <c r="E231" s="2">
        <v>2.9957555555555562</v>
      </c>
      <c r="F231" s="2">
        <v>5.6045454517067581</v>
      </c>
      <c r="G231">
        <v>27</v>
      </c>
      <c r="H231" t="s">
        <v>58</v>
      </c>
      <c r="M231" s="2">
        <v>14.204846458969071</v>
      </c>
      <c r="N231" s="2">
        <v>-8.21333534785796</v>
      </c>
      <c r="O231" s="2">
        <v>22.418181806827029</v>
      </c>
      <c r="P231" s="2">
        <v>0.5345224838248489</v>
      </c>
      <c r="R231" t="str">
        <f t="shared" si="9"/>
        <v>yes</v>
      </c>
      <c r="S231" t="str">
        <f t="shared" si="10"/>
        <v>no</v>
      </c>
      <c r="T2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1" s="2" t="b">
        <f t="shared" si="11"/>
        <v>0</v>
      </c>
      <c r="V231" s="2">
        <f>IF(Table4[[#This Row],[linear?]],Table4[[#This Row],[av]],10^(Table4[[#This Row],[av]]/10))</f>
        <v>1.9933132588797982</v>
      </c>
      <c r="W231" s="2">
        <f>IF(Table4[[#This Row],[linear?]],Table4[[#This Row],[av]],10^(Table4[[#This Row],[av]]/10))</f>
        <v>1.9933132588797982</v>
      </c>
      <c r="X231" s="2">
        <f>Table4[[#This Row],[av_lin]]-2*Table4[[#This Row],[std_lin]]</f>
        <v>-1.9933132588797982</v>
      </c>
      <c r="Y231" s="2">
        <f>Table4[[#This Row],[av_lin]]+2*Table4[[#This Row],[std_lin]]</f>
        <v>5.9799397766393945</v>
      </c>
    </row>
    <row r="232" spans="1:25" x14ac:dyDescent="0.35">
      <c r="A232" s="1">
        <v>279</v>
      </c>
      <c r="B232" t="s">
        <v>75</v>
      </c>
      <c r="C232" t="s">
        <v>253</v>
      </c>
      <c r="D232" t="s">
        <v>256</v>
      </c>
      <c r="E232" s="2">
        <v>0</v>
      </c>
      <c r="F232" s="2">
        <v>0</v>
      </c>
      <c r="G232">
        <v>27</v>
      </c>
      <c r="H232" t="s">
        <v>58</v>
      </c>
      <c r="M232" s="2">
        <v>0</v>
      </c>
      <c r="N232" s="2">
        <v>0</v>
      </c>
      <c r="O232" s="2">
        <v>0</v>
      </c>
      <c r="R232" t="str">
        <f t="shared" si="9"/>
        <v>yes</v>
      </c>
      <c r="S232" t="str">
        <f t="shared" si="10"/>
        <v>no</v>
      </c>
      <c r="T2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2" s="2" t="b">
        <f t="shared" si="11"/>
        <v>0</v>
      </c>
      <c r="V232" s="2">
        <f>IF(Table4[[#This Row],[linear?]],Table4[[#This Row],[av]],10^(Table4[[#This Row],[av]]/10))</f>
        <v>1</v>
      </c>
      <c r="W232" s="2">
        <f>IF(Table4[[#This Row],[linear?]],Table4[[#This Row],[av]],10^(Table4[[#This Row],[av]]/10))</f>
        <v>1</v>
      </c>
      <c r="X232" s="2">
        <f>Table4[[#This Row],[av_lin]]-2*Table4[[#This Row],[std_lin]]</f>
        <v>-1</v>
      </c>
      <c r="Y232" s="2">
        <f>Table4[[#This Row],[av_lin]]+2*Table4[[#This Row],[std_lin]]</f>
        <v>3</v>
      </c>
    </row>
    <row r="233" spans="1:25" x14ac:dyDescent="0.35">
      <c r="A233" s="1">
        <v>280</v>
      </c>
      <c r="B233" t="s">
        <v>75</v>
      </c>
      <c r="C233" t="s">
        <v>253</v>
      </c>
      <c r="D233" t="s">
        <v>257</v>
      </c>
      <c r="E233" s="2">
        <v>9.0992481481481473</v>
      </c>
      <c r="F233" s="2">
        <v>17.105734895282399</v>
      </c>
      <c r="G233">
        <v>27</v>
      </c>
      <c r="H233" t="s">
        <v>58</v>
      </c>
      <c r="M233" s="2">
        <v>43.310717938712948</v>
      </c>
      <c r="N233" s="2">
        <v>-25.11222164241665</v>
      </c>
      <c r="O233" s="2">
        <v>68.422939581129597</v>
      </c>
      <c r="P233" s="2">
        <v>0.53194137544231634</v>
      </c>
      <c r="R233" t="str">
        <f t="shared" si="9"/>
        <v>yes</v>
      </c>
      <c r="S233" t="str">
        <f t="shared" si="10"/>
        <v>no</v>
      </c>
      <c r="T2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3" s="2" t="b">
        <f t="shared" si="11"/>
        <v>1</v>
      </c>
      <c r="V233" s="2">
        <f>IF(Table4[[#This Row],[linear?]],Table4[[#This Row],[av]],10^(Table4[[#This Row],[av]]/10))</f>
        <v>9.0992481481481473</v>
      </c>
      <c r="W233" s="2">
        <f>IF(Table4[[#This Row],[linear?]],Table4[[#This Row],[av]],10^(Table4[[#This Row],[av]]/10))</f>
        <v>9.0992481481481473</v>
      </c>
      <c r="X233" s="2">
        <f>Table4[[#This Row],[av_lin]]-2*Table4[[#This Row],[std_lin]]</f>
        <v>-9.0992481481481473</v>
      </c>
      <c r="Y233" s="2">
        <f>Table4[[#This Row],[av_lin]]+2*Table4[[#This Row],[std_lin]]</f>
        <v>27.29774444444444</v>
      </c>
    </row>
    <row r="234" spans="1:25" x14ac:dyDescent="0.35">
      <c r="A234" s="1">
        <v>281</v>
      </c>
      <c r="B234" t="s">
        <v>75</v>
      </c>
      <c r="C234" t="s">
        <v>253</v>
      </c>
      <c r="D234" t="s">
        <v>258</v>
      </c>
      <c r="E234" s="2">
        <v>0</v>
      </c>
      <c r="F234" s="2">
        <v>0</v>
      </c>
      <c r="G234">
        <v>27</v>
      </c>
      <c r="H234" t="s">
        <v>58</v>
      </c>
      <c r="M234" s="2">
        <v>0</v>
      </c>
      <c r="N234" s="2">
        <v>0</v>
      </c>
      <c r="O234" s="2">
        <v>0</v>
      </c>
      <c r="R234" t="str">
        <f t="shared" si="9"/>
        <v>yes</v>
      </c>
      <c r="S234" t="str">
        <f t="shared" si="10"/>
        <v>no</v>
      </c>
      <c r="T2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4" s="2" t="b">
        <f t="shared" si="11"/>
        <v>0</v>
      </c>
      <c r="V234" s="2">
        <f>IF(Table4[[#This Row],[linear?]],Table4[[#This Row],[av]],10^(Table4[[#This Row],[av]]/10))</f>
        <v>1</v>
      </c>
      <c r="W234" s="2">
        <f>IF(Table4[[#This Row],[linear?]],Table4[[#This Row],[av]],10^(Table4[[#This Row],[av]]/10))</f>
        <v>1</v>
      </c>
      <c r="X234" s="2">
        <f>Table4[[#This Row],[av_lin]]-2*Table4[[#This Row],[std_lin]]</f>
        <v>-1</v>
      </c>
      <c r="Y234" s="2">
        <f>Table4[[#This Row],[av_lin]]+2*Table4[[#This Row],[std_lin]]</f>
        <v>3</v>
      </c>
    </row>
    <row r="235" spans="1:25" x14ac:dyDescent="0.35">
      <c r="A235" s="1">
        <v>282</v>
      </c>
      <c r="B235" t="s">
        <v>75</v>
      </c>
      <c r="C235" t="s">
        <v>253</v>
      </c>
      <c r="D235" t="s">
        <v>259</v>
      </c>
      <c r="E235" s="2">
        <v>3.994340740740741</v>
      </c>
      <c r="F235" s="2">
        <v>6.1556924987129253</v>
      </c>
      <c r="G235">
        <v>27</v>
      </c>
      <c r="H235" t="s">
        <v>58</v>
      </c>
      <c r="M235" s="2">
        <v>16.30572573816659</v>
      </c>
      <c r="N235" s="2">
        <v>-8.3170442566851097</v>
      </c>
      <c r="O235" s="2">
        <v>24.622769994851701</v>
      </c>
      <c r="P235" s="2">
        <v>0.64888568452305007</v>
      </c>
      <c r="R235" t="str">
        <f t="shared" si="9"/>
        <v>yes</v>
      </c>
      <c r="S235" t="str">
        <f t="shared" si="10"/>
        <v>no</v>
      </c>
      <c r="T2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5" s="2" t="b">
        <f t="shared" si="11"/>
        <v>0</v>
      </c>
      <c r="V235" s="2">
        <f>IF(Table4[[#This Row],[linear?]],Table4[[#This Row],[av]],10^(Table4[[#This Row],[av]]/10))</f>
        <v>2.508615342615431</v>
      </c>
      <c r="W235" s="2">
        <f>IF(Table4[[#This Row],[linear?]],Table4[[#This Row],[av]],10^(Table4[[#This Row],[av]]/10))</f>
        <v>2.508615342615431</v>
      </c>
      <c r="X235" s="2">
        <f>Table4[[#This Row],[av_lin]]-2*Table4[[#This Row],[std_lin]]</f>
        <v>-2.508615342615431</v>
      </c>
      <c r="Y235" s="2">
        <f>Table4[[#This Row],[av_lin]]+2*Table4[[#This Row],[std_lin]]</f>
        <v>7.5258460278462929</v>
      </c>
    </row>
    <row r="236" spans="1:25" x14ac:dyDescent="0.35">
      <c r="A236" s="1">
        <v>283</v>
      </c>
      <c r="B236" t="s">
        <v>75</v>
      </c>
      <c r="C236" t="s">
        <v>253</v>
      </c>
      <c r="D236" t="s">
        <v>260</v>
      </c>
      <c r="E236" s="2">
        <v>0</v>
      </c>
      <c r="F236" s="2">
        <v>0</v>
      </c>
      <c r="G236">
        <v>27</v>
      </c>
      <c r="H236" t="s">
        <v>58</v>
      </c>
      <c r="M236" s="2">
        <v>0</v>
      </c>
      <c r="N236" s="2">
        <v>0</v>
      </c>
      <c r="O236" s="2">
        <v>0</v>
      </c>
      <c r="R236" t="str">
        <f t="shared" si="9"/>
        <v>yes</v>
      </c>
      <c r="S236" t="str">
        <f t="shared" si="10"/>
        <v>no</v>
      </c>
      <c r="T2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6" s="2" t="b">
        <f t="shared" si="11"/>
        <v>0</v>
      </c>
      <c r="V236" s="2">
        <f>IF(Table4[[#This Row],[linear?]],Table4[[#This Row],[av]],10^(Table4[[#This Row],[av]]/10))</f>
        <v>1</v>
      </c>
      <c r="W236" s="2">
        <f>IF(Table4[[#This Row],[linear?]],Table4[[#This Row],[av]],10^(Table4[[#This Row],[av]]/10))</f>
        <v>1</v>
      </c>
      <c r="X236" s="2">
        <f>Table4[[#This Row],[av_lin]]-2*Table4[[#This Row],[std_lin]]</f>
        <v>-1</v>
      </c>
      <c r="Y236" s="2">
        <f>Table4[[#This Row],[av_lin]]+2*Table4[[#This Row],[std_lin]]</f>
        <v>3</v>
      </c>
    </row>
    <row r="237" spans="1:25" x14ac:dyDescent="0.35">
      <c r="A237" s="1">
        <v>284</v>
      </c>
      <c r="B237" t="s">
        <v>75</v>
      </c>
      <c r="C237" t="s">
        <v>253</v>
      </c>
      <c r="D237" t="s">
        <v>261</v>
      </c>
      <c r="E237" s="2">
        <v>11.954866666666669</v>
      </c>
      <c r="F237" s="2">
        <v>18.546862039329621</v>
      </c>
      <c r="G237">
        <v>27</v>
      </c>
      <c r="H237" t="s">
        <v>58</v>
      </c>
      <c r="M237" s="2">
        <v>49.04859074532591</v>
      </c>
      <c r="N237" s="2">
        <v>-25.138857411992571</v>
      </c>
      <c r="O237" s="2">
        <v>74.187448157318485</v>
      </c>
      <c r="P237" s="2">
        <v>0.64457624375032985</v>
      </c>
      <c r="R237" t="str">
        <f t="shared" si="9"/>
        <v>yes</v>
      </c>
      <c r="S237" t="str">
        <f t="shared" si="10"/>
        <v>no</v>
      </c>
      <c r="T2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7" s="2" t="b">
        <f t="shared" si="11"/>
        <v>1</v>
      </c>
      <c r="V237" s="2">
        <f>IF(Table4[[#This Row],[linear?]],Table4[[#This Row],[av]],10^(Table4[[#This Row],[av]]/10))</f>
        <v>11.954866666666669</v>
      </c>
      <c r="W237" s="2">
        <f>IF(Table4[[#This Row],[linear?]],Table4[[#This Row],[av]],10^(Table4[[#This Row],[av]]/10))</f>
        <v>11.954866666666669</v>
      </c>
      <c r="X237" s="2">
        <f>Table4[[#This Row],[av_lin]]-2*Table4[[#This Row],[std_lin]]</f>
        <v>-11.954866666666669</v>
      </c>
      <c r="Y237" s="2">
        <f>Table4[[#This Row],[av_lin]]+2*Table4[[#This Row],[std_lin]]</f>
        <v>35.86460000000001</v>
      </c>
    </row>
    <row r="238" spans="1:25" x14ac:dyDescent="0.35">
      <c r="A238" s="1">
        <v>285</v>
      </c>
      <c r="B238" t="s">
        <v>75</v>
      </c>
      <c r="C238" t="s">
        <v>253</v>
      </c>
      <c r="D238" t="s">
        <v>262</v>
      </c>
      <c r="E238" s="2">
        <v>0</v>
      </c>
      <c r="F238" s="2">
        <v>0</v>
      </c>
      <c r="G238">
        <v>27</v>
      </c>
      <c r="H238" t="s">
        <v>58</v>
      </c>
      <c r="M238" s="2">
        <v>0</v>
      </c>
      <c r="N238" s="2">
        <v>0</v>
      </c>
      <c r="O238" s="2">
        <v>0</v>
      </c>
      <c r="R238" t="str">
        <f t="shared" si="9"/>
        <v>yes</v>
      </c>
      <c r="S238" t="str">
        <f t="shared" si="10"/>
        <v>no</v>
      </c>
      <c r="T2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8" s="2" t="b">
        <f t="shared" si="11"/>
        <v>0</v>
      </c>
      <c r="V238" s="2">
        <f>IF(Table4[[#This Row],[linear?]],Table4[[#This Row],[av]],10^(Table4[[#This Row],[av]]/10))</f>
        <v>1</v>
      </c>
      <c r="W238" s="2">
        <f>IF(Table4[[#This Row],[linear?]],Table4[[#This Row],[av]],10^(Table4[[#This Row],[av]]/10))</f>
        <v>1</v>
      </c>
      <c r="X238" s="2">
        <f>Table4[[#This Row],[av_lin]]-2*Table4[[#This Row],[std_lin]]</f>
        <v>-1</v>
      </c>
      <c r="Y238" s="2">
        <f>Table4[[#This Row],[av_lin]]+2*Table4[[#This Row],[std_lin]]</f>
        <v>3</v>
      </c>
    </row>
    <row r="239" spans="1:25" x14ac:dyDescent="0.35">
      <c r="A239" s="1">
        <v>286</v>
      </c>
      <c r="B239" t="s">
        <v>75</v>
      </c>
      <c r="C239" t="s">
        <v>253</v>
      </c>
      <c r="D239" t="s">
        <v>263</v>
      </c>
      <c r="E239" s="2">
        <v>2.9957555555555562</v>
      </c>
      <c r="F239" s="2">
        <v>5.6045454517067581</v>
      </c>
      <c r="G239">
        <v>27</v>
      </c>
      <c r="H239" t="s">
        <v>58</v>
      </c>
      <c r="M239" s="2">
        <v>14.204846458969071</v>
      </c>
      <c r="N239" s="2">
        <v>-8.21333534785796</v>
      </c>
      <c r="O239" s="2">
        <v>22.418181806827029</v>
      </c>
      <c r="P239" s="2">
        <v>0.5345224838248489</v>
      </c>
      <c r="R239" t="str">
        <f t="shared" si="9"/>
        <v>yes</v>
      </c>
      <c r="S239" t="str">
        <f t="shared" si="10"/>
        <v>no</v>
      </c>
      <c r="T2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9" s="2" t="b">
        <f t="shared" si="11"/>
        <v>0</v>
      </c>
      <c r="V239" s="2">
        <f>IF(Table4[[#This Row],[linear?]],Table4[[#This Row],[av]],10^(Table4[[#This Row],[av]]/10))</f>
        <v>1.9933132588797982</v>
      </c>
      <c r="W239" s="2">
        <f>IF(Table4[[#This Row],[linear?]],Table4[[#This Row],[av]],10^(Table4[[#This Row],[av]]/10))</f>
        <v>1.9933132588797982</v>
      </c>
      <c r="X239" s="2">
        <f>Table4[[#This Row],[av_lin]]-2*Table4[[#This Row],[std_lin]]</f>
        <v>-1.9933132588797982</v>
      </c>
      <c r="Y239" s="2">
        <f>Table4[[#This Row],[av_lin]]+2*Table4[[#This Row],[std_lin]]</f>
        <v>5.9799397766393945</v>
      </c>
    </row>
    <row r="240" spans="1:25" x14ac:dyDescent="0.35">
      <c r="A240" s="1">
        <v>287</v>
      </c>
      <c r="B240" t="s">
        <v>75</v>
      </c>
      <c r="C240" t="s">
        <v>253</v>
      </c>
      <c r="D240" t="s">
        <v>264</v>
      </c>
      <c r="E240" s="2">
        <v>0</v>
      </c>
      <c r="F240" s="2">
        <v>0</v>
      </c>
      <c r="G240">
        <v>27</v>
      </c>
      <c r="H240" t="s">
        <v>58</v>
      </c>
      <c r="M240" s="2">
        <v>0</v>
      </c>
      <c r="N240" s="2">
        <v>0</v>
      </c>
      <c r="O240" s="2">
        <v>0</v>
      </c>
      <c r="R240" t="str">
        <f t="shared" si="9"/>
        <v>yes</v>
      </c>
      <c r="S240" t="str">
        <f t="shared" si="10"/>
        <v>no</v>
      </c>
      <c r="T2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0" s="2" t="b">
        <f t="shared" si="11"/>
        <v>0</v>
      </c>
      <c r="V240" s="2">
        <f>IF(Table4[[#This Row],[linear?]],Table4[[#This Row],[av]],10^(Table4[[#This Row],[av]]/10))</f>
        <v>1</v>
      </c>
      <c r="W240" s="2">
        <f>IF(Table4[[#This Row],[linear?]],Table4[[#This Row],[av]],10^(Table4[[#This Row],[av]]/10))</f>
        <v>1</v>
      </c>
      <c r="X240" s="2">
        <f>Table4[[#This Row],[av_lin]]-2*Table4[[#This Row],[std_lin]]</f>
        <v>-1</v>
      </c>
      <c r="Y240" s="2">
        <f>Table4[[#This Row],[av_lin]]+2*Table4[[#This Row],[std_lin]]</f>
        <v>3</v>
      </c>
    </row>
    <row r="241" spans="1:25" x14ac:dyDescent="0.35">
      <c r="A241" s="1">
        <v>288</v>
      </c>
      <c r="B241" t="s">
        <v>75</v>
      </c>
      <c r="C241" t="s">
        <v>253</v>
      </c>
      <c r="D241" t="s">
        <v>265</v>
      </c>
      <c r="E241" s="2">
        <v>8.5135925925925928</v>
      </c>
      <c r="F241" s="2">
        <v>15.969063457334929</v>
      </c>
      <c r="G241">
        <v>27</v>
      </c>
      <c r="H241" t="s">
        <v>58</v>
      </c>
      <c r="M241" s="2">
        <v>40.451719507262453</v>
      </c>
      <c r="N241" s="2">
        <v>-23.42453432207726</v>
      </c>
      <c r="O241" s="2">
        <v>63.876253829339717</v>
      </c>
      <c r="P241" s="2">
        <v>0.53313036267522118</v>
      </c>
      <c r="R241" t="str">
        <f t="shared" si="9"/>
        <v>yes</v>
      </c>
      <c r="S241" t="str">
        <f t="shared" si="10"/>
        <v>no</v>
      </c>
      <c r="T2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1" s="2" t="b">
        <f t="shared" si="11"/>
        <v>1</v>
      </c>
      <c r="V241" s="2">
        <f>IF(Table4[[#This Row],[linear?]],Table4[[#This Row],[av]],10^(Table4[[#This Row],[av]]/10))</f>
        <v>8.5135925925925928</v>
      </c>
      <c r="W241" s="2">
        <f>IF(Table4[[#This Row],[linear?]],Table4[[#This Row],[av]],10^(Table4[[#This Row],[av]]/10))</f>
        <v>8.5135925925925928</v>
      </c>
      <c r="X241" s="2">
        <f>Table4[[#This Row],[av_lin]]-2*Table4[[#This Row],[std_lin]]</f>
        <v>-8.5135925925925928</v>
      </c>
      <c r="Y241" s="2">
        <f>Table4[[#This Row],[av_lin]]+2*Table4[[#This Row],[std_lin]]</f>
        <v>25.540777777777777</v>
      </c>
    </row>
    <row r="242" spans="1:25" x14ac:dyDescent="0.35">
      <c r="A242" s="1">
        <v>289</v>
      </c>
      <c r="B242" t="s">
        <v>75</v>
      </c>
      <c r="C242" t="s">
        <v>253</v>
      </c>
      <c r="D242" t="s">
        <v>266</v>
      </c>
      <c r="E242" s="2">
        <v>0</v>
      </c>
      <c r="F242" s="2">
        <v>0</v>
      </c>
      <c r="G242">
        <v>27</v>
      </c>
      <c r="H242" t="s">
        <v>58</v>
      </c>
      <c r="M242" s="2">
        <v>0</v>
      </c>
      <c r="N242" s="2">
        <v>0</v>
      </c>
      <c r="O242" s="2">
        <v>0</v>
      </c>
      <c r="R242" t="str">
        <f t="shared" si="9"/>
        <v>yes</v>
      </c>
      <c r="S242" t="str">
        <f t="shared" si="10"/>
        <v>no</v>
      </c>
      <c r="T2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2" s="2" t="b">
        <f t="shared" si="11"/>
        <v>0</v>
      </c>
      <c r="V242" s="2">
        <f>IF(Table4[[#This Row],[linear?]],Table4[[#This Row],[av]],10^(Table4[[#This Row],[av]]/10))</f>
        <v>1</v>
      </c>
      <c r="W242" s="2">
        <f>IF(Table4[[#This Row],[linear?]],Table4[[#This Row],[av]],10^(Table4[[#This Row],[av]]/10))</f>
        <v>1</v>
      </c>
      <c r="X242" s="2">
        <f>Table4[[#This Row],[av_lin]]-2*Table4[[#This Row],[std_lin]]</f>
        <v>-1</v>
      </c>
      <c r="Y242" s="2">
        <f>Table4[[#This Row],[av_lin]]+2*Table4[[#This Row],[std_lin]]</f>
        <v>3</v>
      </c>
    </row>
    <row r="243" spans="1:25" x14ac:dyDescent="0.35">
      <c r="A243" s="1">
        <v>290</v>
      </c>
      <c r="B243" t="s">
        <v>75</v>
      </c>
      <c r="C243" t="s">
        <v>253</v>
      </c>
      <c r="D243" t="s">
        <v>267</v>
      </c>
      <c r="E243" s="2">
        <v>3.994340740740741</v>
      </c>
      <c r="F243" s="2">
        <v>6.1556924987129253</v>
      </c>
      <c r="G243">
        <v>27</v>
      </c>
      <c r="H243" t="s">
        <v>58</v>
      </c>
      <c r="M243" s="2">
        <v>16.30572573816659</v>
      </c>
      <c r="N243" s="2">
        <v>-8.3170442566851097</v>
      </c>
      <c r="O243" s="2">
        <v>24.622769994851701</v>
      </c>
      <c r="P243" s="2">
        <v>0.64888568452305007</v>
      </c>
      <c r="R243" t="str">
        <f t="shared" si="9"/>
        <v>yes</v>
      </c>
      <c r="S243" t="str">
        <f t="shared" si="10"/>
        <v>no</v>
      </c>
      <c r="T2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3" s="2" t="b">
        <f t="shared" si="11"/>
        <v>0</v>
      </c>
      <c r="V243" s="2">
        <f>IF(Table4[[#This Row],[linear?]],Table4[[#This Row],[av]],10^(Table4[[#This Row],[av]]/10))</f>
        <v>2.508615342615431</v>
      </c>
      <c r="W243" s="2">
        <f>IF(Table4[[#This Row],[linear?]],Table4[[#This Row],[av]],10^(Table4[[#This Row],[av]]/10))</f>
        <v>2.508615342615431</v>
      </c>
      <c r="X243" s="2">
        <f>Table4[[#This Row],[av_lin]]-2*Table4[[#This Row],[std_lin]]</f>
        <v>-2.508615342615431</v>
      </c>
      <c r="Y243" s="2">
        <f>Table4[[#This Row],[av_lin]]+2*Table4[[#This Row],[std_lin]]</f>
        <v>7.5258460278462929</v>
      </c>
    </row>
    <row r="244" spans="1:25" x14ac:dyDescent="0.35">
      <c r="A244" s="1">
        <v>291</v>
      </c>
      <c r="B244" t="s">
        <v>75</v>
      </c>
      <c r="C244" t="s">
        <v>253</v>
      </c>
      <c r="D244" t="s">
        <v>268</v>
      </c>
      <c r="E244" s="2">
        <v>0</v>
      </c>
      <c r="F244" s="2">
        <v>0</v>
      </c>
      <c r="G244">
        <v>27</v>
      </c>
      <c r="H244" t="s">
        <v>58</v>
      </c>
      <c r="M244" s="2">
        <v>0</v>
      </c>
      <c r="N244" s="2">
        <v>0</v>
      </c>
      <c r="O244" s="2">
        <v>0</v>
      </c>
      <c r="R244" t="str">
        <f t="shared" si="9"/>
        <v>yes</v>
      </c>
      <c r="S244" t="str">
        <f t="shared" si="10"/>
        <v>no</v>
      </c>
      <c r="T2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4" s="2" t="b">
        <f t="shared" si="11"/>
        <v>0</v>
      </c>
      <c r="V244" s="2">
        <f>IF(Table4[[#This Row],[linear?]],Table4[[#This Row],[av]],10^(Table4[[#This Row],[av]]/10))</f>
        <v>1</v>
      </c>
      <c r="W244" s="2">
        <f>IF(Table4[[#This Row],[linear?]],Table4[[#This Row],[av]],10^(Table4[[#This Row],[av]]/10))</f>
        <v>1</v>
      </c>
      <c r="X244" s="2">
        <f>Table4[[#This Row],[av_lin]]-2*Table4[[#This Row],[std_lin]]</f>
        <v>-1</v>
      </c>
      <c r="Y244" s="2">
        <f>Table4[[#This Row],[av_lin]]+2*Table4[[#This Row],[std_lin]]</f>
        <v>3</v>
      </c>
    </row>
    <row r="245" spans="1:25" x14ac:dyDescent="0.35">
      <c r="A245" s="1">
        <v>292</v>
      </c>
      <c r="B245" t="s">
        <v>75</v>
      </c>
      <c r="C245" t="s">
        <v>253</v>
      </c>
      <c r="D245" t="s">
        <v>269</v>
      </c>
      <c r="E245" s="2">
        <v>11.20948518518518</v>
      </c>
      <c r="F245" s="2">
        <v>17.429353594815669</v>
      </c>
      <c r="G245">
        <v>27</v>
      </c>
      <c r="H245" t="s">
        <v>58</v>
      </c>
      <c r="M245" s="2">
        <v>46.068192374816519</v>
      </c>
      <c r="N245" s="2">
        <v>-23.649222004446159</v>
      </c>
      <c r="O245" s="2">
        <v>69.717414379262678</v>
      </c>
      <c r="P245" s="2">
        <v>0.64313831974350566</v>
      </c>
      <c r="R245" t="str">
        <f t="shared" si="9"/>
        <v>yes</v>
      </c>
      <c r="S245" t="str">
        <f t="shared" si="10"/>
        <v>no</v>
      </c>
      <c r="T2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5" s="2" t="b">
        <f t="shared" si="11"/>
        <v>1</v>
      </c>
      <c r="V245" s="2">
        <f>IF(Table4[[#This Row],[linear?]],Table4[[#This Row],[av]],10^(Table4[[#This Row],[av]]/10))</f>
        <v>11.20948518518518</v>
      </c>
      <c r="W245" s="2">
        <f>IF(Table4[[#This Row],[linear?]],Table4[[#This Row],[av]],10^(Table4[[#This Row],[av]]/10))</f>
        <v>11.20948518518518</v>
      </c>
      <c r="X245" s="2">
        <f>Table4[[#This Row],[av_lin]]-2*Table4[[#This Row],[std_lin]]</f>
        <v>-11.20948518518518</v>
      </c>
      <c r="Y245" s="2">
        <f>Table4[[#This Row],[av_lin]]+2*Table4[[#This Row],[std_lin]]</f>
        <v>33.62845555555554</v>
      </c>
    </row>
    <row r="246" spans="1:25" x14ac:dyDescent="0.35">
      <c r="A246" s="1">
        <v>293</v>
      </c>
      <c r="B246" t="s">
        <v>75</v>
      </c>
      <c r="C246" t="s">
        <v>253</v>
      </c>
      <c r="D246" t="s">
        <v>270</v>
      </c>
      <c r="E246" s="2">
        <v>0</v>
      </c>
      <c r="F246" s="2">
        <v>0</v>
      </c>
      <c r="G246">
        <v>27</v>
      </c>
      <c r="H246" t="s">
        <v>58</v>
      </c>
      <c r="M246" s="2">
        <v>0</v>
      </c>
      <c r="N246" s="2">
        <v>0</v>
      </c>
      <c r="O246" s="2">
        <v>0</v>
      </c>
      <c r="R246" t="str">
        <f t="shared" si="9"/>
        <v>yes</v>
      </c>
      <c r="S246" t="str">
        <f t="shared" si="10"/>
        <v>no</v>
      </c>
      <c r="T2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6" s="2" t="b">
        <f t="shared" si="11"/>
        <v>0</v>
      </c>
      <c r="V246" s="2">
        <f>IF(Table4[[#This Row],[linear?]],Table4[[#This Row],[av]],10^(Table4[[#This Row],[av]]/10))</f>
        <v>1</v>
      </c>
      <c r="W246" s="2">
        <f>IF(Table4[[#This Row],[linear?]],Table4[[#This Row],[av]],10^(Table4[[#This Row],[av]]/10))</f>
        <v>1</v>
      </c>
      <c r="X246" s="2">
        <f>Table4[[#This Row],[av_lin]]-2*Table4[[#This Row],[std_lin]]</f>
        <v>-1</v>
      </c>
      <c r="Y246" s="2">
        <f>Table4[[#This Row],[av_lin]]+2*Table4[[#This Row],[std_lin]]</f>
        <v>3</v>
      </c>
    </row>
    <row r="247" spans="1:25" x14ac:dyDescent="0.35">
      <c r="A247" s="1">
        <v>294</v>
      </c>
      <c r="B247" t="s">
        <v>75</v>
      </c>
      <c r="C247" t="s">
        <v>253</v>
      </c>
      <c r="D247" t="s">
        <v>271</v>
      </c>
      <c r="E247" s="2">
        <v>2.9957555555555562</v>
      </c>
      <c r="F247" s="2">
        <v>5.6045454517067581</v>
      </c>
      <c r="G247">
        <v>27</v>
      </c>
      <c r="H247" t="s">
        <v>58</v>
      </c>
      <c r="M247" s="2">
        <v>14.204846458969071</v>
      </c>
      <c r="N247" s="2">
        <v>-8.21333534785796</v>
      </c>
      <c r="O247" s="2">
        <v>22.418181806827029</v>
      </c>
      <c r="P247" s="2">
        <v>0.5345224838248489</v>
      </c>
      <c r="R247" t="str">
        <f t="shared" si="9"/>
        <v>yes</v>
      </c>
      <c r="S247" t="str">
        <f t="shared" si="10"/>
        <v>no</v>
      </c>
      <c r="T2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7" s="2" t="b">
        <f t="shared" si="11"/>
        <v>0</v>
      </c>
      <c r="V247" s="2">
        <f>IF(Table4[[#This Row],[linear?]],Table4[[#This Row],[av]],10^(Table4[[#This Row],[av]]/10))</f>
        <v>1.9933132588797982</v>
      </c>
      <c r="W247" s="2">
        <f>IF(Table4[[#This Row],[linear?]],Table4[[#This Row],[av]],10^(Table4[[#This Row],[av]]/10))</f>
        <v>1.9933132588797982</v>
      </c>
      <c r="X247" s="2">
        <f>Table4[[#This Row],[av_lin]]-2*Table4[[#This Row],[std_lin]]</f>
        <v>-1.9933132588797982</v>
      </c>
      <c r="Y247" s="2">
        <f>Table4[[#This Row],[av_lin]]+2*Table4[[#This Row],[std_lin]]</f>
        <v>5.9799397766393945</v>
      </c>
    </row>
    <row r="248" spans="1:25" x14ac:dyDescent="0.35">
      <c r="A248" s="1">
        <v>295</v>
      </c>
      <c r="B248" t="s">
        <v>75</v>
      </c>
      <c r="C248" t="s">
        <v>253</v>
      </c>
      <c r="D248" t="s">
        <v>272</v>
      </c>
      <c r="E248" s="2">
        <v>0</v>
      </c>
      <c r="F248" s="2">
        <v>0</v>
      </c>
      <c r="G248">
        <v>27</v>
      </c>
      <c r="H248" t="s">
        <v>58</v>
      </c>
      <c r="M248" s="2">
        <v>0</v>
      </c>
      <c r="N248" s="2">
        <v>0</v>
      </c>
      <c r="O248" s="2">
        <v>0</v>
      </c>
      <c r="R248" t="str">
        <f t="shared" si="9"/>
        <v>yes</v>
      </c>
      <c r="S248" t="str">
        <f t="shared" si="10"/>
        <v>no</v>
      </c>
      <c r="T2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8" s="2" t="b">
        <f t="shared" si="11"/>
        <v>0</v>
      </c>
      <c r="V248" s="2">
        <f>IF(Table4[[#This Row],[linear?]],Table4[[#This Row],[av]],10^(Table4[[#This Row],[av]]/10))</f>
        <v>1</v>
      </c>
      <c r="W248" s="2">
        <f>IF(Table4[[#This Row],[linear?]],Table4[[#This Row],[av]],10^(Table4[[#This Row],[av]]/10))</f>
        <v>1</v>
      </c>
      <c r="X248" s="2">
        <f>Table4[[#This Row],[av_lin]]-2*Table4[[#This Row],[std_lin]]</f>
        <v>-1</v>
      </c>
      <c r="Y248" s="2">
        <f>Table4[[#This Row],[av_lin]]+2*Table4[[#This Row],[std_lin]]</f>
        <v>3</v>
      </c>
    </row>
    <row r="249" spans="1:25" x14ac:dyDescent="0.35">
      <c r="A249" s="1">
        <v>296</v>
      </c>
      <c r="B249" t="s">
        <v>75</v>
      </c>
      <c r="C249" t="s">
        <v>253</v>
      </c>
      <c r="D249" t="s">
        <v>273</v>
      </c>
      <c r="E249" s="2">
        <v>7.9456888888888866</v>
      </c>
      <c r="F249" s="2">
        <v>14.914519917090329</v>
      </c>
      <c r="G249">
        <v>27</v>
      </c>
      <c r="H249" t="s">
        <v>58</v>
      </c>
      <c r="M249" s="2">
        <v>37.774728723069543</v>
      </c>
      <c r="N249" s="2">
        <v>-21.88335094529177</v>
      </c>
      <c r="O249" s="2">
        <v>59.658079668361317</v>
      </c>
      <c r="P249" s="2">
        <v>0.53274855195198323</v>
      </c>
      <c r="R249" t="str">
        <f t="shared" si="9"/>
        <v>yes</v>
      </c>
      <c r="S249" t="str">
        <f t="shared" si="10"/>
        <v>no</v>
      </c>
      <c r="T2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9" s="2" t="b">
        <f t="shared" si="11"/>
        <v>1</v>
      </c>
      <c r="V249" s="2">
        <f>IF(Table4[[#This Row],[linear?]],Table4[[#This Row],[av]],10^(Table4[[#This Row],[av]]/10))</f>
        <v>7.9456888888888866</v>
      </c>
      <c r="W249" s="2">
        <f>IF(Table4[[#This Row],[linear?]],Table4[[#This Row],[av]],10^(Table4[[#This Row],[av]]/10))</f>
        <v>7.9456888888888866</v>
      </c>
      <c r="X249" s="2">
        <f>Table4[[#This Row],[av_lin]]-2*Table4[[#This Row],[std_lin]]</f>
        <v>-7.9456888888888866</v>
      </c>
      <c r="Y249" s="2">
        <f>Table4[[#This Row],[av_lin]]+2*Table4[[#This Row],[std_lin]]</f>
        <v>23.837066666666658</v>
      </c>
    </row>
    <row r="250" spans="1:25" x14ac:dyDescent="0.35">
      <c r="A250" s="1">
        <v>297</v>
      </c>
      <c r="B250" t="s">
        <v>75</v>
      </c>
      <c r="C250" t="s">
        <v>253</v>
      </c>
      <c r="D250" t="s">
        <v>274</v>
      </c>
      <c r="E250" s="2">
        <v>0</v>
      </c>
      <c r="F250" s="2">
        <v>0</v>
      </c>
      <c r="G250">
        <v>27</v>
      </c>
      <c r="H250" t="s">
        <v>58</v>
      </c>
      <c r="M250" s="2">
        <v>0</v>
      </c>
      <c r="N250" s="2">
        <v>0</v>
      </c>
      <c r="O250" s="2">
        <v>0</v>
      </c>
      <c r="R250" t="str">
        <f t="shared" si="9"/>
        <v>yes</v>
      </c>
      <c r="S250" t="str">
        <f t="shared" si="10"/>
        <v>no</v>
      </c>
      <c r="T2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0" s="2" t="b">
        <f t="shared" si="11"/>
        <v>0</v>
      </c>
      <c r="V250" s="2">
        <f>IF(Table4[[#This Row],[linear?]],Table4[[#This Row],[av]],10^(Table4[[#This Row],[av]]/10))</f>
        <v>1</v>
      </c>
      <c r="W250" s="2">
        <f>IF(Table4[[#This Row],[linear?]],Table4[[#This Row],[av]],10^(Table4[[#This Row],[av]]/10))</f>
        <v>1</v>
      </c>
      <c r="X250" s="2">
        <f>Table4[[#This Row],[av_lin]]-2*Table4[[#This Row],[std_lin]]</f>
        <v>-1</v>
      </c>
      <c r="Y250" s="2">
        <f>Table4[[#This Row],[av_lin]]+2*Table4[[#This Row],[std_lin]]</f>
        <v>3</v>
      </c>
    </row>
    <row r="251" spans="1:25" x14ac:dyDescent="0.35">
      <c r="A251" s="1">
        <v>298</v>
      </c>
      <c r="B251" t="s">
        <v>75</v>
      </c>
      <c r="C251" t="s">
        <v>253</v>
      </c>
      <c r="D251" t="s">
        <v>275</v>
      </c>
      <c r="E251" s="2">
        <v>3.994340740740741</v>
      </c>
      <c r="F251" s="2">
        <v>6.1556924987129253</v>
      </c>
      <c r="G251">
        <v>27</v>
      </c>
      <c r="H251" t="s">
        <v>58</v>
      </c>
      <c r="M251" s="2">
        <v>16.30572573816659</v>
      </c>
      <c r="N251" s="2">
        <v>-8.3170442566851097</v>
      </c>
      <c r="O251" s="2">
        <v>24.622769994851701</v>
      </c>
      <c r="P251" s="2">
        <v>0.64888568452305007</v>
      </c>
      <c r="R251" t="str">
        <f t="shared" si="9"/>
        <v>yes</v>
      </c>
      <c r="S251" t="str">
        <f t="shared" si="10"/>
        <v>no</v>
      </c>
      <c r="T2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1" s="2" t="b">
        <f t="shared" si="11"/>
        <v>0</v>
      </c>
      <c r="V251" s="2">
        <f>IF(Table4[[#This Row],[linear?]],Table4[[#This Row],[av]],10^(Table4[[#This Row],[av]]/10))</f>
        <v>2.508615342615431</v>
      </c>
      <c r="W251" s="2">
        <f>IF(Table4[[#This Row],[linear?]],Table4[[#This Row],[av]],10^(Table4[[#This Row],[av]]/10))</f>
        <v>2.508615342615431</v>
      </c>
      <c r="X251" s="2">
        <f>Table4[[#This Row],[av_lin]]-2*Table4[[#This Row],[std_lin]]</f>
        <v>-2.508615342615431</v>
      </c>
      <c r="Y251" s="2">
        <f>Table4[[#This Row],[av_lin]]+2*Table4[[#This Row],[std_lin]]</f>
        <v>7.5258460278462929</v>
      </c>
    </row>
    <row r="252" spans="1:25" x14ac:dyDescent="0.35">
      <c r="A252" s="1">
        <v>299</v>
      </c>
      <c r="B252" t="s">
        <v>75</v>
      </c>
      <c r="C252" t="s">
        <v>253</v>
      </c>
      <c r="D252" t="s">
        <v>276</v>
      </c>
      <c r="E252" s="2">
        <v>0</v>
      </c>
      <c r="F252" s="2">
        <v>0</v>
      </c>
      <c r="G252">
        <v>27</v>
      </c>
      <c r="H252" t="s">
        <v>58</v>
      </c>
      <c r="M252" s="2">
        <v>0</v>
      </c>
      <c r="N252" s="2">
        <v>0</v>
      </c>
      <c r="O252" s="2">
        <v>0</v>
      </c>
      <c r="R252" t="str">
        <f t="shared" si="9"/>
        <v>yes</v>
      </c>
      <c r="S252" t="str">
        <f t="shared" si="10"/>
        <v>no</v>
      </c>
      <c r="T2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2" s="2" t="b">
        <f t="shared" si="11"/>
        <v>0</v>
      </c>
      <c r="V252" s="2">
        <f>IF(Table4[[#This Row],[linear?]],Table4[[#This Row],[av]],10^(Table4[[#This Row],[av]]/10))</f>
        <v>1</v>
      </c>
      <c r="W252" s="2">
        <f>IF(Table4[[#This Row],[linear?]],Table4[[#This Row],[av]],10^(Table4[[#This Row],[av]]/10))</f>
        <v>1</v>
      </c>
      <c r="X252" s="2">
        <f>Table4[[#This Row],[av_lin]]-2*Table4[[#This Row],[std_lin]]</f>
        <v>-1</v>
      </c>
      <c r="Y252" s="2">
        <f>Table4[[#This Row],[av_lin]]+2*Table4[[#This Row],[std_lin]]</f>
        <v>3</v>
      </c>
    </row>
    <row r="253" spans="1:25" x14ac:dyDescent="0.35">
      <c r="A253" s="1">
        <v>300</v>
      </c>
      <c r="B253" t="s">
        <v>75</v>
      </c>
      <c r="C253" t="s">
        <v>253</v>
      </c>
      <c r="D253" t="s">
        <v>277</v>
      </c>
      <c r="E253" s="2">
        <v>11.84838148148148</v>
      </c>
      <c r="F253" s="2">
        <v>18.33904841275065</v>
      </c>
      <c r="G253">
        <v>27</v>
      </c>
      <c r="H253" t="s">
        <v>58</v>
      </c>
      <c r="M253" s="2">
        <v>48.526478306982781</v>
      </c>
      <c r="N253" s="2">
        <v>-24.829715344019821</v>
      </c>
      <c r="O253" s="2">
        <v>73.356193651002599</v>
      </c>
      <c r="P253" s="2">
        <v>0.64607395186566052</v>
      </c>
      <c r="R253" t="str">
        <f t="shared" si="9"/>
        <v>yes</v>
      </c>
      <c r="S253" t="str">
        <f t="shared" si="10"/>
        <v>no</v>
      </c>
      <c r="T2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3" s="2" t="b">
        <f t="shared" si="11"/>
        <v>1</v>
      </c>
      <c r="V253" s="2">
        <f>IF(Table4[[#This Row],[linear?]],Table4[[#This Row],[av]],10^(Table4[[#This Row],[av]]/10))</f>
        <v>11.84838148148148</v>
      </c>
      <c r="W253" s="2">
        <f>IF(Table4[[#This Row],[linear?]],Table4[[#This Row],[av]],10^(Table4[[#This Row],[av]]/10))</f>
        <v>11.84838148148148</v>
      </c>
      <c r="X253" s="2">
        <f>Table4[[#This Row],[av_lin]]-2*Table4[[#This Row],[std_lin]]</f>
        <v>-11.84838148148148</v>
      </c>
      <c r="Y253" s="2">
        <f>Table4[[#This Row],[av_lin]]+2*Table4[[#This Row],[std_lin]]</f>
        <v>35.545144444444439</v>
      </c>
    </row>
    <row r="254" spans="1:25" x14ac:dyDescent="0.35">
      <c r="A254" s="1">
        <v>301</v>
      </c>
      <c r="B254" t="s">
        <v>75</v>
      </c>
      <c r="C254" t="s">
        <v>253</v>
      </c>
      <c r="D254" t="s">
        <v>278</v>
      </c>
      <c r="E254" s="2">
        <v>31.176096296296301</v>
      </c>
      <c r="F254" s="2">
        <v>65.652500124245506</v>
      </c>
      <c r="G254">
        <v>27</v>
      </c>
      <c r="H254" t="s">
        <v>58</v>
      </c>
      <c r="M254" s="2">
        <v>162.48109654478731</v>
      </c>
      <c r="N254" s="2">
        <v>-100.1289039521947</v>
      </c>
      <c r="O254" s="2">
        <v>262.61000049698202</v>
      </c>
      <c r="P254" s="2">
        <v>0.47486533242902279</v>
      </c>
      <c r="R254" t="str">
        <f t="shared" si="9"/>
        <v>yes</v>
      </c>
      <c r="S254" t="str">
        <f t="shared" si="10"/>
        <v>no</v>
      </c>
      <c r="T2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4" s="2" t="b">
        <f t="shared" si="11"/>
        <v>0</v>
      </c>
      <c r="V254" s="2">
        <f>IF(Table4[[#This Row],[linear?]],Table4[[#This Row],[av]],10^(Table4[[#This Row],[av]]/10))</f>
        <v>1311.0209436494742</v>
      </c>
      <c r="W254" s="2">
        <f>IF(Table4[[#This Row],[linear?]],Table4[[#This Row],[av]],10^(Table4[[#This Row],[av]]/10))</f>
        <v>1311.0209436494742</v>
      </c>
      <c r="X254" s="2">
        <f>Table4[[#This Row],[av_lin]]-2*Table4[[#This Row],[std_lin]]</f>
        <v>-1311.0209436494742</v>
      </c>
      <c r="Y254" s="2">
        <f>Table4[[#This Row],[av_lin]]+2*Table4[[#This Row],[std_lin]]</f>
        <v>3933.0628309484227</v>
      </c>
    </row>
    <row r="255" spans="1:25" x14ac:dyDescent="0.35">
      <c r="A255" s="1">
        <v>302</v>
      </c>
      <c r="B255" t="s">
        <v>75</v>
      </c>
      <c r="C255" t="s">
        <v>253</v>
      </c>
      <c r="D255" t="s">
        <v>279</v>
      </c>
      <c r="E255" s="2">
        <v>0</v>
      </c>
      <c r="F255" s="2">
        <v>0</v>
      </c>
      <c r="G255">
        <v>27</v>
      </c>
      <c r="H255" t="s">
        <v>58</v>
      </c>
      <c r="M255" s="2">
        <v>0</v>
      </c>
      <c r="N255" s="2">
        <v>0</v>
      </c>
      <c r="O255" s="2">
        <v>0</v>
      </c>
      <c r="R255" t="str">
        <f t="shared" si="9"/>
        <v>yes</v>
      </c>
      <c r="S255" t="str">
        <f t="shared" si="10"/>
        <v>no</v>
      </c>
      <c r="T2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5" s="2" t="b">
        <f t="shared" si="11"/>
        <v>0</v>
      </c>
      <c r="V255" s="2">
        <f>IF(Table4[[#This Row],[linear?]],Table4[[#This Row],[av]],10^(Table4[[#This Row],[av]]/10))</f>
        <v>1</v>
      </c>
      <c r="W255" s="2">
        <f>IF(Table4[[#This Row],[linear?]],Table4[[#This Row],[av]],10^(Table4[[#This Row],[av]]/10))</f>
        <v>1</v>
      </c>
      <c r="X255" s="2">
        <f>Table4[[#This Row],[av_lin]]-2*Table4[[#This Row],[std_lin]]</f>
        <v>-1</v>
      </c>
      <c r="Y255" s="2">
        <f>Table4[[#This Row],[av_lin]]+2*Table4[[#This Row],[std_lin]]</f>
        <v>3</v>
      </c>
    </row>
    <row r="256" spans="1:25" x14ac:dyDescent="0.35">
      <c r="A256" s="1">
        <v>303</v>
      </c>
      <c r="B256" t="s">
        <v>75</v>
      </c>
      <c r="C256" t="s">
        <v>253</v>
      </c>
      <c r="D256" t="s">
        <v>280</v>
      </c>
      <c r="E256" s="2">
        <v>0</v>
      </c>
      <c r="F256" s="2">
        <v>0</v>
      </c>
      <c r="G256">
        <v>27</v>
      </c>
      <c r="H256" t="s">
        <v>58</v>
      </c>
      <c r="M256" s="2">
        <v>0</v>
      </c>
      <c r="N256" s="2">
        <v>0</v>
      </c>
      <c r="O256" s="2">
        <v>0</v>
      </c>
      <c r="R256" t="str">
        <f t="shared" si="9"/>
        <v>yes</v>
      </c>
      <c r="S256" t="str">
        <f t="shared" si="10"/>
        <v>no</v>
      </c>
      <c r="T2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6" s="2" t="b">
        <f t="shared" si="11"/>
        <v>0</v>
      </c>
      <c r="V256" s="2">
        <f>IF(Table4[[#This Row],[linear?]],Table4[[#This Row],[av]],10^(Table4[[#This Row],[av]]/10))</f>
        <v>1</v>
      </c>
      <c r="W256" s="2">
        <f>IF(Table4[[#This Row],[linear?]],Table4[[#This Row],[av]],10^(Table4[[#This Row],[av]]/10))</f>
        <v>1</v>
      </c>
      <c r="X256" s="2">
        <f>Table4[[#This Row],[av_lin]]-2*Table4[[#This Row],[std_lin]]</f>
        <v>-1</v>
      </c>
      <c r="Y256" s="2">
        <f>Table4[[#This Row],[av_lin]]+2*Table4[[#This Row],[std_lin]]</f>
        <v>3</v>
      </c>
    </row>
    <row r="257" spans="1:25" x14ac:dyDescent="0.35">
      <c r="A257" s="1">
        <v>304</v>
      </c>
      <c r="B257" t="s">
        <v>75</v>
      </c>
      <c r="C257" t="s">
        <v>253</v>
      </c>
      <c r="D257" t="s">
        <v>281</v>
      </c>
      <c r="E257" s="2">
        <v>7.4851037037037029</v>
      </c>
      <c r="F257" s="2">
        <v>15.73205291010307</v>
      </c>
      <c r="G257">
        <v>27</v>
      </c>
      <c r="H257" t="s">
        <v>58</v>
      </c>
      <c r="M257" s="2">
        <v>38.949209523909843</v>
      </c>
      <c r="N257" s="2">
        <v>-23.979002116502439</v>
      </c>
      <c r="O257" s="2">
        <v>62.928211640412279</v>
      </c>
      <c r="P257" s="2">
        <v>0.47578683764130969</v>
      </c>
      <c r="R257" t="str">
        <f t="shared" si="9"/>
        <v>yes</v>
      </c>
      <c r="S257" t="str">
        <f t="shared" si="10"/>
        <v>no</v>
      </c>
      <c r="T2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7" s="2" t="b">
        <f t="shared" si="11"/>
        <v>1</v>
      </c>
      <c r="V257" s="2">
        <f>IF(Table4[[#This Row],[linear?]],Table4[[#This Row],[av]],10^(Table4[[#This Row],[av]]/10))</f>
        <v>7.4851037037037029</v>
      </c>
      <c r="W257" s="2">
        <f>IF(Table4[[#This Row],[linear?]],Table4[[#This Row],[av]],10^(Table4[[#This Row],[av]]/10))</f>
        <v>7.4851037037037029</v>
      </c>
      <c r="X257" s="2">
        <f>Table4[[#This Row],[av_lin]]-2*Table4[[#This Row],[std_lin]]</f>
        <v>-7.4851037037037029</v>
      </c>
      <c r="Y257" s="2">
        <f>Table4[[#This Row],[av_lin]]+2*Table4[[#This Row],[std_lin]]</f>
        <v>22.455311111111108</v>
      </c>
    </row>
    <row r="258" spans="1:25" x14ac:dyDescent="0.35">
      <c r="A258" s="1">
        <v>305</v>
      </c>
      <c r="B258" t="s">
        <v>75</v>
      </c>
      <c r="C258" t="s">
        <v>253</v>
      </c>
      <c r="D258" t="s">
        <v>282</v>
      </c>
      <c r="E258" s="2">
        <v>27.516974074074071</v>
      </c>
      <c r="F258" s="2">
        <v>60.059210017205601</v>
      </c>
      <c r="G258">
        <v>27</v>
      </c>
      <c r="H258" t="s">
        <v>58</v>
      </c>
      <c r="M258" s="2">
        <v>147.63539410848529</v>
      </c>
      <c r="N258" s="2">
        <v>-92.601445960337131</v>
      </c>
      <c r="O258" s="2">
        <v>240.2368400688224</v>
      </c>
      <c r="P258" s="2">
        <v>0.45816410282771092</v>
      </c>
      <c r="R258" t="str">
        <f t="shared" ref="R258:R321" si="12">IF(H258="yes","yes","no")</f>
        <v>yes</v>
      </c>
      <c r="S258" t="str">
        <f t="shared" ref="S258:S321" si="13">IF(I258,"yes","no")</f>
        <v>no</v>
      </c>
      <c r="T2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8" s="2" t="b">
        <f t="shared" ref="U258:U321" si="14">NOT(ISNUMBER(SEARCH("RFIC*POWER", D258)))</f>
        <v>0</v>
      </c>
      <c r="V258" s="2">
        <f>IF(Table4[[#This Row],[linear?]],Table4[[#This Row],[av]],10^(Table4[[#This Row],[av]]/10))</f>
        <v>564.54349478435654</v>
      </c>
      <c r="W258" s="2">
        <f>IF(Table4[[#This Row],[linear?]],Table4[[#This Row],[av]],10^(Table4[[#This Row],[av]]/10))</f>
        <v>564.54349478435654</v>
      </c>
      <c r="X258" s="2">
        <f>Table4[[#This Row],[av_lin]]-2*Table4[[#This Row],[std_lin]]</f>
        <v>-564.54349478435654</v>
      </c>
      <c r="Y258" s="2">
        <f>Table4[[#This Row],[av_lin]]+2*Table4[[#This Row],[std_lin]]</f>
        <v>1693.6304843530697</v>
      </c>
    </row>
    <row r="259" spans="1:25" x14ac:dyDescent="0.35">
      <c r="A259" s="1">
        <v>306</v>
      </c>
      <c r="B259" t="s">
        <v>75</v>
      </c>
      <c r="C259" t="s">
        <v>253</v>
      </c>
      <c r="D259" t="s">
        <v>283</v>
      </c>
      <c r="E259" s="2">
        <v>0</v>
      </c>
      <c r="F259" s="2">
        <v>0</v>
      </c>
      <c r="G259">
        <v>27</v>
      </c>
      <c r="H259" t="s">
        <v>58</v>
      </c>
      <c r="M259" s="2">
        <v>0</v>
      </c>
      <c r="N259" s="2">
        <v>0</v>
      </c>
      <c r="O259" s="2">
        <v>0</v>
      </c>
      <c r="R259" t="str">
        <f t="shared" si="12"/>
        <v>yes</v>
      </c>
      <c r="S259" t="str">
        <f t="shared" si="13"/>
        <v>no</v>
      </c>
      <c r="T2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9" s="2" t="b">
        <f t="shared" si="14"/>
        <v>0</v>
      </c>
      <c r="V259" s="2">
        <f>IF(Table4[[#This Row],[linear?]],Table4[[#This Row],[av]],10^(Table4[[#This Row],[av]]/10))</f>
        <v>1</v>
      </c>
      <c r="W259" s="2">
        <f>IF(Table4[[#This Row],[linear?]],Table4[[#This Row],[av]],10^(Table4[[#This Row],[av]]/10))</f>
        <v>1</v>
      </c>
      <c r="X259" s="2">
        <f>Table4[[#This Row],[av_lin]]-2*Table4[[#This Row],[std_lin]]</f>
        <v>-1</v>
      </c>
      <c r="Y259" s="2">
        <f>Table4[[#This Row],[av_lin]]+2*Table4[[#This Row],[std_lin]]</f>
        <v>3</v>
      </c>
    </row>
    <row r="260" spans="1:25" x14ac:dyDescent="0.35">
      <c r="A260" s="1">
        <v>307</v>
      </c>
      <c r="B260" t="s">
        <v>75</v>
      </c>
      <c r="C260" t="s">
        <v>253</v>
      </c>
      <c r="D260" t="s">
        <v>284</v>
      </c>
      <c r="E260" s="2">
        <v>0</v>
      </c>
      <c r="F260" s="2">
        <v>0</v>
      </c>
      <c r="G260">
        <v>27</v>
      </c>
      <c r="H260" t="s">
        <v>58</v>
      </c>
      <c r="M260" s="2">
        <v>0</v>
      </c>
      <c r="N260" s="2">
        <v>0</v>
      </c>
      <c r="O260" s="2">
        <v>0</v>
      </c>
      <c r="R260" t="str">
        <f t="shared" si="12"/>
        <v>yes</v>
      </c>
      <c r="S260" t="str">
        <f t="shared" si="13"/>
        <v>no</v>
      </c>
      <c r="T2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0" s="2" t="b">
        <f t="shared" si="14"/>
        <v>0</v>
      </c>
      <c r="V260" s="2">
        <f>IF(Table4[[#This Row],[linear?]],Table4[[#This Row],[av]],10^(Table4[[#This Row],[av]]/10))</f>
        <v>1</v>
      </c>
      <c r="W260" s="2">
        <f>IF(Table4[[#This Row],[linear?]],Table4[[#This Row],[av]],10^(Table4[[#This Row],[av]]/10))</f>
        <v>1</v>
      </c>
      <c r="X260" s="2">
        <f>Table4[[#This Row],[av_lin]]-2*Table4[[#This Row],[std_lin]]</f>
        <v>-1</v>
      </c>
      <c r="Y260" s="2">
        <f>Table4[[#This Row],[av_lin]]+2*Table4[[#This Row],[std_lin]]</f>
        <v>3</v>
      </c>
    </row>
    <row r="261" spans="1:25" x14ac:dyDescent="0.35">
      <c r="A261" s="1">
        <v>308</v>
      </c>
      <c r="B261" t="s">
        <v>75</v>
      </c>
      <c r="C261" t="s">
        <v>253</v>
      </c>
      <c r="D261" t="s">
        <v>285</v>
      </c>
      <c r="E261" s="2">
        <v>6.7929629629629629</v>
      </c>
      <c r="F261" s="2">
        <v>14.26728950543731</v>
      </c>
      <c r="G261">
        <v>27</v>
      </c>
      <c r="H261" t="s">
        <v>58</v>
      </c>
      <c r="M261" s="2">
        <v>35.327541973837583</v>
      </c>
      <c r="N261" s="2">
        <v>-21.741616047911659</v>
      </c>
      <c r="O261" s="2">
        <v>57.069158021749239</v>
      </c>
      <c r="P261" s="2">
        <v>0.47612147776030922</v>
      </c>
      <c r="R261" t="str">
        <f t="shared" si="12"/>
        <v>yes</v>
      </c>
      <c r="S261" t="str">
        <f t="shared" si="13"/>
        <v>no</v>
      </c>
      <c r="T2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1" s="2" t="b">
        <f t="shared" si="14"/>
        <v>1</v>
      </c>
      <c r="V261" s="2">
        <f>IF(Table4[[#This Row],[linear?]],Table4[[#This Row],[av]],10^(Table4[[#This Row],[av]]/10))</f>
        <v>6.7929629629629629</v>
      </c>
      <c r="W261" s="2">
        <f>IF(Table4[[#This Row],[linear?]],Table4[[#This Row],[av]],10^(Table4[[#This Row],[av]]/10))</f>
        <v>6.7929629629629629</v>
      </c>
      <c r="X261" s="2">
        <f>Table4[[#This Row],[av_lin]]-2*Table4[[#This Row],[std_lin]]</f>
        <v>-6.7929629629629629</v>
      </c>
      <c r="Y261" s="2">
        <f>Table4[[#This Row],[av_lin]]+2*Table4[[#This Row],[std_lin]]</f>
        <v>20.378888888888888</v>
      </c>
    </row>
    <row r="262" spans="1:25" x14ac:dyDescent="0.35">
      <c r="A262" s="1">
        <v>309</v>
      </c>
      <c r="B262" t="s">
        <v>75</v>
      </c>
      <c r="C262" t="s">
        <v>253</v>
      </c>
      <c r="D262" t="s">
        <v>286</v>
      </c>
      <c r="E262" s="2">
        <v>32.468333333333327</v>
      </c>
      <c r="F262" s="2">
        <v>68.164888931755144</v>
      </c>
      <c r="G262">
        <v>27</v>
      </c>
      <c r="H262" t="s">
        <v>58</v>
      </c>
      <c r="M262" s="2">
        <v>168.79811119684359</v>
      </c>
      <c r="N262" s="2">
        <v>-103.861444530177</v>
      </c>
      <c r="O262" s="2">
        <v>272.65955572702057</v>
      </c>
      <c r="P262" s="2">
        <v>0.47632049053640718</v>
      </c>
      <c r="R262" t="str">
        <f t="shared" si="12"/>
        <v>yes</v>
      </c>
      <c r="S262" t="str">
        <f t="shared" si="13"/>
        <v>no</v>
      </c>
      <c r="T2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2" s="2" t="b">
        <f t="shared" si="14"/>
        <v>0</v>
      </c>
      <c r="V262" s="2">
        <f>IF(Table4[[#This Row],[linear?]],Table4[[#This Row],[av]],10^(Table4[[#This Row],[av]]/10))</f>
        <v>1765.3602086561623</v>
      </c>
      <c r="W262" s="2">
        <f>IF(Table4[[#This Row],[linear?]],Table4[[#This Row],[av]],10^(Table4[[#This Row],[av]]/10))</f>
        <v>1765.3602086561623</v>
      </c>
      <c r="X262" s="2">
        <f>Table4[[#This Row],[av_lin]]-2*Table4[[#This Row],[std_lin]]</f>
        <v>-1765.3602086561623</v>
      </c>
      <c r="Y262" s="2">
        <f>Table4[[#This Row],[av_lin]]+2*Table4[[#This Row],[std_lin]]</f>
        <v>5296.0806259684869</v>
      </c>
    </row>
    <row r="263" spans="1:25" x14ac:dyDescent="0.35">
      <c r="A263" s="1">
        <v>310</v>
      </c>
      <c r="B263" t="s">
        <v>75</v>
      </c>
      <c r="C263" t="s">
        <v>253</v>
      </c>
      <c r="D263" t="s">
        <v>287</v>
      </c>
      <c r="E263" s="2">
        <v>0</v>
      </c>
      <c r="F263" s="2">
        <v>0</v>
      </c>
      <c r="G263">
        <v>27</v>
      </c>
      <c r="H263" t="s">
        <v>58</v>
      </c>
      <c r="M263" s="2">
        <v>0</v>
      </c>
      <c r="N263" s="2">
        <v>0</v>
      </c>
      <c r="O263" s="2">
        <v>0</v>
      </c>
      <c r="R263" t="str">
        <f t="shared" si="12"/>
        <v>yes</v>
      </c>
      <c r="S263" t="str">
        <f t="shared" si="13"/>
        <v>no</v>
      </c>
      <c r="T2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3" s="2" t="b">
        <f t="shared" si="14"/>
        <v>0</v>
      </c>
      <c r="V263" s="2">
        <f>IF(Table4[[#This Row],[linear?]],Table4[[#This Row],[av]],10^(Table4[[#This Row],[av]]/10))</f>
        <v>1</v>
      </c>
      <c r="W263" s="2">
        <f>IF(Table4[[#This Row],[linear?]],Table4[[#This Row],[av]],10^(Table4[[#This Row],[av]]/10))</f>
        <v>1</v>
      </c>
      <c r="X263" s="2">
        <f>Table4[[#This Row],[av_lin]]-2*Table4[[#This Row],[std_lin]]</f>
        <v>-1</v>
      </c>
      <c r="Y263" s="2">
        <f>Table4[[#This Row],[av_lin]]+2*Table4[[#This Row],[std_lin]]</f>
        <v>3</v>
      </c>
    </row>
    <row r="264" spans="1:25" x14ac:dyDescent="0.35">
      <c r="A264" s="1">
        <v>311</v>
      </c>
      <c r="B264" t="s">
        <v>75</v>
      </c>
      <c r="C264" t="s">
        <v>253</v>
      </c>
      <c r="D264" t="s">
        <v>288</v>
      </c>
      <c r="E264" s="2">
        <v>0</v>
      </c>
      <c r="F264" s="2">
        <v>0</v>
      </c>
      <c r="G264">
        <v>27</v>
      </c>
      <c r="H264" t="s">
        <v>58</v>
      </c>
      <c r="M264" s="2">
        <v>0</v>
      </c>
      <c r="N264" s="2">
        <v>0</v>
      </c>
      <c r="O264" s="2">
        <v>0</v>
      </c>
      <c r="R264" t="str">
        <f t="shared" si="12"/>
        <v>yes</v>
      </c>
      <c r="S264" t="str">
        <f t="shared" si="13"/>
        <v>no</v>
      </c>
      <c r="T2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4" s="2" t="b">
        <f t="shared" si="14"/>
        <v>0</v>
      </c>
      <c r="V264" s="2">
        <f>IF(Table4[[#This Row],[linear?]],Table4[[#This Row],[av]],10^(Table4[[#This Row],[av]]/10))</f>
        <v>1</v>
      </c>
      <c r="W264" s="2">
        <f>IF(Table4[[#This Row],[linear?]],Table4[[#This Row],[av]],10^(Table4[[#This Row],[av]]/10))</f>
        <v>1</v>
      </c>
      <c r="X264" s="2">
        <f>Table4[[#This Row],[av_lin]]-2*Table4[[#This Row],[std_lin]]</f>
        <v>-1</v>
      </c>
      <c r="Y264" s="2">
        <f>Table4[[#This Row],[av_lin]]+2*Table4[[#This Row],[std_lin]]</f>
        <v>3</v>
      </c>
    </row>
    <row r="265" spans="1:25" x14ac:dyDescent="0.35">
      <c r="A265" s="1">
        <v>312</v>
      </c>
      <c r="B265" t="s">
        <v>75</v>
      </c>
      <c r="C265" t="s">
        <v>253</v>
      </c>
      <c r="D265" t="s">
        <v>289</v>
      </c>
      <c r="E265" s="2">
        <v>7.3786111111111108</v>
      </c>
      <c r="F265" s="2">
        <v>15.485414941003731</v>
      </c>
      <c r="G265">
        <v>27</v>
      </c>
      <c r="H265" t="s">
        <v>58</v>
      </c>
      <c r="M265" s="2">
        <v>38.34944099311857</v>
      </c>
      <c r="N265" s="2">
        <v>-23.592218770896348</v>
      </c>
      <c r="O265" s="2">
        <v>61.941659764014922</v>
      </c>
      <c r="P265" s="2">
        <v>0.476487787974821</v>
      </c>
      <c r="R265" t="str">
        <f t="shared" si="12"/>
        <v>yes</v>
      </c>
      <c r="S265" t="str">
        <f t="shared" si="13"/>
        <v>no</v>
      </c>
      <c r="T2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5" s="2" t="b">
        <f t="shared" si="14"/>
        <v>1</v>
      </c>
      <c r="V265" s="2">
        <f>IF(Table4[[#This Row],[linear?]],Table4[[#This Row],[av]],10^(Table4[[#This Row],[av]]/10))</f>
        <v>7.3786111111111108</v>
      </c>
      <c r="W265" s="2">
        <f>IF(Table4[[#This Row],[linear?]],Table4[[#This Row],[av]],10^(Table4[[#This Row],[av]]/10))</f>
        <v>7.3786111111111108</v>
      </c>
      <c r="X265" s="2">
        <f>Table4[[#This Row],[av_lin]]-2*Table4[[#This Row],[std_lin]]</f>
        <v>-7.3786111111111108</v>
      </c>
      <c r="Y265" s="2">
        <f>Table4[[#This Row],[av_lin]]+2*Table4[[#This Row],[std_lin]]</f>
        <v>22.135833333333331</v>
      </c>
    </row>
    <row r="266" spans="1:25" x14ac:dyDescent="0.35">
      <c r="A266" s="1">
        <v>313</v>
      </c>
      <c r="B266" t="s">
        <v>75</v>
      </c>
      <c r="C266" t="s">
        <v>253</v>
      </c>
      <c r="D266" t="s">
        <v>290</v>
      </c>
      <c r="E266" s="2">
        <v>27.19964814814815</v>
      </c>
      <c r="F266" s="2">
        <v>59.678368064864671</v>
      </c>
      <c r="G266">
        <v>27</v>
      </c>
      <c r="H266" t="s">
        <v>58</v>
      </c>
      <c r="M266" s="2">
        <v>146.5563842778775</v>
      </c>
      <c r="N266" s="2">
        <v>-92.157087981581185</v>
      </c>
      <c r="O266" s="2">
        <v>238.71347225945871</v>
      </c>
      <c r="P266" s="2">
        <v>0.45577064236382497</v>
      </c>
      <c r="R266" t="str">
        <f t="shared" si="12"/>
        <v>yes</v>
      </c>
      <c r="S266" t="str">
        <f t="shared" si="13"/>
        <v>no</v>
      </c>
      <c r="T2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6" s="2" t="b">
        <f t="shared" si="14"/>
        <v>0</v>
      </c>
      <c r="V266" s="2">
        <f>IF(Table4[[#This Row],[linear?]],Table4[[#This Row],[av]],10^(Table4[[#This Row],[av]]/10))</f>
        <v>524.76494370752198</v>
      </c>
      <c r="W266" s="2">
        <f>IF(Table4[[#This Row],[linear?]],Table4[[#This Row],[av]],10^(Table4[[#This Row],[av]]/10))</f>
        <v>524.76494370752198</v>
      </c>
      <c r="X266" s="2">
        <f>Table4[[#This Row],[av_lin]]-2*Table4[[#This Row],[std_lin]]</f>
        <v>-524.76494370752198</v>
      </c>
      <c r="Y266" s="2">
        <f>Table4[[#This Row],[av_lin]]+2*Table4[[#This Row],[std_lin]]</f>
        <v>1574.2948311225659</v>
      </c>
    </row>
    <row r="267" spans="1:25" x14ac:dyDescent="0.35">
      <c r="A267" s="1">
        <v>314</v>
      </c>
      <c r="B267" t="s">
        <v>75</v>
      </c>
      <c r="C267" t="s">
        <v>253</v>
      </c>
      <c r="D267" t="s">
        <v>291</v>
      </c>
      <c r="E267" s="2">
        <v>0</v>
      </c>
      <c r="F267" s="2">
        <v>0</v>
      </c>
      <c r="G267">
        <v>27</v>
      </c>
      <c r="H267" t="s">
        <v>58</v>
      </c>
      <c r="M267" s="2">
        <v>0</v>
      </c>
      <c r="N267" s="2">
        <v>0</v>
      </c>
      <c r="O267" s="2">
        <v>0</v>
      </c>
      <c r="R267" t="str">
        <f t="shared" si="12"/>
        <v>yes</v>
      </c>
      <c r="S267" t="str">
        <f t="shared" si="13"/>
        <v>no</v>
      </c>
      <c r="T2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7" s="2" t="b">
        <f t="shared" si="14"/>
        <v>0</v>
      </c>
      <c r="V267" s="2">
        <f>IF(Table4[[#This Row],[linear?]],Table4[[#This Row],[av]],10^(Table4[[#This Row],[av]]/10))</f>
        <v>1</v>
      </c>
      <c r="W267" s="2">
        <f>IF(Table4[[#This Row],[linear?]],Table4[[#This Row],[av]],10^(Table4[[#This Row],[av]]/10))</f>
        <v>1</v>
      </c>
      <c r="X267" s="2">
        <f>Table4[[#This Row],[av_lin]]-2*Table4[[#This Row],[std_lin]]</f>
        <v>-1</v>
      </c>
      <c r="Y267" s="2">
        <f>Table4[[#This Row],[av_lin]]+2*Table4[[#This Row],[std_lin]]</f>
        <v>3</v>
      </c>
    </row>
    <row r="268" spans="1:25" x14ac:dyDescent="0.35">
      <c r="A268" s="1">
        <v>315</v>
      </c>
      <c r="B268" t="s">
        <v>75</v>
      </c>
      <c r="C268" t="s">
        <v>253</v>
      </c>
      <c r="D268" t="s">
        <v>292</v>
      </c>
      <c r="E268" s="2">
        <v>0</v>
      </c>
      <c r="F268" s="2">
        <v>0</v>
      </c>
      <c r="G268">
        <v>27</v>
      </c>
      <c r="H268" t="s">
        <v>58</v>
      </c>
      <c r="M268" s="2">
        <v>0</v>
      </c>
      <c r="N268" s="2">
        <v>0</v>
      </c>
      <c r="O268" s="2">
        <v>0</v>
      </c>
      <c r="R268" t="str">
        <f t="shared" si="12"/>
        <v>yes</v>
      </c>
      <c r="S268" t="str">
        <f t="shared" si="13"/>
        <v>no</v>
      </c>
      <c r="T2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8" s="2" t="b">
        <f t="shared" si="14"/>
        <v>0</v>
      </c>
      <c r="V268" s="2">
        <f>IF(Table4[[#This Row],[linear?]],Table4[[#This Row],[av]],10^(Table4[[#This Row],[av]]/10))</f>
        <v>1</v>
      </c>
      <c r="W268" s="2">
        <f>IF(Table4[[#This Row],[linear?]],Table4[[#This Row],[av]],10^(Table4[[#This Row],[av]]/10))</f>
        <v>1</v>
      </c>
      <c r="X268" s="2">
        <f>Table4[[#This Row],[av_lin]]-2*Table4[[#This Row],[std_lin]]</f>
        <v>-1</v>
      </c>
      <c r="Y268" s="2">
        <f>Table4[[#This Row],[av_lin]]+2*Table4[[#This Row],[std_lin]]</f>
        <v>3</v>
      </c>
    </row>
    <row r="269" spans="1:25" x14ac:dyDescent="0.35">
      <c r="A269" s="1">
        <v>316</v>
      </c>
      <c r="B269" t="s">
        <v>75</v>
      </c>
      <c r="C269" t="s">
        <v>253</v>
      </c>
      <c r="D269" t="s">
        <v>293</v>
      </c>
      <c r="E269" s="2">
        <v>6.686481481481481</v>
      </c>
      <c r="F269" s="2">
        <v>14.05511703080615</v>
      </c>
      <c r="G269">
        <v>27</v>
      </c>
      <c r="H269" t="s">
        <v>58</v>
      </c>
      <c r="M269" s="2">
        <v>34.796715543093782</v>
      </c>
      <c r="N269" s="2">
        <v>-21.42375258013082</v>
      </c>
      <c r="O269" s="2">
        <v>56.220468123224599</v>
      </c>
      <c r="P269" s="2">
        <v>0.47573289264158969</v>
      </c>
      <c r="R269" t="str">
        <f t="shared" si="12"/>
        <v>yes</v>
      </c>
      <c r="S269" t="str">
        <f t="shared" si="13"/>
        <v>no</v>
      </c>
      <c r="T2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9" s="2" t="b">
        <f t="shared" si="14"/>
        <v>1</v>
      </c>
      <c r="V269" s="2">
        <f>IF(Table4[[#This Row],[linear?]],Table4[[#This Row],[av]],10^(Table4[[#This Row],[av]]/10))</f>
        <v>6.686481481481481</v>
      </c>
      <c r="W269" s="2">
        <f>IF(Table4[[#This Row],[linear?]],Table4[[#This Row],[av]],10^(Table4[[#This Row],[av]]/10))</f>
        <v>6.686481481481481</v>
      </c>
      <c r="X269" s="2">
        <f>Table4[[#This Row],[av_lin]]-2*Table4[[#This Row],[std_lin]]</f>
        <v>-6.686481481481481</v>
      </c>
      <c r="Y269" s="2">
        <f>Table4[[#This Row],[av_lin]]+2*Table4[[#This Row],[std_lin]]</f>
        <v>20.059444444444445</v>
      </c>
    </row>
    <row r="270" spans="1:25" x14ac:dyDescent="0.35">
      <c r="A270" s="1">
        <v>317</v>
      </c>
      <c r="B270" t="s">
        <v>75</v>
      </c>
      <c r="C270" t="s">
        <v>253</v>
      </c>
      <c r="D270" t="s">
        <v>294</v>
      </c>
      <c r="E270" s="2">
        <v>30.682081481481479</v>
      </c>
      <c r="F270" s="2">
        <v>64.813691470078695</v>
      </c>
      <c r="G270">
        <v>27</v>
      </c>
      <c r="H270" t="s">
        <v>58</v>
      </c>
      <c r="M270" s="2">
        <v>160.30946442163889</v>
      </c>
      <c r="N270" s="2">
        <v>-98.945301458675914</v>
      </c>
      <c r="O270" s="2">
        <v>259.25476588031478</v>
      </c>
      <c r="P270" s="2">
        <v>0.47338889030330722</v>
      </c>
      <c r="R270" t="str">
        <f t="shared" si="12"/>
        <v>yes</v>
      </c>
      <c r="S270" t="str">
        <f t="shared" si="13"/>
        <v>no</v>
      </c>
      <c r="T2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0" s="2" t="b">
        <f t="shared" si="14"/>
        <v>0</v>
      </c>
      <c r="V270" s="2">
        <f>IF(Table4[[#This Row],[linear?]],Table4[[#This Row],[av]],10^(Table4[[#This Row],[av]]/10))</f>
        <v>1170.060041654825</v>
      </c>
      <c r="W270" s="2">
        <f>IF(Table4[[#This Row],[linear?]],Table4[[#This Row],[av]],10^(Table4[[#This Row],[av]]/10))</f>
        <v>1170.060041654825</v>
      </c>
      <c r="X270" s="2">
        <f>Table4[[#This Row],[av_lin]]-2*Table4[[#This Row],[std_lin]]</f>
        <v>-1170.060041654825</v>
      </c>
      <c r="Y270" s="2">
        <f>Table4[[#This Row],[av_lin]]+2*Table4[[#This Row],[std_lin]]</f>
        <v>3510.180124964475</v>
      </c>
    </row>
    <row r="271" spans="1:25" x14ac:dyDescent="0.35">
      <c r="A271" s="1">
        <v>318</v>
      </c>
      <c r="B271" t="s">
        <v>75</v>
      </c>
      <c r="C271" t="s">
        <v>253</v>
      </c>
      <c r="D271" t="s">
        <v>295</v>
      </c>
      <c r="E271" s="2">
        <v>0</v>
      </c>
      <c r="F271" s="2">
        <v>0</v>
      </c>
      <c r="G271">
        <v>27</v>
      </c>
      <c r="H271" t="s">
        <v>58</v>
      </c>
      <c r="M271" s="2">
        <v>0</v>
      </c>
      <c r="N271" s="2">
        <v>0</v>
      </c>
      <c r="O271" s="2">
        <v>0</v>
      </c>
      <c r="R271" t="str">
        <f t="shared" si="12"/>
        <v>yes</v>
      </c>
      <c r="S271" t="str">
        <f t="shared" si="13"/>
        <v>no</v>
      </c>
      <c r="T2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1" s="2" t="b">
        <f t="shared" si="14"/>
        <v>0</v>
      </c>
      <c r="V271" s="2">
        <f>IF(Table4[[#This Row],[linear?]],Table4[[#This Row],[av]],10^(Table4[[#This Row],[av]]/10))</f>
        <v>1</v>
      </c>
      <c r="W271" s="2">
        <f>IF(Table4[[#This Row],[linear?]],Table4[[#This Row],[av]],10^(Table4[[#This Row],[av]]/10))</f>
        <v>1</v>
      </c>
      <c r="X271" s="2">
        <f>Table4[[#This Row],[av_lin]]-2*Table4[[#This Row],[std_lin]]</f>
        <v>-1</v>
      </c>
      <c r="Y271" s="2">
        <f>Table4[[#This Row],[av_lin]]+2*Table4[[#This Row],[std_lin]]</f>
        <v>3</v>
      </c>
    </row>
    <row r="272" spans="1:25" x14ac:dyDescent="0.35">
      <c r="A272" s="1">
        <v>319</v>
      </c>
      <c r="B272" t="s">
        <v>75</v>
      </c>
      <c r="C272" t="s">
        <v>253</v>
      </c>
      <c r="D272" t="s">
        <v>296</v>
      </c>
      <c r="E272" s="2">
        <v>0</v>
      </c>
      <c r="F272" s="2">
        <v>0</v>
      </c>
      <c r="G272">
        <v>27</v>
      </c>
      <c r="H272" t="s">
        <v>58</v>
      </c>
      <c r="M272" s="2">
        <v>0</v>
      </c>
      <c r="N272" s="2">
        <v>0</v>
      </c>
      <c r="O272" s="2">
        <v>0</v>
      </c>
      <c r="R272" t="str">
        <f t="shared" si="12"/>
        <v>yes</v>
      </c>
      <c r="S272" t="str">
        <f t="shared" si="13"/>
        <v>no</v>
      </c>
      <c r="T2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2" s="2" t="b">
        <f t="shared" si="14"/>
        <v>0</v>
      </c>
      <c r="V272" s="2">
        <f>IF(Table4[[#This Row],[linear?]],Table4[[#This Row],[av]],10^(Table4[[#This Row],[av]]/10))</f>
        <v>1</v>
      </c>
      <c r="W272" s="2">
        <f>IF(Table4[[#This Row],[linear?]],Table4[[#This Row],[av]],10^(Table4[[#This Row],[av]]/10))</f>
        <v>1</v>
      </c>
      <c r="X272" s="2">
        <f>Table4[[#This Row],[av_lin]]-2*Table4[[#This Row],[std_lin]]</f>
        <v>-1</v>
      </c>
      <c r="Y272" s="2">
        <f>Table4[[#This Row],[av_lin]]+2*Table4[[#This Row],[std_lin]]</f>
        <v>3</v>
      </c>
    </row>
    <row r="273" spans="1:25" x14ac:dyDescent="0.35">
      <c r="A273" s="1">
        <v>320</v>
      </c>
      <c r="B273" t="s">
        <v>75</v>
      </c>
      <c r="C273" t="s">
        <v>253</v>
      </c>
      <c r="D273" t="s">
        <v>297</v>
      </c>
      <c r="E273" s="2">
        <v>6.420274074074074</v>
      </c>
      <c r="F273" s="2">
        <v>13.48091334804419</v>
      </c>
      <c r="G273">
        <v>27</v>
      </c>
      <c r="H273" t="s">
        <v>58</v>
      </c>
      <c r="M273" s="2">
        <v>33.382100770162452</v>
      </c>
      <c r="N273" s="2">
        <v>-20.541552622014311</v>
      </c>
      <c r="O273" s="2">
        <v>53.92365339217676</v>
      </c>
      <c r="P273" s="2">
        <v>0.47624919086105738</v>
      </c>
      <c r="R273" t="str">
        <f t="shared" si="12"/>
        <v>yes</v>
      </c>
      <c r="S273" t="str">
        <f t="shared" si="13"/>
        <v>no</v>
      </c>
      <c r="T2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3" s="2" t="b">
        <f t="shared" si="14"/>
        <v>1</v>
      </c>
      <c r="V273" s="2">
        <f>IF(Table4[[#This Row],[linear?]],Table4[[#This Row],[av]],10^(Table4[[#This Row],[av]]/10))</f>
        <v>6.420274074074074</v>
      </c>
      <c r="W273" s="2">
        <f>IF(Table4[[#This Row],[linear?]],Table4[[#This Row],[av]],10^(Table4[[#This Row],[av]]/10))</f>
        <v>6.420274074074074</v>
      </c>
      <c r="X273" s="2">
        <f>Table4[[#This Row],[av_lin]]-2*Table4[[#This Row],[std_lin]]</f>
        <v>-6.420274074074074</v>
      </c>
      <c r="Y273" s="2">
        <f>Table4[[#This Row],[av_lin]]+2*Table4[[#This Row],[std_lin]]</f>
        <v>19.260822222222224</v>
      </c>
    </row>
    <row r="274" spans="1:25" x14ac:dyDescent="0.35">
      <c r="A274" s="1">
        <v>321</v>
      </c>
      <c r="B274" t="s">
        <v>75</v>
      </c>
      <c r="C274" t="s">
        <v>253</v>
      </c>
      <c r="D274" t="s">
        <v>298</v>
      </c>
      <c r="E274" s="2">
        <v>26.10714444444444</v>
      </c>
      <c r="F274" s="2">
        <v>58.512931992207427</v>
      </c>
      <c r="G274">
        <v>27</v>
      </c>
      <c r="H274" t="s">
        <v>58</v>
      </c>
      <c r="M274" s="2">
        <v>143.13300842885931</v>
      </c>
      <c r="N274" s="2">
        <v>-90.918719539970411</v>
      </c>
      <c r="O274" s="2">
        <v>234.05172796882971</v>
      </c>
      <c r="P274" s="2">
        <v>0.44617734158187988</v>
      </c>
      <c r="R274" t="str">
        <f t="shared" si="12"/>
        <v>yes</v>
      </c>
      <c r="S274" t="str">
        <f t="shared" si="13"/>
        <v>no</v>
      </c>
      <c r="T2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4" s="2" t="b">
        <f t="shared" si="14"/>
        <v>0</v>
      </c>
      <c r="V274" s="2">
        <f>IF(Table4[[#This Row],[linear?]],Table4[[#This Row],[av]],10^(Table4[[#This Row],[av]]/10))</f>
        <v>408.05099806163383</v>
      </c>
      <c r="W274" s="2">
        <f>IF(Table4[[#This Row],[linear?]],Table4[[#This Row],[av]],10^(Table4[[#This Row],[av]]/10))</f>
        <v>408.05099806163383</v>
      </c>
      <c r="X274" s="2">
        <f>Table4[[#This Row],[av_lin]]-2*Table4[[#This Row],[std_lin]]</f>
        <v>-408.05099806163383</v>
      </c>
      <c r="Y274" s="2">
        <f>Table4[[#This Row],[av_lin]]+2*Table4[[#This Row],[std_lin]]</f>
        <v>1224.1529941849014</v>
      </c>
    </row>
    <row r="275" spans="1:25" x14ac:dyDescent="0.35">
      <c r="A275" s="1">
        <v>322</v>
      </c>
      <c r="B275" t="s">
        <v>75</v>
      </c>
      <c r="C275" t="s">
        <v>253</v>
      </c>
      <c r="D275" t="s">
        <v>299</v>
      </c>
      <c r="E275" s="2">
        <v>0</v>
      </c>
      <c r="F275" s="2">
        <v>0</v>
      </c>
      <c r="G275">
        <v>27</v>
      </c>
      <c r="H275" t="s">
        <v>58</v>
      </c>
      <c r="M275" s="2">
        <v>0</v>
      </c>
      <c r="N275" s="2">
        <v>0</v>
      </c>
      <c r="O275" s="2">
        <v>0</v>
      </c>
      <c r="R275" t="str">
        <f t="shared" si="12"/>
        <v>yes</v>
      </c>
      <c r="S275" t="str">
        <f t="shared" si="13"/>
        <v>no</v>
      </c>
      <c r="T2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5" s="2" t="b">
        <f t="shared" si="14"/>
        <v>0</v>
      </c>
      <c r="V275" s="2">
        <f>IF(Table4[[#This Row],[linear?]],Table4[[#This Row],[av]],10^(Table4[[#This Row],[av]]/10))</f>
        <v>1</v>
      </c>
      <c r="W275" s="2">
        <f>IF(Table4[[#This Row],[linear?]],Table4[[#This Row],[av]],10^(Table4[[#This Row],[av]]/10))</f>
        <v>1</v>
      </c>
      <c r="X275" s="2">
        <f>Table4[[#This Row],[av_lin]]-2*Table4[[#This Row],[std_lin]]</f>
        <v>-1</v>
      </c>
      <c r="Y275" s="2">
        <f>Table4[[#This Row],[av_lin]]+2*Table4[[#This Row],[std_lin]]</f>
        <v>3</v>
      </c>
    </row>
    <row r="276" spans="1:25" x14ac:dyDescent="0.35">
      <c r="A276" s="1">
        <v>323</v>
      </c>
      <c r="B276" t="s">
        <v>75</v>
      </c>
      <c r="C276" t="s">
        <v>253</v>
      </c>
      <c r="D276" t="s">
        <v>300</v>
      </c>
      <c r="E276" s="2">
        <v>0</v>
      </c>
      <c r="F276" s="2">
        <v>0</v>
      </c>
      <c r="G276">
        <v>27</v>
      </c>
      <c r="H276" t="s">
        <v>58</v>
      </c>
      <c r="M276" s="2">
        <v>0</v>
      </c>
      <c r="N276" s="2">
        <v>0</v>
      </c>
      <c r="O276" s="2">
        <v>0</v>
      </c>
      <c r="R276" t="str">
        <f t="shared" si="12"/>
        <v>yes</v>
      </c>
      <c r="S276" t="str">
        <f t="shared" si="13"/>
        <v>no</v>
      </c>
      <c r="T2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6" s="2" t="b">
        <f t="shared" si="14"/>
        <v>0</v>
      </c>
      <c r="V276" s="2">
        <f>IF(Table4[[#This Row],[linear?]],Table4[[#This Row],[av]],10^(Table4[[#This Row],[av]]/10))</f>
        <v>1</v>
      </c>
      <c r="W276" s="2">
        <f>IF(Table4[[#This Row],[linear?]],Table4[[#This Row],[av]],10^(Table4[[#This Row],[av]]/10))</f>
        <v>1</v>
      </c>
      <c r="X276" s="2">
        <f>Table4[[#This Row],[av_lin]]-2*Table4[[#This Row],[std_lin]]</f>
        <v>-1</v>
      </c>
      <c r="Y276" s="2">
        <f>Table4[[#This Row],[av_lin]]+2*Table4[[#This Row],[std_lin]]</f>
        <v>3</v>
      </c>
    </row>
    <row r="277" spans="1:25" x14ac:dyDescent="0.35">
      <c r="A277" s="1">
        <v>324</v>
      </c>
      <c r="B277" t="s">
        <v>75</v>
      </c>
      <c r="C277" t="s">
        <v>253</v>
      </c>
      <c r="D277" t="s">
        <v>301</v>
      </c>
      <c r="E277" s="2">
        <v>7.8045481481481476</v>
      </c>
      <c r="F277" s="2">
        <v>16.431622008557959</v>
      </c>
      <c r="G277">
        <v>27</v>
      </c>
      <c r="H277" t="s">
        <v>58</v>
      </c>
      <c r="M277" s="2">
        <v>40.667792165264068</v>
      </c>
      <c r="N277" s="2">
        <v>-25.058695868967771</v>
      </c>
      <c r="O277" s="2">
        <v>65.726488034231835</v>
      </c>
      <c r="P277" s="2">
        <v>0.4749712562815383</v>
      </c>
      <c r="R277" t="str">
        <f t="shared" si="12"/>
        <v>yes</v>
      </c>
      <c r="S277" t="str">
        <f t="shared" si="13"/>
        <v>no</v>
      </c>
      <c r="T2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7" s="2" t="b">
        <f t="shared" si="14"/>
        <v>1</v>
      </c>
      <c r="V277" s="2">
        <f>IF(Table4[[#This Row],[linear?]],Table4[[#This Row],[av]],10^(Table4[[#This Row],[av]]/10))</f>
        <v>7.8045481481481476</v>
      </c>
      <c r="W277" s="2">
        <f>IF(Table4[[#This Row],[linear?]],Table4[[#This Row],[av]],10^(Table4[[#This Row],[av]]/10))</f>
        <v>7.8045481481481476</v>
      </c>
      <c r="X277" s="2">
        <f>Table4[[#This Row],[av_lin]]-2*Table4[[#This Row],[std_lin]]</f>
        <v>-7.8045481481481476</v>
      </c>
      <c r="Y277" s="2">
        <f>Table4[[#This Row],[av_lin]]+2*Table4[[#This Row],[std_lin]]</f>
        <v>23.413644444444444</v>
      </c>
    </row>
    <row r="278" spans="1:25" x14ac:dyDescent="0.35">
      <c r="A278" s="1">
        <v>325</v>
      </c>
      <c r="B278" t="s">
        <v>75</v>
      </c>
      <c r="C278" t="s">
        <v>253</v>
      </c>
      <c r="D278" t="s">
        <v>302</v>
      </c>
      <c r="E278" s="2">
        <v>0</v>
      </c>
      <c r="F278" s="2">
        <v>0</v>
      </c>
      <c r="G278">
        <v>27</v>
      </c>
      <c r="H278" t="s">
        <v>58</v>
      </c>
      <c r="M278" s="2">
        <v>0</v>
      </c>
      <c r="N278" s="2">
        <v>0</v>
      </c>
      <c r="O278" s="2">
        <v>0</v>
      </c>
      <c r="R278" t="str">
        <f t="shared" si="12"/>
        <v>yes</v>
      </c>
      <c r="S278" t="str">
        <f t="shared" si="13"/>
        <v>no</v>
      </c>
      <c r="T2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8" s="2" t="b">
        <f t="shared" si="14"/>
        <v>0</v>
      </c>
      <c r="V278" s="2">
        <f>IF(Table4[[#This Row],[linear?]],Table4[[#This Row],[av]],10^(Table4[[#This Row],[av]]/10))</f>
        <v>1</v>
      </c>
      <c r="W278" s="2">
        <f>IF(Table4[[#This Row],[linear?]],Table4[[#This Row],[av]],10^(Table4[[#This Row],[av]]/10))</f>
        <v>1</v>
      </c>
      <c r="X278" s="2">
        <f>Table4[[#This Row],[av_lin]]-2*Table4[[#This Row],[std_lin]]</f>
        <v>-1</v>
      </c>
      <c r="Y278" s="2">
        <f>Table4[[#This Row],[av_lin]]+2*Table4[[#This Row],[std_lin]]</f>
        <v>3</v>
      </c>
    </row>
    <row r="279" spans="1:25" x14ac:dyDescent="0.35">
      <c r="A279" s="1">
        <v>326</v>
      </c>
      <c r="B279" t="s">
        <v>75</v>
      </c>
      <c r="C279" t="s">
        <v>253</v>
      </c>
      <c r="D279" t="s">
        <v>303</v>
      </c>
      <c r="E279" s="2">
        <v>2.9957555555555562</v>
      </c>
      <c r="F279" s="2">
        <v>5.6045454517067581</v>
      </c>
      <c r="G279">
        <v>27</v>
      </c>
      <c r="H279" t="s">
        <v>58</v>
      </c>
      <c r="M279" s="2">
        <v>14.204846458969071</v>
      </c>
      <c r="N279" s="2">
        <v>-8.21333534785796</v>
      </c>
      <c r="O279" s="2">
        <v>22.418181806827029</v>
      </c>
      <c r="P279" s="2">
        <v>0.5345224838248489</v>
      </c>
      <c r="R279" t="str">
        <f t="shared" si="12"/>
        <v>yes</v>
      </c>
      <c r="S279" t="str">
        <f t="shared" si="13"/>
        <v>no</v>
      </c>
      <c r="T2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9" s="2" t="b">
        <f t="shared" si="14"/>
        <v>0</v>
      </c>
      <c r="V279" s="2">
        <f>IF(Table4[[#This Row],[linear?]],Table4[[#This Row],[av]],10^(Table4[[#This Row],[av]]/10))</f>
        <v>1.9933132588797982</v>
      </c>
      <c r="W279" s="2">
        <f>IF(Table4[[#This Row],[linear?]],Table4[[#This Row],[av]],10^(Table4[[#This Row],[av]]/10))</f>
        <v>1.9933132588797982</v>
      </c>
      <c r="X279" s="2">
        <f>Table4[[#This Row],[av_lin]]-2*Table4[[#This Row],[std_lin]]</f>
        <v>-1.9933132588797982</v>
      </c>
      <c r="Y279" s="2">
        <f>Table4[[#This Row],[av_lin]]+2*Table4[[#This Row],[std_lin]]</f>
        <v>5.9799397766393945</v>
      </c>
    </row>
    <row r="280" spans="1:25" x14ac:dyDescent="0.35">
      <c r="A280" s="1">
        <v>327</v>
      </c>
      <c r="B280" t="s">
        <v>75</v>
      </c>
      <c r="C280" t="s">
        <v>253</v>
      </c>
      <c r="D280" t="s">
        <v>304</v>
      </c>
      <c r="E280" s="2">
        <v>0</v>
      </c>
      <c r="F280" s="2">
        <v>0</v>
      </c>
      <c r="G280">
        <v>27</v>
      </c>
      <c r="H280" t="s">
        <v>58</v>
      </c>
      <c r="M280" s="2">
        <v>0</v>
      </c>
      <c r="N280" s="2">
        <v>0</v>
      </c>
      <c r="O280" s="2">
        <v>0</v>
      </c>
      <c r="R280" t="str">
        <f t="shared" si="12"/>
        <v>yes</v>
      </c>
      <c r="S280" t="str">
        <f t="shared" si="13"/>
        <v>no</v>
      </c>
      <c r="T2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0" s="2" t="b">
        <f t="shared" si="14"/>
        <v>0</v>
      </c>
      <c r="V280" s="2">
        <f>IF(Table4[[#This Row],[linear?]],Table4[[#This Row],[av]],10^(Table4[[#This Row],[av]]/10))</f>
        <v>1</v>
      </c>
      <c r="W280" s="2">
        <f>IF(Table4[[#This Row],[linear?]],Table4[[#This Row],[av]],10^(Table4[[#This Row],[av]]/10))</f>
        <v>1</v>
      </c>
      <c r="X280" s="2">
        <f>Table4[[#This Row],[av_lin]]-2*Table4[[#This Row],[std_lin]]</f>
        <v>-1</v>
      </c>
      <c r="Y280" s="2">
        <f>Table4[[#This Row],[av_lin]]+2*Table4[[#This Row],[std_lin]]</f>
        <v>3</v>
      </c>
    </row>
    <row r="281" spans="1:25" x14ac:dyDescent="0.35">
      <c r="A281" s="1">
        <v>328</v>
      </c>
      <c r="B281" t="s">
        <v>75</v>
      </c>
      <c r="C281" t="s">
        <v>253</v>
      </c>
      <c r="D281" t="s">
        <v>305</v>
      </c>
      <c r="E281" s="2">
        <v>9.6849037037037036</v>
      </c>
      <c r="F281" s="2">
        <v>18.245077643014191</v>
      </c>
      <c r="G281">
        <v>27</v>
      </c>
      <c r="H281" t="s">
        <v>58</v>
      </c>
      <c r="M281" s="2">
        <v>46.175058989732094</v>
      </c>
      <c r="N281" s="2">
        <v>-26.805251582324679</v>
      </c>
      <c r="O281" s="2">
        <v>72.980310572056766</v>
      </c>
      <c r="P281" s="2">
        <v>0.53082282757025867</v>
      </c>
      <c r="R281" t="str">
        <f t="shared" si="12"/>
        <v>yes</v>
      </c>
      <c r="S281" t="str">
        <f t="shared" si="13"/>
        <v>no</v>
      </c>
      <c r="T2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1" s="2" t="b">
        <f t="shared" si="14"/>
        <v>1</v>
      </c>
      <c r="V281" s="2">
        <f>IF(Table4[[#This Row],[linear?]],Table4[[#This Row],[av]],10^(Table4[[#This Row],[av]]/10))</f>
        <v>9.6849037037037036</v>
      </c>
      <c r="W281" s="2">
        <f>IF(Table4[[#This Row],[linear?]],Table4[[#This Row],[av]],10^(Table4[[#This Row],[av]]/10))</f>
        <v>9.6849037037037036</v>
      </c>
      <c r="X281" s="2">
        <f>Table4[[#This Row],[av_lin]]-2*Table4[[#This Row],[std_lin]]</f>
        <v>-9.6849037037037036</v>
      </c>
      <c r="Y281" s="2">
        <f>Table4[[#This Row],[av_lin]]+2*Table4[[#This Row],[std_lin]]</f>
        <v>29.054711111111111</v>
      </c>
    </row>
    <row r="282" spans="1:25" x14ac:dyDescent="0.35">
      <c r="A282" s="1">
        <v>329</v>
      </c>
      <c r="B282" t="s">
        <v>75</v>
      </c>
      <c r="C282" t="s">
        <v>253</v>
      </c>
      <c r="D282" t="s">
        <v>306</v>
      </c>
      <c r="E282" s="2">
        <v>0</v>
      </c>
      <c r="F282" s="2">
        <v>0</v>
      </c>
      <c r="G282">
        <v>27</v>
      </c>
      <c r="H282" t="s">
        <v>58</v>
      </c>
      <c r="M282" s="2">
        <v>0</v>
      </c>
      <c r="N282" s="2">
        <v>0</v>
      </c>
      <c r="O282" s="2">
        <v>0</v>
      </c>
      <c r="R282" t="str">
        <f t="shared" si="12"/>
        <v>yes</v>
      </c>
      <c r="S282" t="str">
        <f t="shared" si="13"/>
        <v>no</v>
      </c>
      <c r="T2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2" s="2" t="b">
        <f t="shared" si="14"/>
        <v>0</v>
      </c>
      <c r="V282" s="2">
        <f>IF(Table4[[#This Row],[linear?]],Table4[[#This Row],[av]],10^(Table4[[#This Row],[av]]/10))</f>
        <v>1</v>
      </c>
      <c r="W282" s="2">
        <f>IF(Table4[[#This Row],[linear?]],Table4[[#This Row],[av]],10^(Table4[[#This Row],[av]]/10))</f>
        <v>1</v>
      </c>
      <c r="X282" s="2">
        <f>Table4[[#This Row],[av_lin]]-2*Table4[[#This Row],[std_lin]]</f>
        <v>-1</v>
      </c>
      <c r="Y282" s="2">
        <f>Table4[[#This Row],[av_lin]]+2*Table4[[#This Row],[std_lin]]</f>
        <v>3</v>
      </c>
    </row>
    <row r="283" spans="1:25" x14ac:dyDescent="0.35">
      <c r="A283" s="1">
        <v>330</v>
      </c>
      <c r="B283" t="s">
        <v>75</v>
      </c>
      <c r="C283" t="s">
        <v>253</v>
      </c>
      <c r="D283" t="s">
        <v>307</v>
      </c>
      <c r="E283" s="2">
        <v>3.994340740740741</v>
      </c>
      <c r="F283" s="2">
        <v>6.1556924987129253</v>
      </c>
      <c r="G283">
        <v>27</v>
      </c>
      <c r="H283" t="s">
        <v>58</v>
      </c>
      <c r="M283" s="2">
        <v>16.30572573816659</v>
      </c>
      <c r="N283" s="2">
        <v>-8.3170442566851097</v>
      </c>
      <c r="O283" s="2">
        <v>24.622769994851701</v>
      </c>
      <c r="P283" s="2">
        <v>0.64888568452305007</v>
      </c>
      <c r="R283" t="str">
        <f t="shared" si="12"/>
        <v>yes</v>
      </c>
      <c r="S283" t="str">
        <f t="shared" si="13"/>
        <v>no</v>
      </c>
      <c r="T2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3" s="2" t="b">
        <f t="shared" si="14"/>
        <v>0</v>
      </c>
      <c r="V283" s="2">
        <f>IF(Table4[[#This Row],[linear?]],Table4[[#This Row],[av]],10^(Table4[[#This Row],[av]]/10))</f>
        <v>2.508615342615431</v>
      </c>
      <c r="W283" s="2">
        <f>IF(Table4[[#This Row],[linear?]],Table4[[#This Row],[av]],10^(Table4[[#This Row],[av]]/10))</f>
        <v>2.508615342615431</v>
      </c>
      <c r="X283" s="2">
        <f>Table4[[#This Row],[av_lin]]-2*Table4[[#This Row],[std_lin]]</f>
        <v>-2.508615342615431</v>
      </c>
      <c r="Y283" s="2">
        <f>Table4[[#This Row],[av_lin]]+2*Table4[[#This Row],[std_lin]]</f>
        <v>7.5258460278462929</v>
      </c>
    </row>
    <row r="284" spans="1:25" x14ac:dyDescent="0.35">
      <c r="A284" s="1">
        <v>331</v>
      </c>
      <c r="B284" t="s">
        <v>75</v>
      </c>
      <c r="C284" t="s">
        <v>253</v>
      </c>
      <c r="D284" t="s">
        <v>308</v>
      </c>
      <c r="E284" s="2">
        <v>0</v>
      </c>
      <c r="F284" s="2">
        <v>0</v>
      </c>
      <c r="G284">
        <v>27</v>
      </c>
      <c r="H284" t="s">
        <v>58</v>
      </c>
      <c r="M284" s="2">
        <v>0</v>
      </c>
      <c r="N284" s="2">
        <v>0</v>
      </c>
      <c r="O284" s="2">
        <v>0</v>
      </c>
      <c r="R284" t="str">
        <f t="shared" si="12"/>
        <v>yes</v>
      </c>
      <c r="S284" t="str">
        <f t="shared" si="13"/>
        <v>no</v>
      </c>
      <c r="T2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4" s="2" t="b">
        <f t="shared" si="14"/>
        <v>0</v>
      </c>
      <c r="V284" s="2">
        <f>IF(Table4[[#This Row],[linear?]],Table4[[#This Row],[av]],10^(Table4[[#This Row],[av]]/10))</f>
        <v>1</v>
      </c>
      <c r="W284" s="2">
        <f>IF(Table4[[#This Row],[linear?]],Table4[[#This Row],[av]],10^(Table4[[#This Row],[av]]/10))</f>
        <v>1</v>
      </c>
      <c r="X284" s="2">
        <f>Table4[[#This Row],[av_lin]]-2*Table4[[#This Row],[std_lin]]</f>
        <v>-1</v>
      </c>
      <c r="Y284" s="2">
        <f>Table4[[#This Row],[av_lin]]+2*Table4[[#This Row],[std_lin]]</f>
        <v>3</v>
      </c>
    </row>
    <row r="285" spans="1:25" x14ac:dyDescent="0.35">
      <c r="A285" s="1">
        <v>332</v>
      </c>
      <c r="B285" t="s">
        <v>75</v>
      </c>
      <c r="C285" t="s">
        <v>253</v>
      </c>
      <c r="D285" t="s">
        <v>309</v>
      </c>
      <c r="E285" s="2">
        <v>12.540518518518519</v>
      </c>
      <c r="F285" s="2">
        <v>19.751001805910111</v>
      </c>
      <c r="G285">
        <v>27</v>
      </c>
      <c r="H285" t="s">
        <v>58</v>
      </c>
      <c r="M285" s="2">
        <v>52.042522130338739</v>
      </c>
      <c r="N285" s="2">
        <v>-26.9614850933017</v>
      </c>
      <c r="O285" s="2">
        <v>79.004007223640443</v>
      </c>
      <c r="P285" s="2">
        <v>0.6349307565131207</v>
      </c>
      <c r="R285" t="str">
        <f t="shared" si="12"/>
        <v>yes</v>
      </c>
      <c r="S285" t="str">
        <f t="shared" si="13"/>
        <v>no</v>
      </c>
      <c r="T2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5" s="2" t="b">
        <f t="shared" si="14"/>
        <v>1</v>
      </c>
      <c r="V285" s="2">
        <f>IF(Table4[[#This Row],[linear?]],Table4[[#This Row],[av]],10^(Table4[[#This Row],[av]]/10))</f>
        <v>12.540518518518519</v>
      </c>
      <c r="W285" s="2">
        <f>IF(Table4[[#This Row],[linear?]],Table4[[#This Row],[av]],10^(Table4[[#This Row],[av]]/10))</f>
        <v>12.540518518518519</v>
      </c>
      <c r="X285" s="2">
        <f>Table4[[#This Row],[av_lin]]-2*Table4[[#This Row],[std_lin]]</f>
        <v>-12.540518518518519</v>
      </c>
      <c r="Y285" s="2">
        <f>Table4[[#This Row],[av_lin]]+2*Table4[[#This Row],[std_lin]]</f>
        <v>37.62155555555556</v>
      </c>
    </row>
    <row r="286" spans="1:25" x14ac:dyDescent="0.35">
      <c r="A286" s="1">
        <v>333</v>
      </c>
      <c r="B286" t="s">
        <v>75</v>
      </c>
      <c r="C286" t="s">
        <v>253</v>
      </c>
      <c r="D286" t="s">
        <v>310</v>
      </c>
      <c r="E286" s="2">
        <v>0</v>
      </c>
      <c r="F286" s="2">
        <v>0</v>
      </c>
      <c r="G286">
        <v>27</v>
      </c>
      <c r="H286" t="s">
        <v>58</v>
      </c>
      <c r="M286" s="2">
        <v>0</v>
      </c>
      <c r="N286" s="2">
        <v>0</v>
      </c>
      <c r="O286" s="2">
        <v>0</v>
      </c>
      <c r="R286" t="str">
        <f t="shared" si="12"/>
        <v>yes</v>
      </c>
      <c r="S286" t="str">
        <f t="shared" si="13"/>
        <v>no</v>
      </c>
      <c r="T2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6" s="2" t="b">
        <f t="shared" si="14"/>
        <v>0</v>
      </c>
      <c r="V286" s="2">
        <f>IF(Table4[[#This Row],[linear?]],Table4[[#This Row],[av]],10^(Table4[[#This Row],[av]]/10))</f>
        <v>1</v>
      </c>
      <c r="W286" s="2">
        <f>IF(Table4[[#This Row],[linear?]],Table4[[#This Row],[av]],10^(Table4[[#This Row],[av]]/10))</f>
        <v>1</v>
      </c>
      <c r="X286" s="2">
        <f>Table4[[#This Row],[av_lin]]-2*Table4[[#This Row],[std_lin]]</f>
        <v>-1</v>
      </c>
      <c r="Y286" s="2">
        <f>Table4[[#This Row],[av_lin]]+2*Table4[[#This Row],[std_lin]]</f>
        <v>3</v>
      </c>
    </row>
    <row r="287" spans="1:25" x14ac:dyDescent="0.35">
      <c r="A287" s="1">
        <v>334</v>
      </c>
      <c r="B287" t="s">
        <v>75</v>
      </c>
      <c r="C287" t="s">
        <v>253</v>
      </c>
      <c r="D287" t="s">
        <v>311</v>
      </c>
      <c r="E287" s="2">
        <v>2.9957555555555562</v>
      </c>
      <c r="F287" s="2">
        <v>5.6045454517067581</v>
      </c>
      <c r="G287">
        <v>27</v>
      </c>
      <c r="H287" t="s">
        <v>58</v>
      </c>
      <c r="M287" s="2">
        <v>14.204846458969071</v>
      </c>
      <c r="N287" s="2">
        <v>-8.21333534785796</v>
      </c>
      <c r="O287" s="2">
        <v>22.418181806827029</v>
      </c>
      <c r="P287" s="2">
        <v>0.5345224838248489</v>
      </c>
      <c r="R287" t="str">
        <f t="shared" si="12"/>
        <v>yes</v>
      </c>
      <c r="S287" t="str">
        <f t="shared" si="13"/>
        <v>no</v>
      </c>
      <c r="T2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7" s="2" t="b">
        <f t="shared" si="14"/>
        <v>0</v>
      </c>
      <c r="V287" s="2">
        <f>IF(Table4[[#This Row],[linear?]],Table4[[#This Row],[av]],10^(Table4[[#This Row],[av]]/10))</f>
        <v>1.9933132588797982</v>
      </c>
      <c r="W287" s="2">
        <f>IF(Table4[[#This Row],[linear?]],Table4[[#This Row],[av]],10^(Table4[[#This Row],[av]]/10))</f>
        <v>1.9933132588797982</v>
      </c>
      <c r="X287" s="2">
        <f>Table4[[#This Row],[av_lin]]-2*Table4[[#This Row],[std_lin]]</f>
        <v>-1.9933132588797982</v>
      </c>
      <c r="Y287" s="2">
        <f>Table4[[#This Row],[av_lin]]+2*Table4[[#This Row],[std_lin]]</f>
        <v>5.9799397766393945</v>
      </c>
    </row>
    <row r="288" spans="1:25" x14ac:dyDescent="0.35">
      <c r="A288" s="1">
        <v>335</v>
      </c>
      <c r="B288" t="s">
        <v>75</v>
      </c>
      <c r="C288" t="s">
        <v>253</v>
      </c>
      <c r="D288" t="s">
        <v>312</v>
      </c>
      <c r="E288" s="2">
        <v>0</v>
      </c>
      <c r="F288" s="2">
        <v>0</v>
      </c>
      <c r="G288">
        <v>27</v>
      </c>
      <c r="H288" t="s">
        <v>58</v>
      </c>
      <c r="M288" s="2">
        <v>0</v>
      </c>
      <c r="N288" s="2">
        <v>0</v>
      </c>
      <c r="O288" s="2">
        <v>0</v>
      </c>
      <c r="R288" t="str">
        <f t="shared" si="12"/>
        <v>yes</v>
      </c>
      <c r="S288" t="str">
        <f t="shared" si="13"/>
        <v>no</v>
      </c>
      <c r="T2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8" s="2" t="b">
        <f t="shared" si="14"/>
        <v>0</v>
      </c>
      <c r="V288" s="2">
        <f>IF(Table4[[#This Row],[linear?]],Table4[[#This Row],[av]],10^(Table4[[#This Row],[av]]/10))</f>
        <v>1</v>
      </c>
      <c r="W288" s="2">
        <f>IF(Table4[[#This Row],[linear?]],Table4[[#This Row],[av]],10^(Table4[[#This Row],[av]]/10))</f>
        <v>1</v>
      </c>
      <c r="X288" s="2">
        <f>Table4[[#This Row],[av_lin]]-2*Table4[[#This Row],[std_lin]]</f>
        <v>-1</v>
      </c>
      <c r="Y288" s="2">
        <f>Table4[[#This Row],[av_lin]]+2*Table4[[#This Row],[std_lin]]</f>
        <v>3</v>
      </c>
    </row>
    <row r="289" spans="1:25" x14ac:dyDescent="0.35">
      <c r="A289" s="1">
        <v>336</v>
      </c>
      <c r="B289" t="s">
        <v>75</v>
      </c>
      <c r="C289" t="s">
        <v>253</v>
      </c>
      <c r="D289" t="s">
        <v>313</v>
      </c>
      <c r="E289" s="2">
        <v>7.8746999999999998</v>
      </c>
      <c r="F289" s="2">
        <v>14.76680814163481</v>
      </c>
      <c r="G289">
        <v>27</v>
      </c>
      <c r="H289" t="s">
        <v>58</v>
      </c>
      <c r="M289" s="2">
        <v>37.40831628326962</v>
      </c>
      <c r="N289" s="2">
        <v>-21.658916283269619</v>
      </c>
      <c r="O289" s="2">
        <v>59.067232566539239</v>
      </c>
      <c r="P289" s="2">
        <v>0.53327028593250247</v>
      </c>
      <c r="R289" t="str">
        <f t="shared" si="12"/>
        <v>yes</v>
      </c>
      <c r="S289" t="str">
        <f t="shared" si="13"/>
        <v>no</v>
      </c>
      <c r="T2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9" s="2" t="b">
        <f t="shared" si="14"/>
        <v>1</v>
      </c>
      <c r="V289" s="2">
        <f>IF(Table4[[#This Row],[linear?]],Table4[[#This Row],[av]],10^(Table4[[#This Row],[av]]/10))</f>
        <v>7.8746999999999998</v>
      </c>
      <c r="W289" s="2">
        <f>IF(Table4[[#This Row],[linear?]],Table4[[#This Row],[av]],10^(Table4[[#This Row],[av]]/10))</f>
        <v>7.8746999999999998</v>
      </c>
      <c r="X289" s="2">
        <f>Table4[[#This Row],[av_lin]]-2*Table4[[#This Row],[std_lin]]</f>
        <v>-7.8746999999999998</v>
      </c>
      <c r="Y289" s="2">
        <f>Table4[[#This Row],[av_lin]]+2*Table4[[#This Row],[std_lin]]</f>
        <v>23.624099999999999</v>
      </c>
    </row>
    <row r="290" spans="1:25" x14ac:dyDescent="0.35">
      <c r="A290" s="1">
        <v>337</v>
      </c>
      <c r="B290" t="s">
        <v>75</v>
      </c>
      <c r="C290" t="s">
        <v>253</v>
      </c>
      <c r="D290" t="s">
        <v>314</v>
      </c>
      <c r="E290" s="2">
        <v>0</v>
      </c>
      <c r="F290" s="2">
        <v>0</v>
      </c>
      <c r="G290">
        <v>27</v>
      </c>
      <c r="H290" t="s">
        <v>58</v>
      </c>
      <c r="M290" s="2">
        <v>0</v>
      </c>
      <c r="N290" s="2">
        <v>0</v>
      </c>
      <c r="O290" s="2">
        <v>0</v>
      </c>
      <c r="R290" t="str">
        <f t="shared" si="12"/>
        <v>yes</v>
      </c>
      <c r="S290" t="str">
        <f t="shared" si="13"/>
        <v>no</v>
      </c>
      <c r="T2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0" s="2" t="b">
        <f t="shared" si="14"/>
        <v>0</v>
      </c>
      <c r="V290" s="2">
        <f>IF(Table4[[#This Row],[linear?]],Table4[[#This Row],[av]],10^(Table4[[#This Row],[av]]/10))</f>
        <v>1</v>
      </c>
      <c r="W290" s="2">
        <f>IF(Table4[[#This Row],[linear?]],Table4[[#This Row],[av]],10^(Table4[[#This Row],[av]]/10))</f>
        <v>1</v>
      </c>
      <c r="X290" s="2">
        <f>Table4[[#This Row],[av_lin]]-2*Table4[[#This Row],[std_lin]]</f>
        <v>-1</v>
      </c>
      <c r="Y290" s="2">
        <f>Table4[[#This Row],[av_lin]]+2*Table4[[#This Row],[std_lin]]</f>
        <v>3</v>
      </c>
    </row>
    <row r="291" spans="1:25" x14ac:dyDescent="0.35">
      <c r="A291" s="1">
        <v>338</v>
      </c>
      <c r="B291" t="s">
        <v>75</v>
      </c>
      <c r="C291" t="s">
        <v>253</v>
      </c>
      <c r="D291" t="s">
        <v>315</v>
      </c>
      <c r="E291" s="2">
        <v>3.994340740740741</v>
      </c>
      <c r="F291" s="2">
        <v>6.1556924987129253</v>
      </c>
      <c r="G291">
        <v>27</v>
      </c>
      <c r="H291" t="s">
        <v>58</v>
      </c>
      <c r="M291" s="2">
        <v>16.30572573816659</v>
      </c>
      <c r="N291" s="2">
        <v>-8.3170442566851097</v>
      </c>
      <c r="O291" s="2">
        <v>24.622769994851701</v>
      </c>
      <c r="P291" s="2">
        <v>0.64888568452305007</v>
      </c>
      <c r="R291" t="str">
        <f t="shared" si="12"/>
        <v>yes</v>
      </c>
      <c r="S291" t="str">
        <f t="shared" si="13"/>
        <v>no</v>
      </c>
      <c r="T2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1" s="2" t="b">
        <f t="shared" si="14"/>
        <v>0</v>
      </c>
      <c r="V291" s="2">
        <f>IF(Table4[[#This Row],[linear?]],Table4[[#This Row],[av]],10^(Table4[[#This Row],[av]]/10))</f>
        <v>2.508615342615431</v>
      </c>
      <c r="W291" s="2">
        <f>IF(Table4[[#This Row],[linear?]],Table4[[#This Row],[av]],10^(Table4[[#This Row],[av]]/10))</f>
        <v>2.508615342615431</v>
      </c>
      <c r="X291" s="2">
        <f>Table4[[#This Row],[av_lin]]-2*Table4[[#This Row],[std_lin]]</f>
        <v>-2.508615342615431</v>
      </c>
      <c r="Y291" s="2">
        <f>Table4[[#This Row],[av_lin]]+2*Table4[[#This Row],[std_lin]]</f>
        <v>7.5258460278462929</v>
      </c>
    </row>
    <row r="292" spans="1:25" x14ac:dyDescent="0.35">
      <c r="A292" s="1">
        <v>339</v>
      </c>
      <c r="B292" t="s">
        <v>75</v>
      </c>
      <c r="C292" t="s">
        <v>253</v>
      </c>
      <c r="D292" t="s">
        <v>316</v>
      </c>
      <c r="E292" s="2">
        <v>0</v>
      </c>
      <c r="F292" s="2">
        <v>0</v>
      </c>
      <c r="G292">
        <v>27</v>
      </c>
      <c r="H292" t="s">
        <v>58</v>
      </c>
      <c r="M292" s="2">
        <v>0</v>
      </c>
      <c r="N292" s="2">
        <v>0</v>
      </c>
      <c r="O292" s="2">
        <v>0</v>
      </c>
      <c r="R292" t="str">
        <f t="shared" si="12"/>
        <v>yes</v>
      </c>
      <c r="S292" t="str">
        <f t="shared" si="13"/>
        <v>no</v>
      </c>
      <c r="T2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2" s="2" t="b">
        <f t="shared" si="14"/>
        <v>0</v>
      </c>
      <c r="V292" s="2">
        <f>IF(Table4[[#This Row],[linear?]],Table4[[#This Row],[av]],10^(Table4[[#This Row],[av]]/10))</f>
        <v>1</v>
      </c>
      <c r="W292" s="2">
        <f>IF(Table4[[#This Row],[linear?]],Table4[[#This Row],[av]],10^(Table4[[#This Row],[av]]/10))</f>
        <v>1</v>
      </c>
      <c r="X292" s="2">
        <f>Table4[[#This Row],[av_lin]]-2*Table4[[#This Row],[std_lin]]</f>
        <v>-1</v>
      </c>
      <c r="Y292" s="2">
        <f>Table4[[#This Row],[av_lin]]+2*Table4[[#This Row],[std_lin]]</f>
        <v>3</v>
      </c>
    </row>
    <row r="293" spans="1:25" x14ac:dyDescent="0.35">
      <c r="A293" s="1">
        <v>340</v>
      </c>
      <c r="B293" t="s">
        <v>75</v>
      </c>
      <c r="C293" t="s">
        <v>253</v>
      </c>
      <c r="D293" t="s">
        <v>317</v>
      </c>
      <c r="E293" s="2">
        <v>10.836796296296299</v>
      </c>
      <c r="F293" s="2">
        <v>16.780344863724991</v>
      </c>
      <c r="G293">
        <v>27</v>
      </c>
      <c r="H293" t="s">
        <v>58</v>
      </c>
      <c r="M293" s="2">
        <v>44.397486023746282</v>
      </c>
      <c r="N293" s="2">
        <v>-22.72389343115368</v>
      </c>
      <c r="O293" s="2">
        <v>67.121379454899966</v>
      </c>
      <c r="P293" s="2">
        <v>0.64580295484408112</v>
      </c>
      <c r="R293" t="str">
        <f t="shared" si="12"/>
        <v>yes</v>
      </c>
      <c r="S293" t="str">
        <f t="shared" si="13"/>
        <v>no</v>
      </c>
      <c r="T2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3" s="2" t="b">
        <f t="shared" si="14"/>
        <v>1</v>
      </c>
      <c r="V293" s="2">
        <f>IF(Table4[[#This Row],[linear?]],Table4[[#This Row],[av]],10^(Table4[[#This Row],[av]]/10))</f>
        <v>10.836796296296299</v>
      </c>
      <c r="W293" s="2">
        <f>IF(Table4[[#This Row],[linear?]],Table4[[#This Row],[av]],10^(Table4[[#This Row],[av]]/10))</f>
        <v>10.836796296296299</v>
      </c>
      <c r="X293" s="2">
        <f>Table4[[#This Row],[av_lin]]-2*Table4[[#This Row],[std_lin]]</f>
        <v>-10.836796296296299</v>
      </c>
      <c r="Y293" s="2">
        <f>Table4[[#This Row],[av_lin]]+2*Table4[[#This Row],[std_lin]]</f>
        <v>32.510388888888897</v>
      </c>
    </row>
    <row r="294" spans="1:25" x14ac:dyDescent="0.35">
      <c r="A294" s="1">
        <v>341</v>
      </c>
      <c r="B294" t="s">
        <v>75</v>
      </c>
      <c r="C294" t="s">
        <v>253</v>
      </c>
      <c r="D294" t="s">
        <v>318</v>
      </c>
      <c r="E294" s="2">
        <v>0</v>
      </c>
      <c r="F294" s="2">
        <v>0</v>
      </c>
      <c r="G294">
        <v>27</v>
      </c>
      <c r="H294" t="s">
        <v>58</v>
      </c>
      <c r="M294" s="2">
        <v>0</v>
      </c>
      <c r="N294" s="2">
        <v>0</v>
      </c>
      <c r="O294" s="2">
        <v>0</v>
      </c>
      <c r="R294" t="str">
        <f t="shared" si="12"/>
        <v>yes</v>
      </c>
      <c r="S294" t="str">
        <f t="shared" si="13"/>
        <v>no</v>
      </c>
      <c r="T2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4" s="2" t="b">
        <f t="shared" si="14"/>
        <v>0</v>
      </c>
      <c r="V294" s="2">
        <f>IF(Table4[[#This Row],[linear?]],Table4[[#This Row],[av]],10^(Table4[[#This Row],[av]]/10))</f>
        <v>1</v>
      </c>
      <c r="W294" s="2">
        <f>IF(Table4[[#This Row],[linear?]],Table4[[#This Row],[av]],10^(Table4[[#This Row],[av]]/10))</f>
        <v>1</v>
      </c>
      <c r="X294" s="2">
        <f>Table4[[#This Row],[av_lin]]-2*Table4[[#This Row],[std_lin]]</f>
        <v>-1</v>
      </c>
      <c r="Y294" s="2">
        <f>Table4[[#This Row],[av_lin]]+2*Table4[[#This Row],[std_lin]]</f>
        <v>3</v>
      </c>
    </row>
    <row r="295" spans="1:25" x14ac:dyDescent="0.35">
      <c r="A295" s="1">
        <v>342</v>
      </c>
      <c r="B295" t="s">
        <v>75</v>
      </c>
      <c r="C295" t="s">
        <v>253</v>
      </c>
      <c r="D295" t="s">
        <v>319</v>
      </c>
      <c r="E295" s="2">
        <v>2.9957555555555562</v>
      </c>
      <c r="F295" s="2">
        <v>5.6045454517067581</v>
      </c>
      <c r="G295">
        <v>27</v>
      </c>
      <c r="H295" t="s">
        <v>58</v>
      </c>
      <c r="M295" s="2">
        <v>14.204846458969071</v>
      </c>
      <c r="N295" s="2">
        <v>-8.21333534785796</v>
      </c>
      <c r="O295" s="2">
        <v>22.418181806827029</v>
      </c>
      <c r="P295" s="2">
        <v>0.5345224838248489</v>
      </c>
      <c r="R295" t="str">
        <f t="shared" si="12"/>
        <v>yes</v>
      </c>
      <c r="S295" t="str">
        <f t="shared" si="13"/>
        <v>no</v>
      </c>
      <c r="T2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5" s="2" t="b">
        <f t="shared" si="14"/>
        <v>0</v>
      </c>
      <c r="V295" s="2">
        <f>IF(Table4[[#This Row],[linear?]],Table4[[#This Row],[av]],10^(Table4[[#This Row],[av]]/10))</f>
        <v>1.9933132588797982</v>
      </c>
      <c r="W295" s="2">
        <f>IF(Table4[[#This Row],[linear?]],Table4[[#This Row],[av]],10^(Table4[[#This Row],[av]]/10))</f>
        <v>1.9933132588797982</v>
      </c>
      <c r="X295" s="2">
        <f>Table4[[#This Row],[av_lin]]-2*Table4[[#This Row],[std_lin]]</f>
        <v>-1.9933132588797982</v>
      </c>
      <c r="Y295" s="2">
        <f>Table4[[#This Row],[av_lin]]+2*Table4[[#This Row],[std_lin]]</f>
        <v>5.9799397766393945</v>
      </c>
    </row>
    <row r="296" spans="1:25" x14ac:dyDescent="0.35">
      <c r="A296" s="1">
        <v>343</v>
      </c>
      <c r="B296" t="s">
        <v>75</v>
      </c>
      <c r="C296" t="s">
        <v>253</v>
      </c>
      <c r="D296" t="s">
        <v>320</v>
      </c>
      <c r="E296" s="2">
        <v>0</v>
      </c>
      <c r="F296" s="2">
        <v>0</v>
      </c>
      <c r="G296">
        <v>27</v>
      </c>
      <c r="H296" t="s">
        <v>58</v>
      </c>
      <c r="M296" s="2">
        <v>0</v>
      </c>
      <c r="N296" s="2">
        <v>0</v>
      </c>
      <c r="O296" s="2">
        <v>0</v>
      </c>
      <c r="R296" t="str">
        <f t="shared" si="12"/>
        <v>yes</v>
      </c>
      <c r="S296" t="str">
        <f t="shared" si="13"/>
        <v>no</v>
      </c>
      <c r="T2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6" s="2" t="b">
        <f t="shared" si="14"/>
        <v>0</v>
      </c>
      <c r="V296" s="2">
        <f>IF(Table4[[#This Row],[linear?]],Table4[[#This Row],[av]],10^(Table4[[#This Row],[av]]/10))</f>
        <v>1</v>
      </c>
      <c r="W296" s="2">
        <f>IF(Table4[[#This Row],[linear?]],Table4[[#This Row],[av]],10^(Table4[[#This Row],[av]]/10))</f>
        <v>1</v>
      </c>
      <c r="X296" s="2">
        <f>Table4[[#This Row],[av_lin]]-2*Table4[[#This Row],[std_lin]]</f>
        <v>-1</v>
      </c>
      <c r="Y296" s="2">
        <f>Table4[[#This Row],[av_lin]]+2*Table4[[#This Row],[std_lin]]</f>
        <v>3</v>
      </c>
    </row>
    <row r="297" spans="1:25" x14ac:dyDescent="0.35">
      <c r="A297" s="1">
        <v>344</v>
      </c>
      <c r="B297" t="s">
        <v>75</v>
      </c>
      <c r="C297" t="s">
        <v>253</v>
      </c>
      <c r="D297" t="s">
        <v>321</v>
      </c>
      <c r="E297" s="2">
        <v>9.3832037037037033</v>
      </c>
      <c r="F297" s="2">
        <v>17.692091006110751</v>
      </c>
      <c r="G297">
        <v>27</v>
      </c>
      <c r="H297" t="s">
        <v>58</v>
      </c>
      <c r="M297" s="2">
        <v>44.767385715925201</v>
      </c>
      <c r="N297" s="2">
        <v>-26.000978308517801</v>
      </c>
      <c r="O297" s="2">
        <v>70.768364024443002</v>
      </c>
      <c r="P297" s="2">
        <v>0.53036148754055112</v>
      </c>
      <c r="R297" t="str">
        <f t="shared" si="12"/>
        <v>yes</v>
      </c>
      <c r="S297" t="str">
        <f t="shared" si="13"/>
        <v>no</v>
      </c>
      <c r="T2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7" s="2" t="b">
        <f t="shared" si="14"/>
        <v>1</v>
      </c>
      <c r="V297" s="2">
        <f>IF(Table4[[#This Row],[linear?]],Table4[[#This Row],[av]],10^(Table4[[#This Row],[av]]/10))</f>
        <v>9.3832037037037033</v>
      </c>
      <c r="W297" s="2">
        <f>IF(Table4[[#This Row],[linear?]],Table4[[#This Row],[av]],10^(Table4[[#This Row],[av]]/10))</f>
        <v>9.3832037037037033</v>
      </c>
      <c r="X297" s="2">
        <f>Table4[[#This Row],[av_lin]]-2*Table4[[#This Row],[std_lin]]</f>
        <v>-9.3832037037037033</v>
      </c>
      <c r="Y297" s="2">
        <f>Table4[[#This Row],[av_lin]]+2*Table4[[#This Row],[std_lin]]</f>
        <v>28.14961111111111</v>
      </c>
    </row>
    <row r="298" spans="1:25" x14ac:dyDescent="0.35">
      <c r="A298" s="1">
        <v>345</v>
      </c>
      <c r="B298" t="s">
        <v>75</v>
      </c>
      <c r="C298" t="s">
        <v>253</v>
      </c>
      <c r="D298" t="s">
        <v>322</v>
      </c>
      <c r="E298" s="2">
        <v>0</v>
      </c>
      <c r="F298" s="2">
        <v>0</v>
      </c>
      <c r="G298">
        <v>27</v>
      </c>
      <c r="H298" t="s">
        <v>58</v>
      </c>
      <c r="M298" s="2">
        <v>0</v>
      </c>
      <c r="N298" s="2">
        <v>0</v>
      </c>
      <c r="O298" s="2">
        <v>0</v>
      </c>
      <c r="R298" t="str">
        <f t="shared" si="12"/>
        <v>yes</v>
      </c>
      <c r="S298" t="str">
        <f t="shared" si="13"/>
        <v>no</v>
      </c>
      <c r="T2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8" s="2" t="b">
        <f t="shared" si="14"/>
        <v>0</v>
      </c>
      <c r="V298" s="2">
        <f>IF(Table4[[#This Row],[linear?]],Table4[[#This Row],[av]],10^(Table4[[#This Row],[av]]/10))</f>
        <v>1</v>
      </c>
      <c r="W298" s="2">
        <f>IF(Table4[[#This Row],[linear?]],Table4[[#This Row],[av]],10^(Table4[[#This Row],[av]]/10))</f>
        <v>1</v>
      </c>
      <c r="X298" s="2">
        <f>Table4[[#This Row],[av_lin]]-2*Table4[[#This Row],[std_lin]]</f>
        <v>-1</v>
      </c>
      <c r="Y298" s="2">
        <f>Table4[[#This Row],[av_lin]]+2*Table4[[#This Row],[std_lin]]</f>
        <v>3</v>
      </c>
    </row>
    <row r="299" spans="1:25" x14ac:dyDescent="0.35">
      <c r="A299" s="1">
        <v>346</v>
      </c>
      <c r="B299" t="s">
        <v>75</v>
      </c>
      <c r="C299" t="s">
        <v>253</v>
      </c>
      <c r="D299" t="s">
        <v>323</v>
      </c>
      <c r="E299" s="2">
        <v>3.994340740740741</v>
      </c>
      <c r="F299" s="2">
        <v>6.1556924987129253</v>
      </c>
      <c r="G299">
        <v>27</v>
      </c>
      <c r="H299" t="s">
        <v>58</v>
      </c>
      <c r="M299" s="2">
        <v>16.30572573816659</v>
      </c>
      <c r="N299" s="2">
        <v>-8.3170442566851097</v>
      </c>
      <c r="O299" s="2">
        <v>24.622769994851701</v>
      </c>
      <c r="P299" s="2">
        <v>0.64888568452305007</v>
      </c>
      <c r="R299" t="str">
        <f t="shared" si="12"/>
        <v>yes</v>
      </c>
      <c r="S299" t="str">
        <f t="shared" si="13"/>
        <v>no</v>
      </c>
      <c r="T2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9" s="2" t="b">
        <f t="shared" si="14"/>
        <v>0</v>
      </c>
      <c r="V299" s="2">
        <f>IF(Table4[[#This Row],[linear?]],Table4[[#This Row],[av]],10^(Table4[[#This Row],[av]]/10))</f>
        <v>2.508615342615431</v>
      </c>
      <c r="W299" s="2">
        <f>IF(Table4[[#This Row],[linear?]],Table4[[#This Row],[av]],10^(Table4[[#This Row],[av]]/10))</f>
        <v>2.508615342615431</v>
      </c>
      <c r="X299" s="2">
        <f>Table4[[#This Row],[av_lin]]-2*Table4[[#This Row],[std_lin]]</f>
        <v>-2.508615342615431</v>
      </c>
      <c r="Y299" s="2">
        <f>Table4[[#This Row],[av_lin]]+2*Table4[[#This Row],[std_lin]]</f>
        <v>7.5258460278462929</v>
      </c>
    </row>
    <row r="300" spans="1:25" x14ac:dyDescent="0.35">
      <c r="A300" s="1">
        <v>347</v>
      </c>
      <c r="B300" t="s">
        <v>75</v>
      </c>
      <c r="C300" t="s">
        <v>253</v>
      </c>
      <c r="D300" t="s">
        <v>324</v>
      </c>
      <c r="E300" s="2">
        <v>0</v>
      </c>
      <c r="F300" s="2">
        <v>0</v>
      </c>
      <c r="G300">
        <v>27</v>
      </c>
      <c r="H300" t="s">
        <v>58</v>
      </c>
      <c r="M300" s="2">
        <v>0</v>
      </c>
      <c r="N300" s="2">
        <v>0</v>
      </c>
      <c r="O300" s="2">
        <v>0</v>
      </c>
      <c r="R300" t="str">
        <f t="shared" si="12"/>
        <v>yes</v>
      </c>
      <c r="S300" t="str">
        <f t="shared" si="13"/>
        <v>no</v>
      </c>
      <c r="T3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0" s="2" t="b">
        <f t="shared" si="14"/>
        <v>0</v>
      </c>
      <c r="V300" s="2">
        <f>IF(Table4[[#This Row],[linear?]],Table4[[#This Row],[av]],10^(Table4[[#This Row],[av]]/10))</f>
        <v>1</v>
      </c>
      <c r="W300" s="2">
        <f>IF(Table4[[#This Row],[linear?]],Table4[[#This Row],[av]],10^(Table4[[#This Row],[av]]/10))</f>
        <v>1</v>
      </c>
      <c r="X300" s="2">
        <f>Table4[[#This Row],[av_lin]]-2*Table4[[#This Row],[std_lin]]</f>
        <v>-1</v>
      </c>
      <c r="Y300" s="2">
        <f>Table4[[#This Row],[av_lin]]+2*Table4[[#This Row],[std_lin]]</f>
        <v>3</v>
      </c>
    </row>
    <row r="301" spans="1:25" x14ac:dyDescent="0.35">
      <c r="A301" s="1">
        <v>348</v>
      </c>
      <c r="B301" t="s">
        <v>75</v>
      </c>
      <c r="C301" t="s">
        <v>253</v>
      </c>
      <c r="D301" t="s">
        <v>325</v>
      </c>
      <c r="E301" s="2">
        <v>10.67706666666667</v>
      </c>
      <c r="F301" s="2">
        <v>16.53681990443906</v>
      </c>
      <c r="G301">
        <v>27</v>
      </c>
      <c r="H301" t="s">
        <v>58</v>
      </c>
      <c r="M301" s="2">
        <v>43.750706475544789</v>
      </c>
      <c r="N301" s="2">
        <v>-22.396573142211452</v>
      </c>
      <c r="O301" s="2">
        <v>66.14727961775624</v>
      </c>
      <c r="P301" s="2">
        <v>0.64565416617983318</v>
      </c>
      <c r="R301" t="str">
        <f t="shared" si="12"/>
        <v>yes</v>
      </c>
      <c r="S301" t="str">
        <f t="shared" si="13"/>
        <v>no</v>
      </c>
      <c r="T3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1" s="2" t="b">
        <f t="shared" si="14"/>
        <v>1</v>
      </c>
      <c r="V301" s="2">
        <f>IF(Table4[[#This Row],[linear?]],Table4[[#This Row],[av]],10^(Table4[[#This Row],[av]]/10))</f>
        <v>10.67706666666667</v>
      </c>
      <c r="W301" s="2">
        <f>IF(Table4[[#This Row],[linear?]],Table4[[#This Row],[av]],10^(Table4[[#This Row],[av]]/10))</f>
        <v>10.67706666666667</v>
      </c>
      <c r="X301" s="2">
        <f>Table4[[#This Row],[av_lin]]-2*Table4[[#This Row],[std_lin]]</f>
        <v>-10.67706666666667</v>
      </c>
      <c r="Y301" s="2">
        <f>Table4[[#This Row],[av_lin]]+2*Table4[[#This Row],[std_lin]]</f>
        <v>32.031200000000013</v>
      </c>
    </row>
    <row r="302" spans="1:25" x14ac:dyDescent="0.35">
      <c r="A302" s="1">
        <v>349</v>
      </c>
      <c r="B302" t="s">
        <v>75</v>
      </c>
      <c r="C302" t="s">
        <v>253</v>
      </c>
      <c r="D302" t="s">
        <v>326</v>
      </c>
      <c r="E302" s="2">
        <v>32.398551851851849</v>
      </c>
      <c r="F302" s="2">
        <v>67.997800796868717</v>
      </c>
      <c r="G302">
        <v>27</v>
      </c>
      <c r="H302" t="s">
        <v>58</v>
      </c>
      <c r="M302" s="2">
        <v>168.3941534455893</v>
      </c>
      <c r="N302" s="2">
        <v>-103.5970497418856</v>
      </c>
      <c r="O302" s="2">
        <v>271.99120318747492</v>
      </c>
      <c r="P302" s="2">
        <v>0.4764647013899278</v>
      </c>
      <c r="R302" t="str">
        <f t="shared" si="12"/>
        <v>yes</v>
      </c>
      <c r="S302" t="str">
        <f t="shared" si="13"/>
        <v>no</v>
      </c>
      <c r="T3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2" s="2" t="b">
        <f t="shared" si="14"/>
        <v>0</v>
      </c>
      <c r="V302" s="2">
        <f>IF(Table4[[#This Row],[linear?]],Table4[[#This Row],[av]],10^(Table4[[#This Row],[av]]/10))</f>
        <v>1737.2214583851469</v>
      </c>
      <c r="W302" s="2">
        <f>IF(Table4[[#This Row],[linear?]],Table4[[#This Row],[av]],10^(Table4[[#This Row],[av]]/10))</f>
        <v>1737.2214583851469</v>
      </c>
      <c r="X302" s="2">
        <f>Table4[[#This Row],[av_lin]]-2*Table4[[#This Row],[std_lin]]</f>
        <v>-1737.2214583851469</v>
      </c>
      <c r="Y302" s="2">
        <f>Table4[[#This Row],[av_lin]]+2*Table4[[#This Row],[std_lin]]</f>
        <v>5211.6643751554402</v>
      </c>
    </row>
    <row r="303" spans="1:25" x14ac:dyDescent="0.35">
      <c r="A303" s="1">
        <v>350</v>
      </c>
      <c r="B303" t="s">
        <v>75</v>
      </c>
      <c r="C303" t="s">
        <v>253</v>
      </c>
      <c r="D303" t="s">
        <v>327</v>
      </c>
      <c r="E303" s="2">
        <v>0</v>
      </c>
      <c r="F303" s="2">
        <v>0</v>
      </c>
      <c r="G303">
        <v>27</v>
      </c>
      <c r="H303" t="s">
        <v>58</v>
      </c>
      <c r="M303" s="2">
        <v>0</v>
      </c>
      <c r="N303" s="2">
        <v>0</v>
      </c>
      <c r="O303" s="2">
        <v>0</v>
      </c>
      <c r="R303" t="str">
        <f t="shared" si="12"/>
        <v>yes</v>
      </c>
      <c r="S303" t="str">
        <f t="shared" si="13"/>
        <v>no</v>
      </c>
      <c r="T3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3" s="2" t="b">
        <f t="shared" si="14"/>
        <v>0</v>
      </c>
      <c r="V303" s="2">
        <f>IF(Table4[[#This Row],[linear?]],Table4[[#This Row],[av]],10^(Table4[[#This Row],[av]]/10))</f>
        <v>1</v>
      </c>
      <c r="W303" s="2">
        <f>IF(Table4[[#This Row],[linear?]],Table4[[#This Row],[av]],10^(Table4[[#This Row],[av]]/10))</f>
        <v>1</v>
      </c>
      <c r="X303" s="2">
        <f>Table4[[#This Row],[av_lin]]-2*Table4[[#This Row],[std_lin]]</f>
        <v>-1</v>
      </c>
      <c r="Y303" s="2">
        <f>Table4[[#This Row],[av_lin]]+2*Table4[[#This Row],[std_lin]]</f>
        <v>3</v>
      </c>
    </row>
    <row r="304" spans="1:25" x14ac:dyDescent="0.35">
      <c r="A304" s="1">
        <v>351</v>
      </c>
      <c r="B304" t="s">
        <v>75</v>
      </c>
      <c r="C304" t="s">
        <v>253</v>
      </c>
      <c r="D304" t="s">
        <v>328</v>
      </c>
      <c r="E304" s="2">
        <v>0</v>
      </c>
      <c r="F304" s="2">
        <v>0</v>
      </c>
      <c r="G304">
        <v>27</v>
      </c>
      <c r="H304" t="s">
        <v>58</v>
      </c>
      <c r="M304" s="2">
        <v>0</v>
      </c>
      <c r="N304" s="2">
        <v>0</v>
      </c>
      <c r="O304" s="2">
        <v>0</v>
      </c>
      <c r="R304" t="str">
        <f t="shared" si="12"/>
        <v>yes</v>
      </c>
      <c r="S304" t="str">
        <f t="shared" si="13"/>
        <v>no</v>
      </c>
      <c r="T3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4" s="2" t="b">
        <f t="shared" si="14"/>
        <v>0</v>
      </c>
      <c r="V304" s="2">
        <f>IF(Table4[[#This Row],[linear?]],Table4[[#This Row],[av]],10^(Table4[[#This Row],[av]]/10))</f>
        <v>1</v>
      </c>
      <c r="W304" s="2">
        <f>IF(Table4[[#This Row],[linear?]],Table4[[#This Row],[av]],10^(Table4[[#This Row],[av]]/10))</f>
        <v>1</v>
      </c>
      <c r="X304" s="2">
        <f>Table4[[#This Row],[av_lin]]-2*Table4[[#This Row],[std_lin]]</f>
        <v>-1</v>
      </c>
      <c r="Y304" s="2">
        <f>Table4[[#This Row],[av_lin]]+2*Table4[[#This Row],[std_lin]]</f>
        <v>3</v>
      </c>
    </row>
    <row r="305" spans="1:25" x14ac:dyDescent="0.35">
      <c r="A305" s="1">
        <v>352</v>
      </c>
      <c r="B305" t="s">
        <v>75</v>
      </c>
      <c r="C305" t="s">
        <v>253</v>
      </c>
      <c r="D305" t="s">
        <v>329</v>
      </c>
      <c r="E305" s="2">
        <v>6.9704296296296304</v>
      </c>
      <c r="F305" s="2">
        <v>14.693586156168671</v>
      </c>
      <c r="G305">
        <v>27</v>
      </c>
      <c r="H305" t="s">
        <v>58</v>
      </c>
      <c r="M305" s="2">
        <v>36.357601941966969</v>
      </c>
      <c r="N305" s="2">
        <v>-22.41674268270771</v>
      </c>
      <c r="O305" s="2">
        <v>58.774344624674683</v>
      </c>
      <c r="P305" s="2">
        <v>0.47438586846978131</v>
      </c>
      <c r="R305" t="str">
        <f t="shared" si="12"/>
        <v>yes</v>
      </c>
      <c r="S305" t="str">
        <f t="shared" si="13"/>
        <v>no</v>
      </c>
      <c r="T3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5" s="2" t="b">
        <f t="shared" si="14"/>
        <v>1</v>
      </c>
      <c r="V305" s="2">
        <f>IF(Table4[[#This Row],[linear?]],Table4[[#This Row],[av]],10^(Table4[[#This Row],[av]]/10))</f>
        <v>6.9704296296296304</v>
      </c>
      <c r="W305" s="2">
        <f>IF(Table4[[#This Row],[linear?]],Table4[[#This Row],[av]],10^(Table4[[#This Row],[av]]/10))</f>
        <v>6.9704296296296304</v>
      </c>
      <c r="X305" s="2">
        <f>Table4[[#This Row],[av_lin]]-2*Table4[[#This Row],[std_lin]]</f>
        <v>-6.9704296296296304</v>
      </c>
      <c r="Y305" s="2">
        <f>Table4[[#This Row],[av_lin]]+2*Table4[[#This Row],[std_lin]]</f>
        <v>20.91128888888889</v>
      </c>
    </row>
    <row r="306" spans="1:25" x14ac:dyDescent="0.35">
      <c r="A306" s="1">
        <v>353</v>
      </c>
      <c r="B306" t="s">
        <v>75</v>
      </c>
      <c r="C306" t="s">
        <v>253</v>
      </c>
      <c r="D306" t="s">
        <v>330</v>
      </c>
      <c r="E306" s="2">
        <v>27.735825925925919</v>
      </c>
      <c r="F306" s="2">
        <v>60.238440876124628</v>
      </c>
      <c r="G306">
        <v>27</v>
      </c>
      <c r="H306" t="s">
        <v>58</v>
      </c>
      <c r="M306" s="2">
        <v>148.21270767817521</v>
      </c>
      <c r="N306" s="2">
        <v>-92.741055826323333</v>
      </c>
      <c r="O306" s="2">
        <v>240.95376350449851</v>
      </c>
      <c r="P306" s="2">
        <v>0.46043399401658408</v>
      </c>
      <c r="R306" t="str">
        <f t="shared" si="12"/>
        <v>yes</v>
      </c>
      <c r="S306" t="str">
        <f t="shared" si="13"/>
        <v>no</v>
      </c>
      <c r="T3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6" s="2" t="b">
        <f t="shared" si="14"/>
        <v>0</v>
      </c>
      <c r="V306" s="2">
        <f>IF(Table4[[#This Row],[linear?]],Table4[[#This Row],[av]],10^(Table4[[#This Row],[av]]/10))</f>
        <v>593.72124926829702</v>
      </c>
      <c r="W306" s="2">
        <f>IF(Table4[[#This Row],[linear?]],Table4[[#This Row],[av]],10^(Table4[[#This Row],[av]]/10))</f>
        <v>593.72124926829702</v>
      </c>
      <c r="X306" s="2">
        <f>Table4[[#This Row],[av_lin]]-2*Table4[[#This Row],[std_lin]]</f>
        <v>-593.72124926829702</v>
      </c>
      <c r="Y306" s="2">
        <f>Table4[[#This Row],[av_lin]]+2*Table4[[#This Row],[std_lin]]</f>
        <v>1781.163747804891</v>
      </c>
    </row>
    <row r="307" spans="1:25" x14ac:dyDescent="0.35">
      <c r="A307" s="1">
        <v>354</v>
      </c>
      <c r="B307" t="s">
        <v>75</v>
      </c>
      <c r="C307" t="s">
        <v>253</v>
      </c>
      <c r="D307" t="s">
        <v>331</v>
      </c>
      <c r="E307" s="2">
        <v>0</v>
      </c>
      <c r="F307" s="2">
        <v>0</v>
      </c>
      <c r="G307">
        <v>27</v>
      </c>
      <c r="H307" t="s">
        <v>58</v>
      </c>
      <c r="M307" s="2">
        <v>0</v>
      </c>
      <c r="N307" s="2">
        <v>0</v>
      </c>
      <c r="O307" s="2">
        <v>0</v>
      </c>
      <c r="R307" t="str">
        <f t="shared" si="12"/>
        <v>yes</v>
      </c>
      <c r="S307" t="str">
        <f t="shared" si="13"/>
        <v>no</v>
      </c>
      <c r="T3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7" s="2" t="b">
        <f t="shared" si="14"/>
        <v>0</v>
      </c>
      <c r="V307" s="2">
        <f>IF(Table4[[#This Row],[linear?]],Table4[[#This Row],[av]],10^(Table4[[#This Row],[av]]/10))</f>
        <v>1</v>
      </c>
      <c r="W307" s="2">
        <f>IF(Table4[[#This Row],[linear?]],Table4[[#This Row],[av]],10^(Table4[[#This Row],[av]]/10))</f>
        <v>1</v>
      </c>
      <c r="X307" s="2">
        <f>Table4[[#This Row],[av_lin]]-2*Table4[[#This Row],[std_lin]]</f>
        <v>-1</v>
      </c>
      <c r="Y307" s="2">
        <f>Table4[[#This Row],[av_lin]]+2*Table4[[#This Row],[std_lin]]</f>
        <v>3</v>
      </c>
    </row>
    <row r="308" spans="1:25" x14ac:dyDescent="0.35">
      <c r="A308" s="1">
        <v>355</v>
      </c>
      <c r="B308" t="s">
        <v>75</v>
      </c>
      <c r="C308" t="s">
        <v>253</v>
      </c>
      <c r="D308" t="s">
        <v>332</v>
      </c>
      <c r="E308" s="2">
        <v>0</v>
      </c>
      <c r="F308" s="2">
        <v>0</v>
      </c>
      <c r="G308">
        <v>27</v>
      </c>
      <c r="H308" t="s">
        <v>58</v>
      </c>
      <c r="M308" s="2">
        <v>0</v>
      </c>
      <c r="N308" s="2">
        <v>0</v>
      </c>
      <c r="O308" s="2">
        <v>0</v>
      </c>
      <c r="R308" t="str">
        <f t="shared" si="12"/>
        <v>yes</v>
      </c>
      <c r="S308" t="str">
        <f t="shared" si="13"/>
        <v>no</v>
      </c>
      <c r="T3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8" s="2" t="b">
        <f t="shared" si="14"/>
        <v>0</v>
      </c>
      <c r="V308" s="2">
        <f>IF(Table4[[#This Row],[linear?]],Table4[[#This Row],[av]],10^(Table4[[#This Row],[av]]/10))</f>
        <v>1</v>
      </c>
      <c r="W308" s="2">
        <f>IF(Table4[[#This Row],[linear?]],Table4[[#This Row],[av]],10^(Table4[[#This Row],[av]]/10))</f>
        <v>1</v>
      </c>
      <c r="X308" s="2">
        <f>Table4[[#This Row],[av_lin]]-2*Table4[[#This Row],[std_lin]]</f>
        <v>-1</v>
      </c>
      <c r="Y308" s="2">
        <f>Table4[[#This Row],[av_lin]]+2*Table4[[#This Row],[std_lin]]</f>
        <v>3</v>
      </c>
    </row>
    <row r="309" spans="1:25" x14ac:dyDescent="0.35">
      <c r="A309" s="1">
        <v>356</v>
      </c>
      <c r="B309" t="s">
        <v>75</v>
      </c>
      <c r="C309" t="s">
        <v>253</v>
      </c>
      <c r="D309" t="s">
        <v>333</v>
      </c>
      <c r="E309" s="2">
        <v>6.1185740740740746</v>
      </c>
      <c r="F309" s="2">
        <v>12.84899834570175</v>
      </c>
      <c r="G309">
        <v>27</v>
      </c>
      <c r="H309" t="s">
        <v>58</v>
      </c>
      <c r="M309" s="2">
        <v>31.816570765477579</v>
      </c>
      <c r="N309" s="2">
        <v>-19.579422617329421</v>
      </c>
      <c r="O309" s="2">
        <v>51.395993382806999</v>
      </c>
      <c r="P309" s="2">
        <v>0.47619074339136019</v>
      </c>
      <c r="R309" t="str">
        <f t="shared" si="12"/>
        <v>yes</v>
      </c>
      <c r="S309" t="str">
        <f t="shared" si="13"/>
        <v>no</v>
      </c>
      <c r="T3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9" s="2" t="b">
        <f t="shared" si="14"/>
        <v>1</v>
      </c>
      <c r="V309" s="2">
        <f>IF(Table4[[#This Row],[linear?]],Table4[[#This Row],[av]],10^(Table4[[#This Row],[av]]/10))</f>
        <v>6.1185740740740746</v>
      </c>
      <c r="W309" s="2">
        <f>IF(Table4[[#This Row],[linear?]],Table4[[#This Row],[av]],10^(Table4[[#This Row],[av]]/10))</f>
        <v>6.1185740740740746</v>
      </c>
      <c r="X309" s="2">
        <f>Table4[[#This Row],[av_lin]]-2*Table4[[#This Row],[std_lin]]</f>
        <v>-6.1185740740740746</v>
      </c>
      <c r="Y309" s="2">
        <f>Table4[[#This Row],[av_lin]]+2*Table4[[#This Row],[std_lin]]</f>
        <v>18.355722222222223</v>
      </c>
    </row>
    <row r="310" spans="1:25" x14ac:dyDescent="0.35">
      <c r="A310" s="1">
        <v>357</v>
      </c>
      <c r="B310" t="s">
        <v>75</v>
      </c>
      <c r="C310" t="s">
        <v>253</v>
      </c>
      <c r="D310" t="s">
        <v>334</v>
      </c>
      <c r="E310" s="2">
        <v>33.198244444444441</v>
      </c>
      <c r="F310" s="2">
        <v>69.640748834164668</v>
      </c>
      <c r="G310">
        <v>27</v>
      </c>
      <c r="H310" t="s">
        <v>58</v>
      </c>
      <c r="M310" s="2">
        <v>172.47974211277381</v>
      </c>
      <c r="N310" s="2">
        <v>-106.0832532238849</v>
      </c>
      <c r="O310" s="2">
        <v>278.56299533665867</v>
      </c>
      <c r="P310" s="2">
        <v>0.47670717216868719</v>
      </c>
      <c r="R310" t="str">
        <f t="shared" si="12"/>
        <v>yes</v>
      </c>
      <c r="S310" t="str">
        <f t="shared" si="13"/>
        <v>no</v>
      </c>
      <c r="T3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0" s="2" t="b">
        <f t="shared" si="14"/>
        <v>0</v>
      </c>
      <c r="V310" s="2">
        <f>IF(Table4[[#This Row],[linear?]],Table4[[#This Row],[av]],10^(Table4[[#This Row],[av]]/10))</f>
        <v>2088.4517420011248</v>
      </c>
      <c r="W310" s="2">
        <f>IF(Table4[[#This Row],[linear?]],Table4[[#This Row],[av]],10^(Table4[[#This Row],[av]]/10))</f>
        <v>2088.4517420011248</v>
      </c>
      <c r="X310" s="2">
        <f>Table4[[#This Row],[av_lin]]-2*Table4[[#This Row],[std_lin]]</f>
        <v>-2088.4517420011248</v>
      </c>
      <c r="Y310" s="2">
        <f>Table4[[#This Row],[av_lin]]+2*Table4[[#This Row],[std_lin]]</f>
        <v>6265.3552260033739</v>
      </c>
    </row>
    <row r="311" spans="1:25" x14ac:dyDescent="0.35">
      <c r="A311" s="1">
        <v>358</v>
      </c>
      <c r="B311" t="s">
        <v>75</v>
      </c>
      <c r="C311" t="s">
        <v>253</v>
      </c>
      <c r="D311" t="s">
        <v>335</v>
      </c>
      <c r="E311" s="2">
        <v>0</v>
      </c>
      <c r="F311" s="2">
        <v>0</v>
      </c>
      <c r="G311">
        <v>27</v>
      </c>
      <c r="H311" t="s">
        <v>58</v>
      </c>
      <c r="M311" s="2">
        <v>0</v>
      </c>
      <c r="N311" s="2">
        <v>0</v>
      </c>
      <c r="O311" s="2">
        <v>0</v>
      </c>
      <c r="R311" t="str">
        <f t="shared" si="12"/>
        <v>yes</v>
      </c>
      <c r="S311" t="str">
        <f t="shared" si="13"/>
        <v>no</v>
      </c>
      <c r="T3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1" s="2" t="b">
        <f t="shared" si="14"/>
        <v>0</v>
      </c>
      <c r="V311" s="2">
        <f>IF(Table4[[#This Row],[linear?]],Table4[[#This Row],[av]],10^(Table4[[#This Row],[av]]/10))</f>
        <v>1</v>
      </c>
      <c r="W311" s="2">
        <f>IF(Table4[[#This Row],[linear?]],Table4[[#This Row],[av]],10^(Table4[[#This Row],[av]]/10))</f>
        <v>1</v>
      </c>
      <c r="X311" s="2">
        <f>Table4[[#This Row],[av_lin]]-2*Table4[[#This Row],[std_lin]]</f>
        <v>-1</v>
      </c>
      <c r="Y311" s="2">
        <f>Table4[[#This Row],[av_lin]]+2*Table4[[#This Row],[std_lin]]</f>
        <v>3</v>
      </c>
    </row>
    <row r="312" spans="1:25" x14ac:dyDescent="0.35">
      <c r="A312" s="1">
        <v>359</v>
      </c>
      <c r="B312" t="s">
        <v>75</v>
      </c>
      <c r="C312" t="s">
        <v>253</v>
      </c>
      <c r="D312" t="s">
        <v>336</v>
      </c>
      <c r="E312" s="2">
        <v>0</v>
      </c>
      <c r="F312" s="2">
        <v>0</v>
      </c>
      <c r="G312">
        <v>27</v>
      </c>
      <c r="H312" t="s">
        <v>58</v>
      </c>
      <c r="M312" s="2">
        <v>0</v>
      </c>
      <c r="N312" s="2">
        <v>0</v>
      </c>
      <c r="O312" s="2">
        <v>0</v>
      </c>
      <c r="R312" t="str">
        <f t="shared" si="12"/>
        <v>yes</v>
      </c>
      <c r="S312" t="str">
        <f t="shared" si="13"/>
        <v>no</v>
      </c>
      <c r="T3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2" s="2" t="b">
        <f t="shared" si="14"/>
        <v>0</v>
      </c>
      <c r="V312" s="2">
        <f>IF(Table4[[#This Row],[linear?]],Table4[[#This Row],[av]],10^(Table4[[#This Row],[av]]/10))</f>
        <v>1</v>
      </c>
      <c r="W312" s="2">
        <f>IF(Table4[[#This Row],[linear?]],Table4[[#This Row],[av]],10^(Table4[[#This Row],[av]]/10))</f>
        <v>1</v>
      </c>
      <c r="X312" s="2">
        <f>Table4[[#This Row],[av_lin]]-2*Table4[[#This Row],[std_lin]]</f>
        <v>-1</v>
      </c>
      <c r="Y312" s="2">
        <f>Table4[[#This Row],[av_lin]]+2*Table4[[#This Row],[std_lin]]</f>
        <v>3</v>
      </c>
    </row>
    <row r="313" spans="1:25" x14ac:dyDescent="0.35">
      <c r="A313" s="1">
        <v>360</v>
      </c>
      <c r="B313" t="s">
        <v>75</v>
      </c>
      <c r="C313" t="s">
        <v>253</v>
      </c>
      <c r="D313" t="s">
        <v>337</v>
      </c>
      <c r="E313" s="2">
        <v>6.1008296296296303</v>
      </c>
      <c r="F313" s="2">
        <v>12.819383859083461</v>
      </c>
      <c r="G313">
        <v>27</v>
      </c>
      <c r="H313" t="s">
        <v>58</v>
      </c>
      <c r="M313" s="2">
        <v>31.739597347796551</v>
      </c>
      <c r="N313" s="2">
        <v>-19.537938088537292</v>
      </c>
      <c r="O313" s="2">
        <v>51.277535436333842</v>
      </c>
      <c r="P313" s="2">
        <v>0.47590661896802089</v>
      </c>
      <c r="R313" t="str">
        <f t="shared" si="12"/>
        <v>yes</v>
      </c>
      <c r="S313" t="str">
        <f t="shared" si="13"/>
        <v>no</v>
      </c>
      <c r="T3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3" s="2" t="b">
        <f t="shared" si="14"/>
        <v>1</v>
      </c>
      <c r="V313" s="2">
        <f>IF(Table4[[#This Row],[linear?]],Table4[[#This Row],[av]],10^(Table4[[#This Row],[av]]/10))</f>
        <v>6.1008296296296303</v>
      </c>
      <c r="W313" s="2">
        <f>IF(Table4[[#This Row],[linear?]],Table4[[#This Row],[av]],10^(Table4[[#This Row],[av]]/10))</f>
        <v>6.1008296296296303</v>
      </c>
      <c r="X313" s="2">
        <f>Table4[[#This Row],[av_lin]]-2*Table4[[#This Row],[std_lin]]</f>
        <v>-6.1008296296296303</v>
      </c>
      <c r="Y313" s="2">
        <f>Table4[[#This Row],[av_lin]]+2*Table4[[#This Row],[std_lin]]</f>
        <v>18.302488888888892</v>
      </c>
    </row>
    <row r="314" spans="1:25" x14ac:dyDescent="0.35">
      <c r="A314" s="1">
        <v>361</v>
      </c>
      <c r="B314" t="s">
        <v>75</v>
      </c>
      <c r="C314" t="s">
        <v>253</v>
      </c>
      <c r="D314" t="s">
        <v>338</v>
      </c>
      <c r="E314" s="2">
        <v>26.99681851851852</v>
      </c>
      <c r="F314" s="2">
        <v>59.444755163354287</v>
      </c>
      <c r="G314">
        <v>27</v>
      </c>
      <c r="H314" t="s">
        <v>58</v>
      </c>
      <c r="M314" s="2">
        <v>145.8863288452271</v>
      </c>
      <c r="N314" s="2">
        <v>-91.892691808190051</v>
      </c>
      <c r="O314" s="2">
        <v>237.77902065341709</v>
      </c>
      <c r="P314" s="2">
        <v>0.45414971336548049</v>
      </c>
      <c r="R314" t="str">
        <f t="shared" si="12"/>
        <v>yes</v>
      </c>
      <c r="S314" t="str">
        <f t="shared" si="13"/>
        <v>no</v>
      </c>
      <c r="T3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4" s="2" t="b">
        <f t="shared" si="14"/>
        <v>0</v>
      </c>
      <c r="V314" s="2">
        <f>IF(Table4[[#This Row],[linear?]],Table4[[#This Row],[av]],10^(Table4[[#This Row],[av]]/10))</f>
        <v>500.82021675991825</v>
      </c>
      <c r="W314" s="2">
        <f>IF(Table4[[#This Row],[linear?]],Table4[[#This Row],[av]],10^(Table4[[#This Row],[av]]/10))</f>
        <v>500.82021675991825</v>
      </c>
      <c r="X314" s="2">
        <f>Table4[[#This Row],[av_lin]]-2*Table4[[#This Row],[std_lin]]</f>
        <v>-500.82021675991825</v>
      </c>
      <c r="Y314" s="2">
        <f>Table4[[#This Row],[av_lin]]+2*Table4[[#This Row],[std_lin]]</f>
        <v>1502.4606502797546</v>
      </c>
    </row>
    <row r="315" spans="1:25" x14ac:dyDescent="0.35">
      <c r="A315" s="1">
        <v>362</v>
      </c>
      <c r="B315" t="s">
        <v>75</v>
      </c>
      <c r="C315" t="s">
        <v>253</v>
      </c>
      <c r="D315" t="s">
        <v>339</v>
      </c>
      <c r="E315" s="2">
        <v>0</v>
      </c>
      <c r="F315" s="2">
        <v>0</v>
      </c>
      <c r="G315">
        <v>27</v>
      </c>
      <c r="H315" t="s">
        <v>58</v>
      </c>
      <c r="M315" s="2">
        <v>0</v>
      </c>
      <c r="N315" s="2">
        <v>0</v>
      </c>
      <c r="O315" s="2">
        <v>0</v>
      </c>
      <c r="R315" t="str">
        <f t="shared" si="12"/>
        <v>yes</v>
      </c>
      <c r="S315" t="str">
        <f t="shared" si="13"/>
        <v>no</v>
      </c>
      <c r="T3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5" s="2" t="b">
        <f t="shared" si="14"/>
        <v>0</v>
      </c>
      <c r="V315" s="2">
        <f>IF(Table4[[#This Row],[linear?]],Table4[[#This Row],[av]],10^(Table4[[#This Row],[av]]/10))</f>
        <v>1</v>
      </c>
      <c r="W315" s="2">
        <f>IF(Table4[[#This Row],[linear?]],Table4[[#This Row],[av]],10^(Table4[[#This Row],[av]]/10))</f>
        <v>1</v>
      </c>
      <c r="X315" s="2">
        <f>Table4[[#This Row],[av_lin]]-2*Table4[[#This Row],[std_lin]]</f>
        <v>-1</v>
      </c>
      <c r="Y315" s="2">
        <f>Table4[[#This Row],[av_lin]]+2*Table4[[#This Row],[std_lin]]</f>
        <v>3</v>
      </c>
    </row>
    <row r="316" spans="1:25" x14ac:dyDescent="0.35">
      <c r="A316" s="1">
        <v>363</v>
      </c>
      <c r="B316" t="s">
        <v>75</v>
      </c>
      <c r="C316" t="s">
        <v>253</v>
      </c>
      <c r="D316" t="s">
        <v>340</v>
      </c>
      <c r="E316" s="2">
        <v>0</v>
      </c>
      <c r="F316" s="2">
        <v>0</v>
      </c>
      <c r="G316">
        <v>27</v>
      </c>
      <c r="H316" t="s">
        <v>58</v>
      </c>
      <c r="M316" s="2">
        <v>0</v>
      </c>
      <c r="N316" s="2">
        <v>0</v>
      </c>
      <c r="O316" s="2">
        <v>0</v>
      </c>
      <c r="R316" t="str">
        <f t="shared" si="12"/>
        <v>yes</v>
      </c>
      <c r="S316" t="str">
        <f t="shared" si="13"/>
        <v>no</v>
      </c>
      <c r="T3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6" s="2" t="b">
        <f t="shared" si="14"/>
        <v>0</v>
      </c>
      <c r="V316" s="2">
        <f>IF(Table4[[#This Row],[linear?]],Table4[[#This Row],[av]],10^(Table4[[#This Row],[av]]/10))</f>
        <v>1</v>
      </c>
      <c r="W316" s="2">
        <f>IF(Table4[[#This Row],[linear?]],Table4[[#This Row],[av]],10^(Table4[[#This Row],[av]]/10))</f>
        <v>1</v>
      </c>
      <c r="X316" s="2">
        <f>Table4[[#This Row],[av_lin]]-2*Table4[[#This Row],[std_lin]]</f>
        <v>-1</v>
      </c>
      <c r="Y316" s="2">
        <f>Table4[[#This Row],[av_lin]]+2*Table4[[#This Row],[std_lin]]</f>
        <v>3</v>
      </c>
    </row>
    <row r="317" spans="1:25" x14ac:dyDescent="0.35">
      <c r="A317" s="1">
        <v>364</v>
      </c>
      <c r="B317" t="s">
        <v>75</v>
      </c>
      <c r="C317" t="s">
        <v>253</v>
      </c>
      <c r="D317" t="s">
        <v>341</v>
      </c>
      <c r="E317" s="2">
        <v>6.9704333333333333</v>
      </c>
      <c r="F317" s="2">
        <v>14.6825949390073</v>
      </c>
      <c r="G317">
        <v>27</v>
      </c>
      <c r="H317" t="s">
        <v>58</v>
      </c>
      <c r="M317" s="2">
        <v>36.335623211347936</v>
      </c>
      <c r="N317" s="2">
        <v>-22.394756544681272</v>
      </c>
      <c r="O317" s="2">
        <v>58.730379756029208</v>
      </c>
      <c r="P317" s="2">
        <v>0.47474124037944809</v>
      </c>
      <c r="R317" t="str">
        <f t="shared" si="12"/>
        <v>yes</v>
      </c>
      <c r="S317" t="str">
        <f t="shared" si="13"/>
        <v>no</v>
      </c>
      <c r="T3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7" s="2" t="b">
        <f t="shared" si="14"/>
        <v>1</v>
      </c>
      <c r="V317" s="2">
        <f>IF(Table4[[#This Row],[linear?]],Table4[[#This Row],[av]],10^(Table4[[#This Row],[av]]/10))</f>
        <v>6.9704333333333333</v>
      </c>
      <c r="W317" s="2">
        <f>IF(Table4[[#This Row],[linear?]],Table4[[#This Row],[av]],10^(Table4[[#This Row],[av]]/10))</f>
        <v>6.9704333333333333</v>
      </c>
      <c r="X317" s="2">
        <f>Table4[[#This Row],[av_lin]]-2*Table4[[#This Row],[std_lin]]</f>
        <v>-6.9704333333333333</v>
      </c>
      <c r="Y317" s="2">
        <f>Table4[[#This Row],[av_lin]]+2*Table4[[#This Row],[std_lin]]</f>
        <v>20.911300000000001</v>
      </c>
    </row>
    <row r="318" spans="1:25" x14ac:dyDescent="0.35">
      <c r="A318" s="1">
        <v>365</v>
      </c>
      <c r="B318" t="s">
        <v>75</v>
      </c>
      <c r="C318" t="s">
        <v>253</v>
      </c>
      <c r="D318" t="s">
        <v>342</v>
      </c>
      <c r="E318" s="2">
        <v>31.557803703703701</v>
      </c>
      <c r="F318" s="2">
        <v>66.394303018777507</v>
      </c>
      <c r="G318">
        <v>27</v>
      </c>
      <c r="H318" t="s">
        <v>58</v>
      </c>
      <c r="M318" s="2">
        <v>164.3464097412587</v>
      </c>
      <c r="N318" s="2">
        <v>-101.2308023338513</v>
      </c>
      <c r="O318" s="2">
        <v>265.57721207511003</v>
      </c>
      <c r="P318" s="2">
        <v>0.4753089085787765</v>
      </c>
      <c r="R318" t="str">
        <f t="shared" si="12"/>
        <v>yes</v>
      </c>
      <c r="S318" t="str">
        <f t="shared" si="13"/>
        <v>no</v>
      </c>
      <c r="T3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8" s="2" t="b">
        <f t="shared" si="14"/>
        <v>0</v>
      </c>
      <c r="V318" s="2">
        <f>IF(Table4[[#This Row],[linear?]],Table4[[#This Row],[av]],10^(Table4[[#This Row],[av]]/10))</f>
        <v>1431.4638021742464</v>
      </c>
      <c r="W318" s="2">
        <f>IF(Table4[[#This Row],[linear?]],Table4[[#This Row],[av]],10^(Table4[[#This Row],[av]]/10))</f>
        <v>1431.4638021742464</v>
      </c>
      <c r="X318" s="2">
        <f>Table4[[#This Row],[av_lin]]-2*Table4[[#This Row],[std_lin]]</f>
        <v>-1431.4638021742464</v>
      </c>
      <c r="Y318" s="2">
        <f>Table4[[#This Row],[av_lin]]+2*Table4[[#This Row],[std_lin]]</f>
        <v>4294.3914065227391</v>
      </c>
    </row>
    <row r="319" spans="1:25" x14ac:dyDescent="0.35">
      <c r="A319" s="1">
        <v>366</v>
      </c>
      <c r="B319" t="s">
        <v>75</v>
      </c>
      <c r="C319" t="s">
        <v>253</v>
      </c>
      <c r="D319" t="s">
        <v>343</v>
      </c>
      <c r="E319" s="2">
        <v>0</v>
      </c>
      <c r="F319" s="2">
        <v>0</v>
      </c>
      <c r="G319">
        <v>27</v>
      </c>
      <c r="H319" t="s">
        <v>58</v>
      </c>
      <c r="M319" s="2">
        <v>0</v>
      </c>
      <c r="N319" s="2">
        <v>0</v>
      </c>
      <c r="O319" s="2">
        <v>0</v>
      </c>
      <c r="R319" t="str">
        <f t="shared" si="12"/>
        <v>yes</v>
      </c>
      <c r="S319" t="str">
        <f t="shared" si="13"/>
        <v>no</v>
      </c>
      <c r="T3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9" s="2" t="b">
        <f t="shared" si="14"/>
        <v>0</v>
      </c>
      <c r="V319" s="2">
        <f>IF(Table4[[#This Row],[linear?]],Table4[[#This Row],[av]],10^(Table4[[#This Row],[av]]/10))</f>
        <v>1</v>
      </c>
      <c r="W319" s="2">
        <f>IF(Table4[[#This Row],[linear?]],Table4[[#This Row],[av]],10^(Table4[[#This Row],[av]]/10))</f>
        <v>1</v>
      </c>
      <c r="X319" s="2">
        <f>Table4[[#This Row],[av_lin]]-2*Table4[[#This Row],[std_lin]]</f>
        <v>-1</v>
      </c>
      <c r="Y319" s="2">
        <f>Table4[[#This Row],[av_lin]]+2*Table4[[#This Row],[std_lin]]</f>
        <v>3</v>
      </c>
    </row>
    <row r="320" spans="1:25" x14ac:dyDescent="0.35">
      <c r="A320" s="1">
        <v>367</v>
      </c>
      <c r="B320" t="s">
        <v>75</v>
      </c>
      <c r="C320" t="s">
        <v>253</v>
      </c>
      <c r="D320" t="s">
        <v>344</v>
      </c>
      <c r="E320" s="2">
        <v>0</v>
      </c>
      <c r="F320" s="2">
        <v>0</v>
      </c>
      <c r="G320">
        <v>27</v>
      </c>
      <c r="H320" t="s">
        <v>58</v>
      </c>
      <c r="M320" s="2">
        <v>0</v>
      </c>
      <c r="N320" s="2">
        <v>0</v>
      </c>
      <c r="O320" s="2">
        <v>0</v>
      </c>
      <c r="R320" t="str">
        <f t="shared" si="12"/>
        <v>yes</v>
      </c>
      <c r="S320" t="str">
        <f t="shared" si="13"/>
        <v>no</v>
      </c>
      <c r="T3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0" s="2" t="b">
        <f t="shared" si="14"/>
        <v>0</v>
      </c>
      <c r="V320" s="2">
        <f>IF(Table4[[#This Row],[linear?]],Table4[[#This Row],[av]],10^(Table4[[#This Row],[av]]/10))</f>
        <v>1</v>
      </c>
      <c r="W320" s="2">
        <f>IF(Table4[[#This Row],[linear?]],Table4[[#This Row],[av]],10^(Table4[[#This Row],[av]]/10))</f>
        <v>1</v>
      </c>
      <c r="X320" s="2">
        <f>Table4[[#This Row],[av_lin]]-2*Table4[[#This Row],[std_lin]]</f>
        <v>-1</v>
      </c>
      <c r="Y320" s="2">
        <f>Table4[[#This Row],[av_lin]]+2*Table4[[#This Row],[std_lin]]</f>
        <v>3</v>
      </c>
    </row>
    <row r="321" spans="1:25" x14ac:dyDescent="0.35">
      <c r="A321" s="1">
        <v>368</v>
      </c>
      <c r="B321" t="s">
        <v>75</v>
      </c>
      <c r="C321" t="s">
        <v>253</v>
      </c>
      <c r="D321" t="s">
        <v>345</v>
      </c>
      <c r="E321" s="2">
        <v>7.4496074074074068</v>
      </c>
      <c r="F321" s="2">
        <v>15.68563510594908</v>
      </c>
      <c r="G321">
        <v>27</v>
      </c>
      <c r="H321" t="s">
        <v>58</v>
      </c>
      <c r="M321" s="2">
        <v>38.82087761930557</v>
      </c>
      <c r="N321" s="2">
        <v>-23.921662804490751</v>
      </c>
      <c r="O321" s="2">
        <v>62.742540423796328</v>
      </c>
      <c r="P321" s="2">
        <v>0.47493183139151313</v>
      </c>
      <c r="R321" t="str">
        <f t="shared" si="12"/>
        <v>yes</v>
      </c>
      <c r="S321" t="str">
        <f t="shared" si="13"/>
        <v>no</v>
      </c>
      <c r="T3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1" s="2" t="b">
        <f t="shared" si="14"/>
        <v>1</v>
      </c>
      <c r="V321" s="2">
        <f>IF(Table4[[#This Row],[linear?]],Table4[[#This Row],[av]],10^(Table4[[#This Row],[av]]/10))</f>
        <v>7.4496074074074068</v>
      </c>
      <c r="W321" s="2">
        <f>IF(Table4[[#This Row],[linear?]],Table4[[#This Row],[av]],10^(Table4[[#This Row],[av]]/10))</f>
        <v>7.4496074074074068</v>
      </c>
      <c r="X321" s="2">
        <f>Table4[[#This Row],[av_lin]]-2*Table4[[#This Row],[std_lin]]</f>
        <v>-7.4496074074074068</v>
      </c>
      <c r="Y321" s="2">
        <f>Table4[[#This Row],[av_lin]]+2*Table4[[#This Row],[std_lin]]</f>
        <v>22.348822222222221</v>
      </c>
    </row>
    <row r="322" spans="1:25" x14ac:dyDescent="0.35">
      <c r="A322" s="1">
        <v>369</v>
      </c>
      <c r="B322" t="s">
        <v>75</v>
      </c>
      <c r="C322" t="s">
        <v>253</v>
      </c>
      <c r="D322" t="s">
        <v>346</v>
      </c>
      <c r="E322" s="2">
        <v>26.309255555555559</v>
      </c>
      <c r="F322" s="2">
        <v>58.711124888845212</v>
      </c>
      <c r="G322">
        <v>27</v>
      </c>
      <c r="H322" t="s">
        <v>58</v>
      </c>
      <c r="M322" s="2">
        <v>143.73150533324599</v>
      </c>
      <c r="N322" s="2">
        <v>-91.112994222134859</v>
      </c>
      <c r="O322" s="2">
        <v>234.84449955538079</v>
      </c>
      <c r="P322" s="2">
        <v>0.44811363443241009</v>
      </c>
      <c r="R322" t="str">
        <f t="shared" ref="R322:R385" si="15">IF(H322="yes","yes","no")</f>
        <v>yes</v>
      </c>
      <c r="S322" t="str">
        <f t="shared" ref="S322:S385" si="16">IF(I322,"yes","no")</f>
        <v>no</v>
      </c>
      <c r="T3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2" s="2" t="b">
        <f t="shared" ref="U322:U385" si="17">NOT(ISNUMBER(SEARCH("RFIC*POWER", D322)))</f>
        <v>0</v>
      </c>
      <c r="V322" s="2">
        <f>IF(Table4[[#This Row],[linear?]],Table4[[#This Row],[av]],10^(Table4[[#This Row],[av]]/10))</f>
        <v>427.48960188257217</v>
      </c>
      <c r="W322" s="2">
        <f>IF(Table4[[#This Row],[linear?]],Table4[[#This Row],[av]],10^(Table4[[#This Row],[av]]/10))</f>
        <v>427.48960188257217</v>
      </c>
      <c r="X322" s="2">
        <f>Table4[[#This Row],[av_lin]]-2*Table4[[#This Row],[std_lin]]</f>
        <v>-427.48960188257217</v>
      </c>
      <c r="Y322" s="2">
        <f>Table4[[#This Row],[av_lin]]+2*Table4[[#This Row],[std_lin]]</f>
        <v>1282.4688056477166</v>
      </c>
    </row>
    <row r="323" spans="1:25" x14ac:dyDescent="0.35">
      <c r="A323" s="1">
        <v>370</v>
      </c>
      <c r="B323" t="s">
        <v>75</v>
      </c>
      <c r="C323" t="s">
        <v>253</v>
      </c>
      <c r="D323" t="s">
        <v>347</v>
      </c>
      <c r="E323" s="2">
        <v>0</v>
      </c>
      <c r="F323" s="2">
        <v>0</v>
      </c>
      <c r="G323">
        <v>27</v>
      </c>
      <c r="H323" t="s">
        <v>58</v>
      </c>
      <c r="M323" s="2">
        <v>0</v>
      </c>
      <c r="N323" s="2">
        <v>0</v>
      </c>
      <c r="O323" s="2">
        <v>0</v>
      </c>
      <c r="R323" t="str">
        <f t="shared" si="15"/>
        <v>yes</v>
      </c>
      <c r="S323" t="str">
        <f t="shared" si="16"/>
        <v>no</v>
      </c>
      <c r="T3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3" s="2" t="b">
        <f t="shared" si="17"/>
        <v>0</v>
      </c>
      <c r="V323" s="2">
        <f>IF(Table4[[#This Row],[linear?]],Table4[[#This Row],[av]],10^(Table4[[#This Row],[av]]/10))</f>
        <v>1</v>
      </c>
      <c r="W323" s="2">
        <f>IF(Table4[[#This Row],[linear?]],Table4[[#This Row],[av]],10^(Table4[[#This Row],[av]]/10))</f>
        <v>1</v>
      </c>
      <c r="X323" s="2">
        <f>Table4[[#This Row],[av_lin]]-2*Table4[[#This Row],[std_lin]]</f>
        <v>-1</v>
      </c>
      <c r="Y323" s="2">
        <f>Table4[[#This Row],[av_lin]]+2*Table4[[#This Row],[std_lin]]</f>
        <v>3</v>
      </c>
    </row>
    <row r="324" spans="1:25" x14ac:dyDescent="0.35">
      <c r="A324" s="1">
        <v>371</v>
      </c>
      <c r="B324" t="s">
        <v>75</v>
      </c>
      <c r="C324" t="s">
        <v>253</v>
      </c>
      <c r="D324" t="s">
        <v>348</v>
      </c>
      <c r="E324" s="2">
        <v>0</v>
      </c>
      <c r="F324" s="2">
        <v>0</v>
      </c>
      <c r="G324">
        <v>27</v>
      </c>
      <c r="H324" t="s">
        <v>58</v>
      </c>
      <c r="M324" s="2">
        <v>0</v>
      </c>
      <c r="N324" s="2">
        <v>0</v>
      </c>
      <c r="O324" s="2">
        <v>0</v>
      </c>
      <c r="R324" t="str">
        <f t="shared" si="15"/>
        <v>yes</v>
      </c>
      <c r="S324" t="str">
        <f t="shared" si="16"/>
        <v>no</v>
      </c>
      <c r="T3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4" s="2" t="b">
        <f t="shared" si="17"/>
        <v>0</v>
      </c>
      <c r="V324" s="2">
        <f>IF(Table4[[#This Row],[linear?]],Table4[[#This Row],[av]],10^(Table4[[#This Row],[av]]/10))</f>
        <v>1</v>
      </c>
      <c r="W324" s="2">
        <f>IF(Table4[[#This Row],[linear?]],Table4[[#This Row],[av]],10^(Table4[[#This Row],[av]]/10))</f>
        <v>1</v>
      </c>
      <c r="X324" s="2">
        <f>Table4[[#This Row],[av_lin]]-2*Table4[[#This Row],[std_lin]]</f>
        <v>-1</v>
      </c>
      <c r="Y324" s="2">
        <f>Table4[[#This Row],[av_lin]]+2*Table4[[#This Row],[std_lin]]</f>
        <v>3</v>
      </c>
    </row>
    <row r="325" spans="1:25" x14ac:dyDescent="0.35">
      <c r="A325" s="1">
        <v>372</v>
      </c>
      <c r="B325" t="s">
        <v>75</v>
      </c>
      <c r="C325" t="s">
        <v>253</v>
      </c>
      <c r="D325" t="s">
        <v>349</v>
      </c>
      <c r="E325" s="2">
        <v>5.8346111111111103</v>
      </c>
      <c r="F325" s="2">
        <v>12.248784813448751</v>
      </c>
      <c r="G325">
        <v>27</v>
      </c>
      <c r="H325" t="s">
        <v>58</v>
      </c>
      <c r="M325" s="2">
        <v>30.33218073800861</v>
      </c>
      <c r="N325" s="2">
        <v>-18.662958515786389</v>
      </c>
      <c r="O325" s="2">
        <v>48.995139253795003</v>
      </c>
      <c r="P325" s="2">
        <v>0.47634203718763229</v>
      </c>
      <c r="R325" t="str">
        <f t="shared" si="15"/>
        <v>yes</v>
      </c>
      <c r="S325" t="str">
        <f t="shared" si="16"/>
        <v>no</v>
      </c>
      <c r="T3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5" s="2" t="b">
        <f t="shared" si="17"/>
        <v>1</v>
      </c>
      <c r="V325" s="2">
        <f>IF(Table4[[#This Row],[linear?]],Table4[[#This Row],[av]],10^(Table4[[#This Row],[av]]/10))</f>
        <v>5.8346111111111103</v>
      </c>
      <c r="W325" s="2">
        <f>IF(Table4[[#This Row],[linear?]],Table4[[#This Row],[av]],10^(Table4[[#This Row],[av]]/10))</f>
        <v>5.8346111111111103</v>
      </c>
      <c r="X325" s="2">
        <f>Table4[[#This Row],[av_lin]]-2*Table4[[#This Row],[std_lin]]</f>
        <v>-5.8346111111111103</v>
      </c>
      <c r="Y325" s="2">
        <f>Table4[[#This Row],[av_lin]]+2*Table4[[#This Row],[std_lin]]</f>
        <v>17.503833333333333</v>
      </c>
    </row>
    <row r="326" spans="1:25" x14ac:dyDescent="0.35">
      <c r="A326" s="1">
        <v>373</v>
      </c>
      <c r="B326" t="s">
        <v>75</v>
      </c>
      <c r="C326" t="s">
        <v>253</v>
      </c>
      <c r="D326" t="s">
        <v>350</v>
      </c>
      <c r="E326" s="2">
        <v>0</v>
      </c>
      <c r="F326" s="2">
        <v>0</v>
      </c>
      <c r="G326">
        <v>27</v>
      </c>
      <c r="H326" t="s">
        <v>58</v>
      </c>
      <c r="M326" s="2">
        <v>0</v>
      </c>
      <c r="N326" s="2">
        <v>0</v>
      </c>
      <c r="O326" s="2">
        <v>0</v>
      </c>
      <c r="R326" t="str">
        <f t="shared" si="15"/>
        <v>yes</v>
      </c>
      <c r="S326" t="str">
        <f t="shared" si="16"/>
        <v>no</v>
      </c>
      <c r="T3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6" s="2" t="b">
        <f t="shared" si="17"/>
        <v>0</v>
      </c>
      <c r="V326" s="2">
        <f>IF(Table4[[#This Row],[linear?]],Table4[[#This Row],[av]],10^(Table4[[#This Row],[av]]/10))</f>
        <v>1</v>
      </c>
      <c r="W326" s="2">
        <f>IF(Table4[[#This Row],[linear?]],Table4[[#This Row],[av]],10^(Table4[[#This Row],[av]]/10))</f>
        <v>1</v>
      </c>
      <c r="X326" s="2">
        <f>Table4[[#This Row],[av_lin]]-2*Table4[[#This Row],[std_lin]]</f>
        <v>-1</v>
      </c>
      <c r="Y326" s="2">
        <f>Table4[[#This Row],[av_lin]]+2*Table4[[#This Row],[std_lin]]</f>
        <v>3</v>
      </c>
    </row>
    <row r="327" spans="1:25" x14ac:dyDescent="0.35">
      <c r="A327" s="1">
        <v>374</v>
      </c>
      <c r="B327" t="s">
        <v>75</v>
      </c>
      <c r="C327" t="s">
        <v>253</v>
      </c>
      <c r="D327" t="s">
        <v>351</v>
      </c>
      <c r="E327" s="2">
        <v>2.9957555555555562</v>
      </c>
      <c r="F327" s="2">
        <v>5.6045454517067581</v>
      </c>
      <c r="G327">
        <v>27</v>
      </c>
      <c r="H327" t="s">
        <v>58</v>
      </c>
      <c r="M327" s="2">
        <v>14.204846458969071</v>
      </c>
      <c r="N327" s="2">
        <v>-8.21333534785796</v>
      </c>
      <c r="O327" s="2">
        <v>22.418181806827029</v>
      </c>
      <c r="P327" s="2">
        <v>0.5345224838248489</v>
      </c>
      <c r="R327" t="str">
        <f t="shared" si="15"/>
        <v>yes</v>
      </c>
      <c r="S327" t="str">
        <f t="shared" si="16"/>
        <v>no</v>
      </c>
      <c r="T3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7" s="2" t="b">
        <f t="shared" si="17"/>
        <v>0</v>
      </c>
      <c r="V327" s="2">
        <f>IF(Table4[[#This Row],[linear?]],Table4[[#This Row],[av]],10^(Table4[[#This Row],[av]]/10))</f>
        <v>1.9933132588797982</v>
      </c>
      <c r="W327" s="2">
        <f>IF(Table4[[#This Row],[linear?]],Table4[[#This Row],[av]],10^(Table4[[#This Row],[av]]/10))</f>
        <v>1.9933132588797982</v>
      </c>
      <c r="X327" s="2">
        <f>Table4[[#This Row],[av_lin]]-2*Table4[[#This Row],[std_lin]]</f>
        <v>-1.9933132588797982</v>
      </c>
      <c r="Y327" s="2">
        <f>Table4[[#This Row],[av_lin]]+2*Table4[[#This Row],[std_lin]]</f>
        <v>5.9799397766393945</v>
      </c>
    </row>
    <row r="328" spans="1:25" x14ac:dyDescent="0.35">
      <c r="A328" s="1">
        <v>375</v>
      </c>
      <c r="B328" t="s">
        <v>75</v>
      </c>
      <c r="C328" t="s">
        <v>253</v>
      </c>
      <c r="D328" t="s">
        <v>352</v>
      </c>
      <c r="E328" s="2">
        <v>0</v>
      </c>
      <c r="F328" s="2">
        <v>0</v>
      </c>
      <c r="G328">
        <v>27</v>
      </c>
      <c r="H328" t="s">
        <v>58</v>
      </c>
      <c r="M328" s="2">
        <v>0</v>
      </c>
      <c r="N328" s="2">
        <v>0</v>
      </c>
      <c r="O328" s="2">
        <v>0</v>
      </c>
      <c r="R328" t="str">
        <f t="shared" si="15"/>
        <v>yes</v>
      </c>
      <c r="S328" t="str">
        <f t="shared" si="16"/>
        <v>no</v>
      </c>
      <c r="T3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8" s="2" t="b">
        <f t="shared" si="17"/>
        <v>0</v>
      </c>
      <c r="V328" s="2">
        <f>IF(Table4[[#This Row],[linear?]],Table4[[#This Row],[av]],10^(Table4[[#This Row],[av]]/10))</f>
        <v>1</v>
      </c>
      <c r="W328" s="2">
        <f>IF(Table4[[#This Row],[linear?]],Table4[[#This Row],[av]],10^(Table4[[#This Row],[av]]/10))</f>
        <v>1</v>
      </c>
      <c r="X328" s="2">
        <f>Table4[[#This Row],[av_lin]]-2*Table4[[#This Row],[std_lin]]</f>
        <v>-1</v>
      </c>
      <c r="Y328" s="2">
        <f>Table4[[#This Row],[av_lin]]+2*Table4[[#This Row],[std_lin]]</f>
        <v>3</v>
      </c>
    </row>
    <row r="329" spans="1:25" x14ac:dyDescent="0.35">
      <c r="A329" s="1">
        <v>376</v>
      </c>
      <c r="B329" t="s">
        <v>75</v>
      </c>
      <c r="C329" t="s">
        <v>253</v>
      </c>
      <c r="D329" t="s">
        <v>353</v>
      </c>
      <c r="E329" s="2">
        <v>9.1524925925925924</v>
      </c>
      <c r="F329" s="2">
        <v>17.219319130384321</v>
      </c>
      <c r="G329">
        <v>27</v>
      </c>
      <c r="H329" t="s">
        <v>58</v>
      </c>
      <c r="M329" s="2">
        <v>43.591130853361243</v>
      </c>
      <c r="N329" s="2">
        <v>-25.286145668176051</v>
      </c>
      <c r="O329" s="2">
        <v>68.877276521537283</v>
      </c>
      <c r="P329" s="2">
        <v>0.53152465107883251</v>
      </c>
      <c r="R329" t="str">
        <f t="shared" si="15"/>
        <v>yes</v>
      </c>
      <c r="S329" t="str">
        <f t="shared" si="16"/>
        <v>no</v>
      </c>
      <c r="T3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9" s="2" t="b">
        <f t="shared" si="17"/>
        <v>1</v>
      </c>
      <c r="V329" s="2">
        <f>IF(Table4[[#This Row],[linear?]],Table4[[#This Row],[av]],10^(Table4[[#This Row],[av]]/10))</f>
        <v>9.1524925925925924</v>
      </c>
      <c r="W329" s="2">
        <f>IF(Table4[[#This Row],[linear?]],Table4[[#This Row],[av]],10^(Table4[[#This Row],[av]]/10))</f>
        <v>9.1524925925925924</v>
      </c>
      <c r="X329" s="2">
        <f>Table4[[#This Row],[av_lin]]-2*Table4[[#This Row],[std_lin]]</f>
        <v>-9.1524925925925924</v>
      </c>
      <c r="Y329" s="2">
        <f>Table4[[#This Row],[av_lin]]+2*Table4[[#This Row],[std_lin]]</f>
        <v>27.457477777777775</v>
      </c>
    </row>
    <row r="330" spans="1:25" x14ac:dyDescent="0.35">
      <c r="A330" s="1">
        <v>377</v>
      </c>
      <c r="B330" t="s">
        <v>75</v>
      </c>
      <c r="C330" t="s">
        <v>253</v>
      </c>
      <c r="D330" t="s">
        <v>354</v>
      </c>
      <c r="E330" s="2">
        <v>0</v>
      </c>
      <c r="F330" s="2">
        <v>0</v>
      </c>
      <c r="G330">
        <v>27</v>
      </c>
      <c r="H330" t="s">
        <v>58</v>
      </c>
      <c r="M330" s="2">
        <v>0</v>
      </c>
      <c r="N330" s="2">
        <v>0</v>
      </c>
      <c r="O330" s="2">
        <v>0</v>
      </c>
      <c r="R330" t="str">
        <f t="shared" si="15"/>
        <v>yes</v>
      </c>
      <c r="S330" t="str">
        <f t="shared" si="16"/>
        <v>no</v>
      </c>
      <c r="T3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0" s="2" t="b">
        <f t="shared" si="17"/>
        <v>0</v>
      </c>
      <c r="V330" s="2">
        <f>IF(Table4[[#This Row],[linear?]],Table4[[#This Row],[av]],10^(Table4[[#This Row],[av]]/10))</f>
        <v>1</v>
      </c>
      <c r="W330" s="2">
        <f>IF(Table4[[#This Row],[linear?]],Table4[[#This Row],[av]],10^(Table4[[#This Row],[av]]/10))</f>
        <v>1</v>
      </c>
      <c r="X330" s="2">
        <f>Table4[[#This Row],[av_lin]]-2*Table4[[#This Row],[std_lin]]</f>
        <v>-1</v>
      </c>
      <c r="Y330" s="2">
        <f>Table4[[#This Row],[av_lin]]+2*Table4[[#This Row],[std_lin]]</f>
        <v>3</v>
      </c>
    </row>
    <row r="331" spans="1:25" x14ac:dyDescent="0.35">
      <c r="A331" s="1">
        <v>378</v>
      </c>
      <c r="B331" t="s">
        <v>75</v>
      </c>
      <c r="C331" t="s">
        <v>253</v>
      </c>
      <c r="D331" t="s">
        <v>355</v>
      </c>
      <c r="E331" s="2">
        <v>3.994340740740741</v>
      </c>
      <c r="F331" s="2">
        <v>6.1556924987129253</v>
      </c>
      <c r="G331">
        <v>27</v>
      </c>
      <c r="H331" t="s">
        <v>58</v>
      </c>
      <c r="M331" s="2">
        <v>16.30572573816659</v>
      </c>
      <c r="N331" s="2">
        <v>-8.3170442566851097</v>
      </c>
      <c r="O331" s="2">
        <v>24.622769994851701</v>
      </c>
      <c r="P331" s="2">
        <v>0.64888568452305007</v>
      </c>
      <c r="R331" t="str">
        <f t="shared" si="15"/>
        <v>yes</v>
      </c>
      <c r="S331" t="str">
        <f t="shared" si="16"/>
        <v>no</v>
      </c>
      <c r="T3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1" s="2" t="b">
        <f t="shared" si="17"/>
        <v>0</v>
      </c>
      <c r="V331" s="2">
        <f>IF(Table4[[#This Row],[linear?]],Table4[[#This Row],[av]],10^(Table4[[#This Row],[av]]/10))</f>
        <v>2.508615342615431</v>
      </c>
      <c r="W331" s="2">
        <f>IF(Table4[[#This Row],[linear?]],Table4[[#This Row],[av]],10^(Table4[[#This Row],[av]]/10))</f>
        <v>2.508615342615431</v>
      </c>
      <c r="X331" s="2">
        <f>Table4[[#This Row],[av_lin]]-2*Table4[[#This Row],[std_lin]]</f>
        <v>-2.508615342615431</v>
      </c>
      <c r="Y331" s="2">
        <f>Table4[[#This Row],[av_lin]]+2*Table4[[#This Row],[std_lin]]</f>
        <v>7.5258460278462929</v>
      </c>
    </row>
    <row r="332" spans="1:25" x14ac:dyDescent="0.35">
      <c r="A332" s="1">
        <v>379</v>
      </c>
      <c r="B332" t="s">
        <v>75</v>
      </c>
      <c r="C332" t="s">
        <v>253</v>
      </c>
      <c r="D332" t="s">
        <v>356</v>
      </c>
      <c r="E332" s="2">
        <v>0</v>
      </c>
      <c r="F332" s="2">
        <v>0</v>
      </c>
      <c r="G332">
        <v>27</v>
      </c>
      <c r="H332" t="s">
        <v>58</v>
      </c>
      <c r="M332" s="2">
        <v>0</v>
      </c>
      <c r="N332" s="2">
        <v>0</v>
      </c>
      <c r="O332" s="2">
        <v>0</v>
      </c>
      <c r="R332" t="str">
        <f t="shared" si="15"/>
        <v>yes</v>
      </c>
      <c r="S332" t="str">
        <f t="shared" si="16"/>
        <v>no</v>
      </c>
      <c r="T3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2" s="2" t="b">
        <f t="shared" si="17"/>
        <v>0</v>
      </c>
      <c r="V332" s="2">
        <f>IF(Table4[[#This Row],[linear?]],Table4[[#This Row],[av]],10^(Table4[[#This Row],[av]]/10))</f>
        <v>1</v>
      </c>
      <c r="W332" s="2">
        <f>IF(Table4[[#This Row],[linear?]],Table4[[#This Row],[av]],10^(Table4[[#This Row],[av]]/10))</f>
        <v>1</v>
      </c>
      <c r="X332" s="2">
        <f>Table4[[#This Row],[av_lin]]-2*Table4[[#This Row],[std_lin]]</f>
        <v>-1</v>
      </c>
      <c r="Y332" s="2">
        <f>Table4[[#This Row],[av_lin]]+2*Table4[[#This Row],[std_lin]]</f>
        <v>3</v>
      </c>
    </row>
    <row r="333" spans="1:25" x14ac:dyDescent="0.35">
      <c r="A333" s="1">
        <v>380</v>
      </c>
      <c r="B333" t="s">
        <v>75</v>
      </c>
      <c r="C333" t="s">
        <v>253</v>
      </c>
      <c r="D333" t="s">
        <v>357</v>
      </c>
      <c r="E333" s="2">
        <v>11.56442592592593</v>
      </c>
      <c r="F333" s="2">
        <v>17.994353387219629</v>
      </c>
      <c r="G333">
        <v>27</v>
      </c>
      <c r="H333" t="s">
        <v>58</v>
      </c>
      <c r="M333" s="2">
        <v>47.55313270036519</v>
      </c>
      <c r="N333" s="2">
        <v>-24.42428084851333</v>
      </c>
      <c r="O333" s="2">
        <v>71.977413548878516</v>
      </c>
      <c r="P333" s="2">
        <v>0.64266971294114339</v>
      </c>
      <c r="R333" t="str">
        <f t="shared" si="15"/>
        <v>yes</v>
      </c>
      <c r="S333" t="str">
        <f t="shared" si="16"/>
        <v>no</v>
      </c>
      <c r="T3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3" s="2" t="b">
        <f t="shared" si="17"/>
        <v>1</v>
      </c>
      <c r="V333" s="2">
        <f>IF(Table4[[#This Row],[linear?]],Table4[[#This Row],[av]],10^(Table4[[#This Row],[av]]/10))</f>
        <v>11.56442592592593</v>
      </c>
      <c r="W333" s="2">
        <f>IF(Table4[[#This Row],[linear?]],Table4[[#This Row],[av]],10^(Table4[[#This Row],[av]]/10))</f>
        <v>11.56442592592593</v>
      </c>
      <c r="X333" s="2">
        <f>Table4[[#This Row],[av_lin]]-2*Table4[[#This Row],[std_lin]]</f>
        <v>-11.56442592592593</v>
      </c>
      <c r="Y333" s="2">
        <f>Table4[[#This Row],[av_lin]]+2*Table4[[#This Row],[std_lin]]</f>
        <v>34.693277777777787</v>
      </c>
    </row>
    <row r="334" spans="1:25" x14ac:dyDescent="0.35">
      <c r="A334" s="1">
        <v>381</v>
      </c>
      <c r="B334" t="s">
        <v>75</v>
      </c>
      <c r="C334" t="s">
        <v>253</v>
      </c>
      <c r="D334" t="s">
        <v>358</v>
      </c>
      <c r="E334" s="2">
        <v>0</v>
      </c>
      <c r="F334" s="2">
        <v>0</v>
      </c>
      <c r="G334">
        <v>27</v>
      </c>
      <c r="H334" t="s">
        <v>58</v>
      </c>
      <c r="M334" s="2">
        <v>0</v>
      </c>
      <c r="N334" s="2">
        <v>0</v>
      </c>
      <c r="O334" s="2">
        <v>0</v>
      </c>
      <c r="R334" t="str">
        <f t="shared" si="15"/>
        <v>yes</v>
      </c>
      <c r="S334" t="str">
        <f t="shared" si="16"/>
        <v>no</v>
      </c>
      <c r="T3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4" s="2" t="b">
        <f t="shared" si="17"/>
        <v>0</v>
      </c>
      <c r="V334" s="2">
        <f>IF(Table4[[#This Row],[linear?]],Table4[[#This Row],[av]],10^(Table4[[#This Row],[av]]/10))</f>
        <v>1</v>
      </c>
      <c r="W334" s="2">
        <f>IF(Table4[[#This Row],[linear?]],Table4[[#This Row],[av]],10^(Table4[[#This Row],[av]]/10))</f>
        <v>1</v>
      </c>
      <c r="X334" s="2">
        <f>Table4[[#This Row],[av_lin]]-2*Table4[[#This Row],[std_lin]]</f>
        <v>-1</v>
      </c>
      <c r="Y334" s="2">
        <f>Table4[[#This Row],[av_lin]]+2*Table4[[#This Row],[std_lin]]</f>
        <v>3</v>
      </c>
    </row>
    <row r="335" spans="1:25" x14ac:dyDescent="0.35">
      <c r="A335" s="1">
        <v>382</v>
      </c>
      <c r="B335" t="s">
        <v>75</v>
      </c>
      <c r="C335" t="s">
        <v>253</v>
      </c>
      <c r="D335" t="s">
        <v>359</v>
      </c>
      <c r="E335" s="2">
        <v>2.9957555555555562</v>
      </c>
      <c r="F335" s="2">
        <v>5.6045454517067581</v>
      </c>
      <c r="G335">
        <v>27</v>
      </c>
      <c r="H335" t="s">
        <v>58</v>
      </c>
      <c r="M335" s="2">
        <v>14.204846458969071</v>
      </c>
      <c r="N335" s="2">
        <v>-8.21333534785796</v>
      </c>
      <c r="O335" s="2">
        <v>22.418181806827029</v>
      </c>
      <c r="P335" s="2">
        <v>0.5345224838248489</v>
      </c>
      <c r="R335" t="str">
        <f t="shared" si="15"/>
        <v>yes</v>
      </c>
      <c r="S335" t="str">
        <f t="shared" si="16"/>
        <v>no</v>
      </c>
      <c r="T3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5" s="2" t="b">
        <f t="shared" si="17"/>
        <v>0</v>
      </c>
      <c r="V335" s="2">
        <f>IF(Table4[[#This Row],[linear?]],Table4[[#This Row],[av]],10^(Table4[[#This Row],[av]]/10))</f>
        <v>1.9933132588797982</v>
      </c>
      <c r="W335" s="2">
        <f>IF(Table4[[#This Row],[linear?]],Table4[[#This Row],[av]],10^(Table4[[#This Row],[av]]/10))</f>
        <v>1.9933132588797982</v>
      </c>
      <c r="X335" s="2">
        <f>Table4[[#This Row],[av_lin]]-2*Table4[[#This Row],[std_lin]]</f>
        <v>-1.9933132588797982</v>
      </c>
      <c r="Y335" s="2">
        <f>Table4[[#This Row],[av_lin]]+2*Table4[[#This Row],[std_lin]]</f>
        <v>5.9799397766393945</v>
      </c>
    </row>
    <row r="336" spans="1:25" x14ac:dyDescent="0.35">
      <c r="A336" s="1">
        <v>383</v>
      </c>
      <c r="B336" t="s">
        <v>75</v>
      </c>
      <c r="C336" t="s">
        <v>253</v>
      </c>
      <c r="D336" t="s">
        <v>360</v>
      </c>
      <c r="E336" s="2">
        <v>0</v>
      </c>
      <c r="F336" s="2">
        <v>0</v>
      </c>
      <c r="G336">
        <v>27</v>
      </c>
      <c r="H336" t="s">
        <v>58</v>
      </c>
      <c r="M336" s="2">
        <v>0</v>
      </c>
      <c r="N336" s="2">
        <v>0</v>
      </c>
      <c r="O336" s="2">
        <v>0</v>
      </c>
      <c r="R336" t="str">
        <f t="shared" si="15"/>
        <v>yes</v>
      </c>
      <c r="S336" t="str">
        <f t="shared" si="16"/>
        <v>no</v>
      </c>
      <c r="T3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6" s="2" t="b">
        <f t="shared" si="17"/>
        <v>0</v>
      </c>
      <c r="V336" s="2">
        <f>IF(Table4[[#This Row],[linear?]],Table4[[#This Row],[av]],10^(Table4[[#This Row],[av]]/10))</f>
        <v>1</v>
      </c>
      <c r="W336" s="2">
        <f>IF(Table4[[#This Row],[linear?]],Table4[[#This Row],[av]],10^(Table4[[#This Row],[av]]/10))</f>
        <v>1</v>
      </c>
      <c r="X336" s="2">
        <f>Table4[[#This Row],[av_lin]]-2*Table4[[#This Row],[std_lin]]</f>
        <v>-1</v>
      </c>
      <c r="Y336" s="2">
        <f>Table4[[#This Row],[av_lin]]+2*Table4[[#This Row],[std_lin]]</f>
        <v>3</v>
      </c>
    </row>
    <row r="337" spans="1:25" x14ac:dyDescent="0.35">
      <c r="A337" s="1">
        <v>384</v>
      </c>
      <c r="B337" t="s">
        <v>75</v>
      </c>
      <c r="C337" t="s">
        <v>253</v>
      </c>
      <c r="D337" t="s">
        <v>361</v>
      </c>
      <c r="E337" s="2">
        <v>8.9927703703703692</v>
      </c>
      <c r="F337" s="2">
        <v>17.015801167755921</v>
      </c>
      <c r="G337">
        <v>27</v>
      </c>
      <c r="H337" t="s">
        <v>58</v>
      </c>
      <c r="M337" s="2">
        <v>43.024372705882207</v>
      </c>
      <c r="N337" s="2">
        <v>-25.038831965141469</v>
      </c>
      <c r="O337" s="2">
        <v>68.063204671023684</v>
      </c>
      <c r="P337" s="2">
        <v>0.52849526635344168</v>
      </c>
      <c r="R337" t="str">
        <f t="shared" si="15"/>
        <v>yes</v>
      </c>
      <c r="S337" t="str">
        <f t="shared" si="16"/>
        <v>no</v>
      </c>
      <c r="T3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7" s="2" t="b">
        <f t="shared" si="17"/>
        <v>1</v>
      </c>
      <c r="V337" s="2">
        <f>IF(Table4[[#This Row],[linear?]],Table4[[#This Row],[av]],10^(Table4[[#This Row],[av]]/10))</f>
        <v>8.9927703703703692</v>
      </c>
      <c r="W337" s="2">
        <f>IF(Table4[[#This Row],[linear?]],Table4[[#This Row],[av]],10^(Table4[[#This Row],[av]]/10))</f>
        <v>8.9927703703703692</v>
      </c>
      <c r="X337" s="2">
        <f>Table4[[#This Row],[av_lin]]-2*Table4[[#This Row],[std_lin]]</f>
        <v>-8.9927703703703692</v>
      </c>
      <c r="Y337" s="2">
        <f>Table4[[#This Row],[av_lin]]+2*Table4[[#This Row],[std_lin]]</f>
        <v>26.978311111111108</v>
      </c>
    </row>
    <row r="338" spans="1:25" x14ac:dyDescent="0.35">
      <c r="A338" s="1">
        <v>385</v>
      </c>
      <c r="B338" t="s">
        <v>75</v>
      </c>
      <c r="C338" t="s">
        <v>253</v>
      </c>
      <c r="D338" t="s">
        <v>362</v>
      </c>
      <c r="E338" s="2">
        <v>0</v>
      </c>
      <c r="F338" s="2">
        <v>0</v>
      </c>
      <c r="G338">
        <v>27</v>
      </c>
      <c r="H338" t="s">
        <v>58</v>
      </c>
      <c r="M338" s="2">
        <v>0</v>
      </c>
      <c r="N338" s="2">
        <v>0</v>
      </c>
      <c r="O338" s="2">
        <v>0</v>
      </c>
      <c r="R338" t="str">
        <f t="shared" si="15"/>
        <v>yes</v>
      </c>
      <c r="S338" t="str">
        <f t="shared" si="16"/>
        <v>no</v>
      </c>
      <c r="T3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8" s="2" t="b">
        <f t="shared" si="17"/>
        <v>0</v>
      </c>
      <c r="V338" s="2">
        <f>IF(Table4[[#This Row],[linear?]],Table4[[#This Row],[av]],10^(Table4[[#This Row],[av]]/10))</f>
        <v>1</v>
      </c>
      <c r="W338" s="2">
        <f>IF(Table4[[#This Row],[linear?]],Table4[[#This Row],[av]],10^(Table4[[#This Row],[av]]/10))</f>
        <v>1</v>
      </c>
      <c r="X338" s="2">
        <f>Table4[[#This Row],[av_lin]]-2*Table4[[#This Row],[std_lin]]</f>
        <v>-1</v>
      </c>
      <c r="Y338" s="2">
        <f>Table4[[#This Row],[av_lin]]+2*Table4[[#This Row],[std_lin]]</f>
        <v>3</v>
      </c>
    </row>
    <row r="339" spans="1:25" x14ac:dyDescent="0.35">
      <c r="A339" s="1">
        <v>386</v>
      </c>
      <c r="B339" t="s">
        <v>75</v>
      </c>
      <c r="C339" t="s">
        <v>253</v>
      </c>
      <c r="D339" t="s">
        <v>363</v>
      </c>
      <c r="E339" s="2">
        <v>3.994340740740741</v>
      </c>
      <c r="F339" s="2">
        <v>6.1556924987129253</v>
      </c>
      <c r="G339">
        <v>27</v>
      </c>
      <c r="H339" t="s">
        <v>58</v>
      </c>
      <c r="M339" s="2">
        <v>16.30572573816659</v>
      </c>
      <c r="N339" s="2">
        <v>-8.3170442566851097</v>
      </c>
      <c r="O339" s="2">
        <v>24.622769994851701</v>
      </c>
      <c r="P339" s="2">
        <v>0.64888568452305007</v>
      </c>
      <c r="R339" t="str">
        <f t="shared" si="15"/>
        <v>yes</v>
      </c>
      <c r="S339" t="str">
        <f t="shared" si="16"/>
        <v>no</v>
      </c>
      <c r="T3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9" s="2" t="b">
        <f t="shared" si="17"/>
        <v>0</v>
      </c>
      <c r="V339" s="2">
        <f>IF(Table4[[#This Row],[linear?]],Table4[[#This Row],[av]],10^(Table4[[#This Row],[av]]/10))</f>
        <v>2.508615342615431</v>
      </c>
      <c r="W339" s="2">
        <f>IF(Table4[[#This Row],[linear?]],Table4[[#This Row],[av]],10^(Table4[[#This Row],[av]]/10))</f>
        <v>2.508615342615431</v>
      </c>
      <c r="X339" s="2">
        <f>Table4[[#This Row],[av_lin]]-2*Table4[[#This Row],[std_lin]]</f>
        <v>-2.508615342615431</v>
      </c>
      <c r="Y339" s="2">
        <f>Table4[[#This Row],[av_lin]]+2*Table4[[#This Row],[std_lin]]</f>
        <v>7.5258460278462929</v>
      </c>
    </row>
    <row r="340" spans="1:25" x14ac:dyDescent="0.35">
      <c r="A340" s="1">
        <v>387</v>
      </c>
      <c r="B340" t="s">
        <v>75</v>
      </c>
      <c r="C340" t="s">
        <v>253</v>
      </c>
      <c r="D340" t="s">
        <v>364</v>
      </c>
      <c r="E340" s="2">
        <v>0</v>
      </c>
      <c r="F340" s="2">
        <v>0</v>
      </c>
      <c r="G340">
        <v>27</v>
      </c>
      <c r="H340" t="s">
        <v>58</v>
      </c>
      <c r="M340" s="2">
        <v>0</v>
      </c>
      <c r="N340" s="2">
        <v>0</v>
      </c>
      <c r="O340" s="2">
        <v>0</v>
      </c>
      <c r="R340" t="str">
        <f t="shared" si="15"/>
        <v>yes</v>
      </c>
      <c r="S340" t="str">
        <f t="shared" si="16"/>
        <v>no</v>
      </c>
      <c r="T3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0" s="2" t="b">
        <f t="shared" si="17"/>
        <v>0</v>
      </c>
      <c r="V340" s="2">
        <f>IF(Table4[[#This Row],[linear?]],Table4[[#This Row],[av]],10^(Table4[[#This Row],[av]]/10))</f>
        <v>1</v>
      </c>
      <c r="W340" s="2">
        <f>IF(Table4[[#This Row],[linear?]],Table4[[#This Row],[av]],10^(Table4[[#This Row],[av]]/10))</f>
        <v>1</v>
      </c>
      <c r="X340" s="2">
        <f>Table4[[#This Row],[av_lin]]-2*Table4[[#This Row],[std_lin]]</f>
        <v>-1</v>
      </c>
      <c r="Y340" s="2">
        <f>Table4[[#This Row],[av_lin]]+2*Table4[[#This Row],[std_lin]]</f>
        <v>3</v>
      </c>
    </row>
    <row r="341" spans="1:25" x14ac:dyDescent="0.35">
      <c r="A341" s="1">
        <v>388</v>
      </c>
      <c r="B341" t="s">
        <v>75</v>
      </c>
      <c r="C341" t="s">
        <v>253</v>
      </c>
      <c r="D341" t="s">
        <v>365</v>
      </c>
      <c r="E341" s="2">
        <v>11.475688888888889</v>
      </c>
      <c r="F341" s="2">
        <v>17.77990914588155</v>
      </c>
      <c r="G341">
        <v>27</v>
      </c>
      <c r="H341" t="s">
        <v>58</v>
      </c>
      <c r="M341" s="2">
        <v>47.03550718065199</v>
      </c>
      <c r="N341" s="2">
        <v>-24.084129402874211</v>
      </c>
      <c r="O341" s="2">
        <v>71.119636583526201</v>
      </c>
      <c r="P341" s="2">
        <v>0.6454301197341642</v>
      </c>
      <c r="R341" t="str">
        <f t="shared" si="15"/>
        <v>yes</v>
      </c>
      <c r="S341" t="str">
        <f t="shared" si="16"/>
        <v>no</v>
      </c>
      <c r="T3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1" s="2" t="b">
        <f t="shared" si="17"/>
        <v>1</v>
      </c>
      <c r="V341" s="2">
        <f>IF(Table4[[#This Row],[linear?]],Table4[[#This Row],[av]],10^(Table4[[#This Row],[av]]/10))</f>
        <v>11.475688888888889</v>
      </c>
      <c r="W341" s="2">
        <f>IF(Table4[[#This Row],[linear?]],Table4[[#This Row],[av]],10^(Table4[[#This Row],[av]]/10))</f>
        <v>11.475688888888889</v>
      </c>
      <c r="X341" s="2">
        <f>Table4[[#This Row],[av_lin]]-2*Table4[[#This Row],[std_lin]]</f>
        <v>-11.475688888888889</v>
      </c>
      <c r="Y341" s="2">
        <f>Table4[[#This Row],[av_lin]]+2*Table4[[#This Row],[std_lin]]</f>
        <v>34.427066666666668</v>
      </c>
    </row>
    <row r="342" spans="1:25" x14ac:dyDescent="0.35">
      <c r="A342" s="1">
        <v>389</v>
      </c>
      <c r="B342" t="s">
        <v>75</v>
      </c>
      <c r="C342" t="s">
        <v>253</v>
      </c>
      <c r="D342" t="s">
        <v>366</v>
      </c>
      <c r="E342" s="2">
        <v>0</v>
      </c>
      <c r="F342" s="2">
        <v>0</v>
      </c>
      <c r="G342">
        <v>27</v>
      </c>
      <c r="H342" t="s">
        <v>58</v>
      </c>
      <c r="M342" s="2">
        <v>0</v>
      </c>
      <c r="N342" s="2">
        <v>0</v>
      </c>
      <c r="O342" s="2">
        <v>0</v>
      </c>
      <c r="R342" t="str">
        <f t="shared" si="15"/>
        <v>yes</v>
      </c>
      <c r="S342" t="str">
        <f t="shared" si="16"/>
        <v>no</v>
      </c>
      <c r="T3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2" s="2" t="b">
        <f t="shared" si="17"/>
        <v>0</v>
      </c>
      <c r="V342" s="2">
        <f>IF(Table4[[#This Row],[linear?]],Table4[[#This Row],[av]],10^(Table4[[#This Row],[av]]/10))</f>
        <v>1</v>
      </c>
      <c r="W342" s="2">
        <f>IF(Table4[[#This Row],[linear?]],Table4[[#This Row],[av]],10^(Table4[[#This Row],[av]]/10))</f>
        <v>1</v>
      </c>
      <c r="X342" s="2">
        <f>Table4[[#This Row],[av_lin]]-2*Table4[[#This Row],[std_lin]]</f>
        <v>-1</v>
      </c>
      <c r="Y342" s="2">
        <f>Table4[[#This Row],[av_lin]]+2*Table4[[#This Row],[std_lin]]</f>
        <v>3</v>
      </c>
    </row>
    <row r="343" spans="1:25" x14ac:dyDescent="0.35">
      <c r="A343" s="1">
        <v>390</v>
      </c>
      <c r="B343" t="s">
        <v>75</v>
      </c>
      <c r="C343" t="s">
        <v>253</v>
      </c>
      <c r="D343" t="s">
        <v>367</v>
      </c>
      <c r="E343" s="2">
        <v>2.9957555555555562</v>
      </c>
      <c r="F343" s="2">
        <v>5.6045454517067581</v>
      </c>
      <c r="G343">
        <v>27</v>
      </c>
      <c r="H343" t="s">
        <v>58</v>
      </c>
      <c r="M343" s="2">
        <v>14.204846458969071</v>
      </c>
      <c r="N343" s="2">
        <v>-8.21333534785796</v>
      </c>
      <c r="O343" s="2">
        <v>22.418181806827029</v>
      </c>
      <c r="P343" s="2">
        <v>0.5345224838248489</v>
      </c>
      <c r="R343" t="str">
        <f t="shared" si="15"/>
        <v>yes</v>
      </c>
      <c r="S343" t="str">
        <f t="shared" si="16"/>
        <v>no</v>
      </c>
      <c r="T3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3" s="2" t="b">
        <f t="shared" si="17"/>
        <v>0</v>
      </c>
      <c r="V343" s="2">
        <f>IF(Table4[[#This Row],[linear?]],Table4[[#This Row],[av]],10^(Table4[[#This Row],[av]]/10))</f>
        <v>1.9933132588797982</v>
      </c>
      <c r="W343" s="2">
        <f>IF(Table4[[#This Row],[linear?]],Table4[[#This Row],[av]],10^(Table4[[#This Row],[av]]/10))</f>
        <v>1.9933132588797982</v>
      </c>
      <c r="X343" s="2">
        <f>Table4[[#This Row],[av_lin]]-2*Table4[[#This Row],[std_lin]]</f>
        <v>-1.9933132588797982</v>
      </c>
      <c r="Y343" s="2">
        <f>Table4[[#This Row],[av_lin]]+2*Table4[[#This Row],[std_lin]]</f>
        <v>5.9799397766393945</v>
      </c>
    </row>
    <row r="344" spans="1:25" x14ac:dyDescent="0.35">
      <c r="A344" s="1">
        <v>391</v>
      </c>
      <c r="B344" t="s">
        <v>75</v>
      </c>
      <c r="C344" t="s">
        <v>253</v>
      </c>
      <c r="D344" t="s">
        <v>368</v>
      </c>
      <c r="E344" s="2">
        <v>0</v>
      </c>
      <c r="F344" s="2">
        <v>0</v>
      </c>
      <c r="G344">
        <v>27</v>
      </c>
      <c r="H344" t="s">
        <v>58</v>
      </c>
      <c r="M344" s="2">
        <v>0</v>
      </c>
      <c r="N344" s="2">
        <v>0</v>
      </c>
      <c r="O344" s="2">
        <v>0</v>
      </c>
      <c r="R344" t="str">
        <f t="shared" si="15"/>
        <v>yes</v>
      </c>
      <c r="S344" t="str">
        <f t="shared" si="16"/>
        <v>no</v>
      </c>
      <c r="T3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4" s="2" t="b">
        <f t="shared" si="17"/>
        <v>0</v>
      </c>
      <c r="V344" s="2">
        <f>IF(Table4[[#This Row],[linear?]],Table4[[#This Row],[av]],10^(Table4[[#This Row],[av]]/10))</f>
        <v>1</v>
      </c>
      <c r="W344" s="2">
        <f>IF(Table4[[#This Row],[linear?]],Table4[[#This Row],[av]],10^(Table4[[#This Row],[av]]/10))</f>
        <v>1</v>
      </c>
      <c r="X344" s="2">
        <f>Table4[[#This Row],[av_lin]]-2*Table4[[#This Row],[std_lin]]</f>
        <v>-1</v>
      </c>
      <c r="Y344" s="2">
        <f>Table4[[#This Row],[av_lin]]+2*Table4[[#This Row],[std_lin]]</f>
        <v>3</v>
      </c>
    </row>
    <row r="345" spans="1:25" x14ac:dyDescent="0.35">
      <c r="A345" s="1">
        <v>392</v>
      </c>
      <c r="B345" t="s">
        <v>75</v>
      </c>
      <c r="C345" t="s">
        <v>253</v>
      </c>
      <c r="D345" t="s">
        <v>369</v>
      </c>
      <c r="E345" s="2">
        <v>8.9927666666666664</v>
      </c>
      <c r="F345" s="2">
        <v>16.957221170650879</v>
      </c>
      <c r="G345">
        <v>27</v>
      </c>
      <c r="H345" t="s">
        <v>58</v>
      </c>
      <c r="M345" s="2">
        <v>42.907209007968433</v>
      </c>
      <c r="N345" s="2">
        <v>-24.92167567463509</v>
      </c>
      <c r="O345" s="2">
        <v>67.828884682603515</v>
      </c>
      <c r="P345" s="2">
        <v>0.53032077462262006</v>
      </c>
      <c r="R345" t="str">
        <f t="shared" si="15"/>
        <v>yes</v>
      </c>
      <c r="S345" t="str">
        <f t="shared" si="16"/>
        <v>no</v>
      </c>
      <c r="T3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5" s="2" t="b">
        <f t="shared" si="17"/>
        <v>1</v>
      </c>
      <c r="V345" s="2">
        <f>IF(Table4[[#This Row],[linear?]],Table4[[#This Row],[av]],10^(Table4[[#This Row],[av]]/10))</f>
        <v>8.9927666666666664</v>
      </c>
      <c r="W345" s="2">
        <f>IF(Table4[[#This Row],[linear?]],Table4[[#This Row],[av]],10^(Table4[[#This Row],[av]]/10))</f>
        <v>8.9927666666666664</v>
      </c>
      <c r="X345" s="2">
        <f>Table4[[#This Row],[av_lin]]-2*Table4[[#This Row],[std_lin]]</f>
        <v>-8.9927666666666664</v>
      </c>
      <c r="Y345" s="2">
        <f>Table4[[#This Row],[av_lin]]+2*Table4[[#This Row],[std_lin]]</f>
        <v>26.978299999999997</v>
      </c>
    </row>
    <row r="346" spans="1:25" x14ac:dyDescent="0.35">
      <c r="A346" s="1">
        <v>393</v>
      </c>
      <c r="B346" t="s">
        <v>75</v>
      </c>
      <c r="C346" t="s">
        <v>253</v>
      </c>
      <c r="D346" t="s">
        <v>370</v>
      </c>
      <c r="E346" s="2">
        <v>0</v>
      </c>
      <c r="F346" s="2">
        <v>0</v>
      </c>
      <c r="G346">
        <v>27</v>
      </c>
      <c r="H346" t="s">
        <v>58</v>
      </c>
      <c r="M346" s="2">
        <v>0</v>
      </c>
      <c r="N346" s="2">
        <v>0</v>
      </c>
      <c r="O346" s="2">
        <v>0</v>
      </c>
      <c r="R346" t="str">
        <f t="shared" si="15"/>
        <v>yes</v>
      </c>
      <c r="S346" t="str">
        <f t="shared" si="16"/>
        <v>no</v>
      </c>
      <c r="T3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6" s="2" t="b">
        <f t="shared" si="17"/>
        <v>0</v>
      </c>
      <c r="V346" s="2">
        <f>IF(Table4[[#This Row],[linear?]],Table4[[#This Row],[av]],10^(Table4[[#This Row],[av]]/10))</f>
        <v>1</v>
      </c>
      <c r="W346" s="2">
        <f>IF(Table4[[#This Row],[linear?]],Table4[[#This Row],[av]],10^(Table4[[#This Row],[av]]/10))</f>
        <v>1</v>
      </c>
      <c r="X346" s="2">
        <f>Table4[[#This Row],[av_lin]]-2*Table4[[#This Row],[std_lin]]</f>
        <v>-1</v>
      </c>
      <c r="Y346" s="2">
        <f>Table4[[#This Row],[av_lin]]+2*Table4[[#This Row],[std_lin]]</f>
        <v>3</v>
      </c>
    </row>
    <row r="347" spans="1:25" x14ac:dyDescent="0.35">
      <c r="A347" s="1">
        <v>394</v>
      </c>
      <c r="B347" t="s">
        <v>75</v>
      </c>
      <c r="C347" t="s">
        <v>253</v>
      </c>
      <c r="D347" t="s">
        <v>371</v>
      </c>
      <c r="E347" s="2">
        <v>3.994340740740741</v>
      </c>
      <c r="F347" s="2">
        <v>6.1556924987129253</v>
      </c>
      <c r="G347">
        <v>27</v>
      </c>
      <c r="H347" t="s">
        <v>58</v>
      </c>
      <c r="M347" s="2">
        <v>16.30572573816659</v>
      </c>
      <c r="N347" s="2">
        <v>-8.3170442566851097</v>
      </c>
      <c r="O347" s="2">
        <v>24.622769994851701</v>
      </c>
      <c r="P347" s="2">
        <v>0.64888568452305007</v>
      </c>
      <c r="R347" t="str">
        <f t="shared" si="15"/>
        <v>yes</v>
      </c>
      <c r="S347" t="str">
        <f t="shared" si="16"/>
        <v>no</v>
      </c>
      <c r="T3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7" s="2" t="b">
        <f t="shared" si="17"/>
        <v>0</v>
      </c>
      <c r="V347" s="2">
        <f>IF(Table4[[#This Row],[linear?]],Table4[[#This Row],[av]],10^(Table4[[#This Row],[av]]/10))</f>
        <v>2.508615342615431</v>
      </c>
      <c r="W347" s="2">
        <f>IF(Table4[[#This Row],[linear?]],Table4[[#This Row],[av]],10^(Table4[[#This Row],[av]]/10))</f>
        <v>2.508615342615431</v>
      </c>
      <c r="X347" s="2">
        <f>Table4[[#This Row],[av_lin]]-2*Table4[[#This Row],[std_lin]]</f>
        <v>-2.508615342615431</v>
      </c>
      <c r="Y347" s="2">
        <f>Table4[[#This Row],[av_lin]]+2*Table4[[#This Row],[std_lin]]</f>
        <v>7.5258460278462929</v>
      </c>
    </row>
    <row r="348" spans="1:25" x14ac:dyDescent="0.35">
      <c r="A348" s="1">
        <v>395</v>
      </c>
      <c r="B348" t="s">
        <v>75</v>
      </c>
      <c r="C348" t="s">
        <v>253</v>
      </c>
      <c r="D348" t="s">
        <v>372</v>
      </c>
      <c r="E348" s="2">
        <v>0</v>
      </c>
      <c r="F348" s="2">
        <v>0</v>
      </c>
      <c r="G348">
        <v>27</v>
      </c>
      <c r="H348" t="s">
        <v>58</v>
      </c>
      <c r="M348" s="2">
        <v>0</v>
      </c>
      <c r="N348" s="2">
        <v>0</v>
      </c>
      <c r="O348" s="2">
        <v>0</v>
      </c>
      <c r="R348" t="str">
        <f t="shared" si="15"/>
        <v>yes</v>
      </c>
      <c r="S348" t="str">
        <f t="shared" si="16"/>
        <v>no</v>
      </c>
      <c r="T3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8" s="2" t="b">
        <f t="shared" si="17"/>
        <v>0</v>
      </c>
      <c r="V348" s="2">
        <f>IF(Table4[[#This Row],[linear?]],Table4[[#This Row],[av]],10^(Table4[[#This Row],[av]]/10))</f>
        <v>1</v>
      </c>
      <c r="W348" s="2">
        <f>IF(Table4[[#This Row],[linear?]],Table4[[#This Row],[av]],10^(Table4[[#This Row],[av]]/10))</f>
        <v>1</v>
      </c>
      <c r="X348" s="2">
        <f>Table4[[#This Row],[av_lin]]-2*Table4[[#This Row],[std_lin]]</f>
        <v>-1</v>
      </c>
      <c r="Y348" s="2">
        <f>Table4[[#This Row],[av_lin]]+2*Table4[[#This Row],[std_lin]]</f>
        <v>3</v>
      </c>
    </row>
    <row r="349" spans="1:25" x14ac:dyDescent="0.35">
      <c r="A349" s="1">
        <v>396</v>
      </c>
      <c r="B349" t="s">
        <v>75</v>
      </c>
      <c r="C349" t="s">
        <v>253</v>
      </c>
      <c r="D349" t="s">
        <v>373</v>
      </c>
      <c r="E349" s="2">
        <v>11.42245185185185</v>
      </c>
      <c r="F349" s="2">
        <v>17.67693893394296</v>
      </c>
      <c r="G349">
        <v>27</v>
      </c>
      <c r="H349" t="s">
        <v>58</v>
      </c>
      <c r="M349" s="2">
        <v>46.776329719737767</v>
      </c>
      <c r="N349" s="2">
        <v>-23.93142601603407</v>
      </c>
      <c r="O349" s="2">
        <v>70.70775573577184</v>
      </c>
      <c r="P349" s="2">
        <v>0.64617815870363449</v>
      </c>
      <c r="R349" t="str">
        <f t="shared" si="15"/>
        <v>yes</v>
      </c>
      <c r="S349" t="str">
        <f t="shared" si="16"/>
        <v>no</v>
      </c>
      <c r="T3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9" s="2" t="b">
        <f t="shared" si="17"/>
        <v>1</v>
      </c>
      <c r="V349" s="2">
        <f>IF(Table4[[#This Row],[linear?]],Table4[[#This Row],[av]],10^(Table4[[#This Row],[av]]/10))</f>
        <v>11.42245185185185</v>
      </c>
      <c r="W349" s="2">
        <f>IF(Table4[[#This Row],[linear?]],Table4[[#This Row],[av]],10^(Table4[[#This Row],[av]]/10))</f>
        <v>11.42245185185185</v>
      </c>
      <c r="X349" s="2">
        <f>Table4[[#This Row],[av_lin]]-2*Table4[[#This Row],[std_lin]]</f>
        <v>-11.42245185185185</v>
      </c>
      <c r="Y349" s="2">
        <f>Table4[[#This Row],[av_lin]]+2*Table4[[#This Row],[std_lin]]</f>
        <v>34.267355555555554</v>
      </c>
    </row>
    <row r="350" spans="1:25" x14ac:dyDescent="0.35">
      <c r="A350" s="1">
        <v>397</v>
      </c>
      <c r="B350" t="s">
        <v>75</v>
      </c>
      <c r="C350" t="s">
        <v>253</v>
      </c>
      <c r="D350" t="s">
        <v>374</v>
      </c>
      <c r="E350" s="2">
        <v>33.198244444444441</v>
      </c>
      <c r="F350" s="2">
        <v>69.640748834164668</v>
      </c>
      <c r="G350">
        <v>27</v>
      </c>
      <c r="H350" t="s">
        <v>58</v>
      </c>
      <c r="M350" s="2">
        <v>172.47974211277381</v>
      </c>
      <c r="N350" s="2">
        <v>-106.0832532238849</v>
      </c>
      <c r="O350" s="2">
        <v>278.56299533665867</v>
      </c>
      <c r="P350" s="2">
        <v>0.47670717216868719</v>
      </c>
      <c r="R350" t="str">
        <f t="shared" si="15"/>
        <v>yes</v>
      </c>
      <c r="S350" t="str">
        <f t="shared" si="16"/>
        <v>no</v>
      </c>
      <c r="T3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0" s="2" t="b">
        <f t="shared" si="17"/>
        <v>0</v>
      </c>
      <c r="V350" s="2">
        <f>IF(Table4[[#This Row],[linear?]],Table4[[#This Row],[av]],10^(Table4[[#This Row],[av]]/10))</f>
        <v>2088.4517420011248</v>
      </c>
      <c r="W350" s="2">
        <f>IF(Table4[[#This Row],[linear?]],Table4[[#This Row],[av]],10^(Table4[[#This Row],[av]]/10))</f>
        <v>2088.4517420011248</v>
      </c>
      <c r="X350" s="2">
        <f>Table4[[#This Row],[av_lin]]-2*Table4[[#This Row],[std_lin]]</f>
        <v>-2088.4517420011248</v>
      </c>
      <c r="Y350" s="2">
        <f>Table4[[#This Row],[av_lin]]+2*Table4[[#This Row],[std_lin]]</f>
        <v>6265.3552260033739</v>
      </c>
    </row>
    <row r="351" spans="1:25" x14ac:dyDescent="0.35">
      <c r="A351" s="1">
        <v>398</v>
      </c>
      <c r="B351" t="s">
        <v>75</v>
      </c>
      <c r="C351" t="s">
        <v>253</v>
      </c>
      <c r="D351" t="s">
        <v>375</v>
      </c>
      <c r="E351" s="2">
        <v>0</v>
      </c>
      <c r="F351" s="2">
        <v>0</v>
      </c>
      <c r="G351">
        <v>27</v>
      </c>
      <c r="H351" t="s">
        <v>58</v>
      </c>
      <c r="M351" s="2">
        <v>0</v>
      </c>
      <c r="N351" s="2">
        <v>0</v>
      </c>
      <c r="O351" s="2">
        <v>0</v>
      </c>
      <c r="R351" t="str">
        <f t="shared" si="15"/>
        <v>yes</v>
      </c>
      <c r="S351" t="str">
        <f t="shared" si="16"/>
        <v>no</v>
      </c>
      <c r="T3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1" s="2" t="b">
        <f t="shared" si="17"/>
        <v>0</v>
      </c>
      <c r="V351" s="2">
        <f>IF(Table4[[#This Row],[linear?]],Table4[[#This Row],[av]],10^(Table4[[#This Row],[av]]/10))</f>
        <v>1</v>
      </c>
      <c r="W351" s="2">
        <f>IF(Table4[[#This Row],[linear?]],Table4[[#This Row],[av]],10^(Table4[[#This Row],[av]]/10))</f>
        <v>1</v>
      </c>
      <c r="X351" s="2">
        <f>Table4[[#This Row],[av_lin]]-2*Table4[[#This Row],[std_lin]]</f>
        <v>-1</v>
      </c>
      <c r="Y351" s="2">
        <f>Table4[[#This Row],[av_lin]]+2*Table4[[#This Row],[std_lin]]</f>
        <v>3</v>
      </c>
    </row>
    <row r="352" spans="1:25" x14ac:dyDescent="0.35">
      <c r="A352" s="1">
        <v>399</v>
      </c>
      <c r="B352" t="s">
        <v>75</v>
      </c>
      <c r="C352" t="s">
        <v>253</v>
      </c>
      <c r="D352" t="s">
        <v>376</v>
      </c>
      <c r="E352" s="2">
        <v>0</v>
      </c>
      <c r="F352" s="2">
        <v>0</v>
      </c>
      <c r="G352">
        <v>27</v>
      </c>
      <c r="H352" t="s">
        <v>58</v>
      </c>
      <c r="M352" s="2">
        <v>0</v>
      </c>
      <c r="N352" s="2">
        <v>0</v>
      </c>
      <c r="O352" s="2">
        <v>0</v>
      </c>
      <c r="R352" t="str">
        <f t="shared" si="15"/>
        <v>yes</v>
      </c>
      <c r="S352" t="str">
        <f t="shared" si="16"/>
        <v>no</v>
      </c>
      <c r="T3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2" s="2" t="b">
        <f t="shared" si="17"/>
        <v>0</v>
      </c>
      <c r="V352" s="2">
        <f>IF(Table4[[#This Row],[linear?]],Table4[[#This Row],[av]],10^(Table4[[#This Row],[av]]/10))</f>
        <v>1</v>
      </c>
      <c r="W352" s="2">
        <f>IF(Table4[[#This Row],[linear?]],Table4[[#This Row],[av]],10^(Table4[[#This Row],[av]]/10))</f>
        <v>1</v>
      </c>
      <c r="X352" s="2">
        <f>Table4[[#This Row],[av_lin]]-2*Table4[[#This Row],[std_lin]]</f>
        <v>-1</v>
      </c>
      <c r="Y352" s="2">
        <f>Table4[[#This Row],[av_lin]]+2*Table4[[#This Row],[std_lin]]</f>
        <v>3</v>
      </c>
    </row>
    <row r="353" spans="1:25" x14ac:dyDescent="0.35">
      <c r="A353" s="1">
        <v>400</v>
      </c>
      <c r="B353" t="s">
        <v>75</v>
      </c>
      <c r="C353" t="s">
        <v>253</v>
      </c>
      <c r="D353" t="s">
        <v>377</v>
      </c>
      <c r="E353" s="2">
        <v>6.8462037037037033</v>
      </c>
      <c r="F353" s="2">
        <v>14.374567722491861</v>
      </c>
      <c r="G353">
        <v>27</v>
      </c>
      <c r="H353" t="s">
        <v>58</v>
      </c>
      <c r="M353" s="2">
        <v>35.595339148687422</v>
      </c>
      <c r="N353" s="2">
        <v>-21.902931741280021</v>
      </c>
      <c r="O353" s="2">
        <v>57.498270889967444</v>
      </c>
      <c r="P353" s="2">
        <v>0.47627197115579761</v>
      </c>
      <c r="R353" t="str">
        <f t="shared" si="15"/>
        <v>yes</v>
      </c>
      <c r="S353" t="str">
        <f t="shared" si="16"/>
        <v>no</v>
      </c>
      <c r="T3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3" s="2" t="b">
        <f t="shared" si="17"/>
        <v>1</v>
      </c>
      <c r="V353" s="2">
        <f>IF(Table4[[#This Row],[linear?]],Table4[[#This Row],[av]],10^(Table4[[#This Row],[av]]/10))</f>
        <v>6.8462037037037033</v>
      </c>
      <c r="W353" s="2">
        <f>IF(Table4[[#This Row],[linear?]],Table4[[#This Row],[av]],10^(Table4[[#This Row],[av]]/10))</f>
        <v>6.8462037037037033</v>
      </c>
      <c r="X353" s="2">
        <f>Table4[[#This Row],[av_lin]]-2*Table4[[#This Row],[std_lin]]</f>
        <v>-6.8462037037037033</v>
      </c>
      <c r="Y353" s="2">
        <f>Table4[[#This Row],[av_lin]]+2*Table4[[#This Row],[std_lin]]</f>
        <v>20.538611111111109</v>
      </c>
    </row>
    <row r="354" spans="1:25" x14ac:dyDescent="0.35">
      <c r="A354" s="1">
        <v>401</v>
      </c>
      <c r="B354" t="s">
        <v>75</v>
      </c>
      <c r="C354" t="s">
        <v>253</v>
      </c>
      <c r="D354" t="s">
        <v>378</v>
      </c>
      <c r="E354" s="2">
        <v>27.173366666666659</v>
      </c>
      <c r="F354" s="2">
        <v>59.647663281696659</v>
      </c>
      <c r="G354">
        <v>27</v>
      </c>
      <c r="H354" t="s">
        <v>58</v>
      </c>
      <c r="M354" s="2">
        <v>146.46869323006001</v>
      </c>
      <c r="N354" s="2">
        <v>-92.121959896726651</v>
      </c>
      <c r="O354" s="2">
        <v>238.59065312678661</v>
      </c>
      <c r="P354" s="2">
        <v>0.45556464698936522</v>
      </c>
      <c r="R354" t="str">
        <f t="shared" si="15"/>
        <v>yes</v>
      </c>
      <c r="S354" t="str">
        <f t="shared" si="16"/>
        <v>no</v>
      </c>
      <c r="T3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4" s="2" t="b">
        <f t="shared" si="17"/>
        <v>0</v>
      </c>
      <c r="V354" s="2">
        <f>IF(Table4[[#This Row],[linear?]],Table4[[#This Row],[av]],10^(Table4[[#This Row],[av]]/10))</f>
        <v>521.59889979046409</v>
      </c>
      <c r="W354" s="2">
        <f>IF(Table4[[#This Row],[linear?]],Table4[[#This Row],[av]],10^(Table4[[#This Row],[av]]/10))</f>
        <v>521.59889979046409</v>
      </c>
      <c r="X354" s="2">
        <f>Table4[[#This Row],[av_lin]]-2*Table4[[#This Row],[std_lin]]</f>
        <v>-521.59889979046409</v>
      </c>
      <c r="Y354" s="2">
        <f>Table4[[#This Row],[av_lin]]+2*Table4[[#This Row],[std_lin]]</f>
        <v>1564.7966993713922</v>
      </c>
    </row>
    <row r="355" spans="1:25" x14ac:dyDescent="0.35">
      <c r="A355" s="1">
        <v>402</v>
      </c>
      <c r="B355" t="s">
        <v>75</v>
      </c>
      <c r="C355" t="s">
        <v>253</v>
      </c>
      <c r="D355" t="s">
        <v>379</v>
      </c>
      <c r="E355" s="2">
        <v>0</v>
      </c>
      <c r="F355" s="2">
        <v>0</v>
      </c>
      <c r="G355">
        <v>27</v>
      </c>
      <c r="H355" t="s">
        <v>58</v>
      </c>
      <c r="M355" s="2">
        <v>0</v>
      </c>
      <c r="N355" s="2">
        <v>0</v>
      </c>
      <c r="O355" s="2">
        <v>0</v>
      </c>
      <c r="R355" t="str">
        <f t="shared" si="15"/>
        <v>yes</v>
      </c>
      <c r="S355" t="str">
        <f t="shared" si="16"/>
        <v>no</v>
      </c>
      <c r="T3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5" s="2" t="b">
        <f t="shared" si="17"/>
        <v>0</v>
      </c>
      <c r="V355" s="2">
        <f>IF(Table4[[#This Row],[linear?]],Table4[[#This Row],[av]],10^(Table4[[#This Row],[av]]/10))</f>
        <v>1</v>
      </c>
      <c r="W355" s="2">
        <f>IF(Table4[[#This Row],[linear?]],Table4[[#This Row],[av]],10^(Table4[[#This Row],[av]]/10))</f>
        <v>1</v>
      </c>
      <c r="X355" s="2">
        <f>Table4[[#This Row],[av_lin]]-2*Table4[[#This Row],[std_lin]]</f>
        <v>-1</v>
      </c>
      <c r="Y355" s="2">
        <f>Table4[[#This Row],[av_lin]]+2*Table4[[#This Row],[std_lin]]</f>
        <v>3</v>
      </c>
    </row>
    <row r="356" spans="1:25" x14ac:dyDescent="0.35">
      <c r="A356" s="1">
        <v>403</v>
      </c>
      <c r="B356" t="s">
        <v>75</v>
      </c>
      <c r="C356" t="s">
        <v>253</v>
      </c>
      <c r="D356" t="s">
        <v>380</v>
      </c>
      <c r="E356" s="2">
        <v>0</v>
      </c>
      <c r="F356" s="2">
        <v>0</v>
      </c>
      <c r="G356">
        <v>27</v>
      </c>
      <c r="H356" t="s">
        <v>58</v>
      </c>
      <c r="M356" s="2">
        <v>0</v>
      </c>
      <c r="N356" s="2">
        <v>0</v>
      </c>
      <c r="O356" s="2">
        <v>0</v>
      </c>
      <c r="R356" t="str">
        <f t="shared" si="15"/>
        <v>yes</v>
      </c>
      <c r="S356" t="str">
        <f t="shared" si="16"/>
        <v>no</v>
      </c>
      <c r="T3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6" s="2" t="b">
        <f t="shared" si="17"/>
        <v>0</v>
      </c>
      <c r="V356" s="2">
        <f>IF(Table4[[#This Row],[linear?]],Table4[[#This Row],[av]],10^(Table4[[#This Row],[av]]/10))</f>
        <v>1</v>
      </c>
      <c r="W356" s="2">
        <f>IF(Table4[[#This Row],[linear?]],Table4[[#This Row],[av]],10^(Table4[[#This Row],[av]]/10))</f>
        <v>1</v>
      </c>
      <c r="X356" s="2">
        <f>Table4[[#This Row],[av_lin]]-2*Table4[[#This Row],[std_lin]]</f>
        <v>-1</v>
      </c>
      <c r="Y356" s="2">
        <f>Table4[[#This Row],[av_lin]]+2*Table4[[#This Row],[std_lin]]</f>
        <v>3</v>
      </c>
    </row>
    <row r="357" spans="1:25" x14ac:dyDescent="0.35">
      <c r="A357" s="1">
        <v>404</v>
      </c>
      <c r="B357" t="s">
        <v>75</v>
      </c>
      <c r="C357" t="s">
        <v>253</v>
      </c>
      <c r="D357" t="s">
        <v>381</v>
      </c>
      <c r="E357" s="2">
        <v>5.9943444444444447</v>
      </c>
      <c r="F357" s="2">
        <v>12.58844367144469</v>
      </c>
      <c r="G357">
        <v>27</v>
      </c>
      <c r="H357" t="s">
        <v>58</v>
      </c>
      <c r="M357" s="2">
        <v>31.17123178733382</v>
      </c>
      <c r="N357" s="2">
        <v>-19.18254289844494</v>
      </c>
      <c r="O357" s="2">
        <v>50.35377468577876</v>
      </c>
      <c r="P357" s="2">
        <v>0.47617835857198659</v>
      </c>
      <c r="R357" t="str">
        <f t="shared" si="15"/>
        <v>yes</v>
      </c>
      <c r="S357" t="str">
        <f t="shared" si="16"/>
        <v>no</v>
      </c>
      <c r="T3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7" s="2" t="b">
        <f t="shared" si="17"/>
        <v>1</v>
      </c>
      <c r="V357" s="2">
        <f>IF(Table4[[#This Row],[linear?]],Table4[[#This Row],[av]],10^(Table4[[#This Row],[av]]/10))</f>
        <v>5.9943444444444447</v>
      </c>
      <c r="W357" s="2">
        <f>IF(Table4[[#This Row],[linear?]],Table4[[#This Row],[av]],10^(Table4[[#This Row],[av]]/10))</f>
        <v>5.9943444444444447</v>
      </c>
      <c r="X357" s="2">
        <f>Table4[[#This Row],[av_lin]]-2*Table4[[#This Row],[std_lin]]</f>
        <v>-5.9943444444444447</v>
      </c>
      <c r="Y357" s="2">
        <f>Table4[[#This Row],[av_lin]]+2*Table4[[#This Row],[std_lin]]</f>
        <v>17.983033333333335</v>
      </c>
    </row>
    <row r="358" spans="1:25" x14ac:dyDescent="0.35">
      <c r="A358" s="1">
        <v>405</v>
      </c>
      <c r="B358" t="s">
        <v>75</v>
      </c>
      <c r="C358" t="s">
        <v>253</v>
      </c>
      <c r="D358" t="s">
        <v>382</v>
      </c>
      <c r="E358" s="2">
        <v>33.273222222222223</v>
      </c>
      <c r="F358" s="2">
        <v>69.795387866743255</v>
      </c>
      <c r="G358">
        <v>27</v>
      </c>
      <c r="H358" t="s">
        <v>58</v>
      </c>
      <c r="M358" s="2">
        <v>172.8639979557087</v>
      </c>
      <c r="N358" s="2">
        <v>-106.31755351126429</v>
      </c>
      <c r="O358" s="2">
        <v>279.18155146697302</v>
      </c>
      <c r="P358" s="2">
        <v>0.47672522840261422</v>
      </c>
      <c r="R358" t="str">
        <f t="shared" si="15"/>
        <v>yes</v>
      </c>
      <c r="S358" t="str">
        <f t="shared" si="16"/>
        <v>no</v>
      </c>
      <c r="T3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8" s="2" t="b">
        <f t="shared" si="17"/>
        <v>0</v>
      </c>
      <c r="V358" s="2">
        <f>IF(Table4[[#This Row],[linear?]],Table4[[#This Row],[av]],10^(Table4[[#This Row],[av]]/10))</f>
        <v>2124.8203752183695</v>
      </c>
      <c r="W358" s="2">
        <f>IF(Table4[[#This Row],[linear?]],Table4[[#This Row],[av]],10^(Table4[[#This Row],[av]]/10))</f>
        <v>2124.8203752183695</v>
      </c>
      <c r="X358" s="2">
        <f>Table4[[#This Row],[av_lin]]-2*Table4[[#This Row],[std_lin]]</f>
        <v>-2124.8203752183695</v>
      </c>
      <c r="Y358" s="2">
        <f>Table4[[#This Row],[av_lin]]+2*Table4[[#This Row],[std_lin]]</f>
        <v>6374.4611256551088</v>
      </c>
    </row>
    <row r="359" spans="1:25" x14ac:dyDescent="0.35">
      <c r="A359" s="1">
        <v>406</v>
      </c>
      <c r="B359" t="s">
        <v>75</v>
      </c>
      <c r="C359" t="s">
        <v>253</v>
      </c>
      <c r="D359" t="s">
        <v>383</v>
      </c>
      <c r="E359" s="2">
        <v>0</v>
      </c>
      <c r="F359" s="2">
        <v>0</v>
      </c>
      <c r="G359">
        <v>27</v>
      </c>
      <c r="H359" t="s">
        <v>58</v>
      </c>
      <c r="M359" s="2">
        <v>0</v>
      </c>
      <c r="N359" s="2">
        <v>0</v>
      </c>
      <c r="O359" s="2">
        <v>0</v>
      </c>
      <c r="R359" t="str">
        <f t="shared" si="15"/>
        <v>yes</v>
      </c>
      <c r="S359" t="str">
        <f t="shared" si="16"/>
        <v>no</v>
      </c>
      <c r="T3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9" s="2" t="b">
        <f t="shared" si="17"/>
        <v>0</v>
      </c>
      <c r="V359" s="2">
        <f>IF(Table4[[#This Row],[linear?]],Table4[[#This Row],[av]],10^(Table4[[#This Row],[av]]/10))</f>
        <v>1</v>
      </c>
      <c r="W359" s="2">
        <f>IF(Table4[[#This Row],[linear?]],Table4[[#This Row],[av]],10^(Table4[[#This Row],[av]]/10))</f>
        <v>1</v>
      </c>
      <c r="X359" s="2">
        <f>Table4[[#This Row],[av_lin]]-2*Table4[[#This Row],[std_lin]]</f>
        <v>-1</v>
      </c>
      <c r="Y359" s="2">
        <f>Table4[[#This Row],[av_lin]]+2*Table4[[#This Row],[std_lin]]</f>
        <v>3</v>
      </c>
    </row>
    <row r="360" spans="1:25" x14ac:dyDescent="0.35">
      <c r="A360" s="1">
        <v>407</v>
      </c>
      <c r="B360" t="s">
        <v>75</v>
      </c>
      <c r="C360" t="s">
        <v>253</v>
      </c>
      <c r="D360" t="s">
        <v>384</v>
      </c>
      <c r="E360" s="2">
        <v>0</v>
      </c>
      <c r="F360" s="2">
        <v>0</v>
      </c>
      <c r="G360">
        <v>27</v>
      </c>
      <c r="H360" t="s">
        <v>58</v>
      </c>
      <c r="M360" s="2">
        <v>0</v>
      </c>
      <c r="N360" s="2">
        <v>0</v>
      </c>
      <c r="O360" s="2">
        <v>0</v>
      </c>
      <c r="R360" t="str">
        <f t="shared" si="15"/>
        <v>yes</v>
      </c>
      <c r="S360" t="str">
        <f t="shared" si="16"/>
        <v>no</v>
      </c>
      <c r="T3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0" s="2" t="b">
        <f t="shared" si="17"/>
        <v>0</v>
      </c>
      <c r="V360" s="2">
        <f>IF(Table4[[#This Row],[linear?]],Table4[[#This Row],[av]],10^(Table4[[#This Row],[av]]/10))</f>
        <v>1</v>
      </c>
      <c r="W360" s="2">
        <f>IF(Table4[[#This Row],[linear?]],Table4[[#This Row],[av]],10^(Table4[[#This Row],[av]]/10))</f>
        <v>1</v>
      </c>
      <c r="X360" s="2">
        <f>Table4[[#This Row],[av_lin]]-2*Table4[[#This Row],[std_lin]]</f>
        <v>-1</v>
      </c>
      <c r="Y360" s="2">
        <f>Table4[[#This Row],[av_lin]]+2*Table4[[#This Row],[std_lin]]</f>
        <v>3</v>
      </c>
    </row>
    <row r="361" spans="1:25" x14ac:dyDescent="0.35">
      <c r="A361" s="1">
        <v>408</v>
      </c>
      <c r="B361" t="s">
        <v>75</v>
      </c>
      <c r="C361" t="s">
        <v>253</v>
      </c>
      <c r="D361" t="s">
        <v>385</v>
      </c>
      <c r="E361" s="2">
        <v>6.4735148148148136</v>
      </c>
      <c r="F361" s="2">
        <v>13.60148608309656</v>
      </c>
      <c r="G361">
        <v>27</v>
      </c>
      <c r="H361" t="s">
        <v>58</v>
      </c>
      <c r="M361" s="2">
        <v>33.676486981007933</v>
      </c>
      <c r="N361" s="2">
        <v>-20.729457351378311</v>
      </c>
      <c r="O361" s="2">
        <v>54.405944332386241</v>
      </c>
      <c r="P361" s="2">
        <v>0.47594172984229022</v>
      </c>
      <c r="R361" t="str">
        <f t="shared" si="15"/>
        <v>yes</v>
      </c>
      <c r="S361" t="str">
        <f t="shared" si="16"/>
        <v>no</v>
      </c>
      <c r="T3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1" s="2" t="b">
        <f t="shared" si="17"/>
        <v>1</v>
      </c>
      <c r="V361" s="2">
        <f>IF(Table4[[#This Row],[linear?]],Table4[[#This Row],[av]],10^(Table4[[#This Row],[av]]/10))</f>
        <v>6.4735148148148136</v>
      </c>
      <c r="W361" s="2">
        <f>IF(Table4[[#This Row],[linear?]],Table4[[#This Row],[av]],10^(Table4[[#This Row],[av]]/10))</f>
        <v>6.4735148148148136</v>
      </c>
      <c r="X361" s="2">
        <f>Table4[[#This Row],[av_lin]]-2*Table4[[#This Row],[std_lin]]</f>
        <v>-6.4735148148148136</v>
      </c>
      <c r="Y361" s="2">
        <f>Table4[[#This Row],[av_lin]]+2*Table4[[#This Row],[std_lin]]</f>
        <v>19.420544444444442</v>
      </c>
    </row>
    <row r="362" spans="1:25" x14ac:dyDescent="0.35">
      <c r="A362" s="1">
        <v>409</v>
      </c>
      <c r="B362" t="s">
        <v>75</v>
      </c>
      <c r="C362" t="s">
        <v>253</v>
      </c>
      <c r="D362" t="s">
        <v>386</v>
      </c>
      <c r="E362" s="2">
        <v>25.816181481481479</v>
      </c>
      <c r="F362" s="2">
        <v>58.241822687456008</v>
      </c>
      <c r="G362">
        <v>27</v>
      </c>
      <c r="H362" t="s">
        <v>58</v>
      </c>
      <c r="M362" s="2">
        <v>142.29982685639351</v>
      </c>
      <c r="N362" s="2">
        <v>-90.667463893430536</v>
      </c>
      <c r="O362" s="2">
        <v>232.967290749824</v>
      </c>
      <c r="P362" s="2">
        <v>0.44325847458482293</v>
      </c>
      <c r="R362" t="str">
        <f t="shared" si="15"/>
        <v>yes</v>
      </c>
      <c r="S362" t="str">
        <f t="shared" si="16"/>
        <v>no</v>
      </c>
      <c r="T3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2" s="2" t="b">
        <f t="shared" si="17"/>
        <v>0</v>
      </c>
      <c r="V362" s="2">
        <f>IF(Table4[[#This Row],[linear?]],Table4[[#This Row],[av]],10^(Table4[[#This Row],[av]]/10))</f>
        <v>381.60859531422949</v>
      </c>
      <c r="W362" s="2">
        <f>IF(Table4[[#This Row],[linear?]],Table4[[#This Row],[av]],10^(Table4[[#This Row],[av]]/10))</f>
        <v>381.60859531422949</v>
      </c>
      <c r="X362" s="2">
        <f>Table4[[#This Row],[av_lin]]-2*Table4[[#This Row],[std_lin]]</f>
        <v>-381.60859531422949</v>
      </c>
      <c r="Y362" s="2">
        <f>Table4[[#This Row],[av_lin]]+2*Table4[[#This Row],[std_lin]]</f>
        <v>1144.8257859426885</v>
      </c>
    </row>
    <row r="363" spans="1:25" x14ac:dyDescent="0.35">
      <c r="A363" s="1">
        <v>410</v>
      </c>
      <c r="B363" t="s">
        <v>75</v>
      </c>
      <c r="C363" t="s">
        <v>253</v>
      </c>
      <c r="D363" t="s">
        <v>387</v>
      </c>
      <c r="E363" s="2">
        <v>0</v>
      </c>
      <c r="F363" s="2">
        <v>0</v>
      </c>
      <c r="G363">
        <v>27</v>
      </c>
      <c r="H363" t="s">
        <v>58</v>
      </c>
      <c r="M363" s="2">
        <v>0</v>
      </c>
      <c r="N363" s="2">
        <v>0</v>
      </c>
      <c r="O363" s="2">
        <v>0</v>
      </c>
      <c r="R363" t="str">
        <f t="shared" si="15"/>
        <v>yes</v>
      </c>
      <c r="S363" t="str">
        <f t="shared" si="16"/>
        <v>no</v>
      </c>
      <c r="T3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3" s="2" t="b">
        <f t="shared" si="17"/>
        <v>0</v>
      </c>
      <c r="V363" s="2">
        <f>IF(Table4[[#This Row],[linear?]],Table4[[#This Row],[av]],10^(Table4[[#This Row],[av]]/10))</f>
        <v>1</v>
      </c>
      <c r="W363" s="2">
        <f>IF(Table4[[#This Row],[linear?]],Table4[[#This Row],[av]],10^(Table4[[#This Row],[av]]/10))</f>
        <v>1</v>
      </c>
      <c r="X363" s="2">
        <f>Table4[[#This Row],[av_lin]]-2*Table4[[#This Row],[std_lin]]</f>
        <v>-1</v>
      </c>
      <c r="Y363" s="2">
        <f>Table4[[#This Row],[av_lin]]+2*Table4[[#This Row],[std_lin]]</f>
        <v>3</v>
      </c>
    </row>
    <row r="364" spans="1:25" x14ac:dyDescent="0.35">
      <c r="A364" s="1">
        <v>411</v>
      </c>
      <c r="B364" t="s">
        <v>75</v>
      </c>
      <c r="C364" t="s">
        <v>253</v>
      </c>
      <c r="D364" t="s">
        <v>388</v>
      </c>
      <c r="E364" s="2">
        <v>0</v>
      </c>
      <c r="F364" s="2">
        <v>0</v>
      </c>
      <c r="G364">
        <v>27</v>
      </c>
      <c r="H364" t="s">
        <v>58</v>
      </c>
      <c r="M364" s="2">
        <v>0</v>
      </c>
      <c r="N364" s="2">
        <v>0</v>
      </c>
      <c r="O364" s="2">
        <v>0</v>
      </c>
      <c r="R364" t="str">
        <f t="shared" si="15"/>
        <v>yes</v>
      </c>
      <c r="S364" t="str">
        <f t="shared" si="16"/>
        <v>no</v>
      </c>
      <c r="T3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4" s="2" t="b">
        <f t="shared" si="17"/>
        <v>0</v>
      </c>
      <c r="V364" s="2">
        <f>IF(Table4[[#This Row],[linear?]],Table4[[#This Row],[av]],10^(Table4[[#This Row],[av]]/10))</f>
        <v>1</v>
      </c>
      <c r="W364" s="2">
        <f>IF(Table4[[#This Row],[linear?]],Table4[[#This Row],[av]],10^(Table4[[#This Row],[av]]/10))</f>
        <v>1</v>
      </c>
      <c r="X364" s="2">
        <f>Table4[[#This Row],[av_lin]]-2*Table4[[#This Row],[std_lin]]</f>
        <v>-1</v>
      </c>
      <c r="Y364" s="2">
        <f>Table4[[#This Row],[av_lin]]+2*Table4[[#This Row],[std_lin]]</f>
        <v>3</v>
      </c>
    </row>
    <row r="365" spans="1:25" x14ac:dyDescent="0.35">
      <c r="A365" s="1">
        <v>412</v>
      </c>
      <c r="B365" t="s">
        <v>75</v>
      </c>
      <c r="C365" t="s">
        <v>253</v>
      </c>
      <c r="D365" t="s">
        <v>389</v>
      </c>
      <c r="E365" s="2">
        <v>7.7690518518518514</v>
      </c>
      <c r="F365" s="2">
        <v>16.380091022547489</v>
      </c>
      <c r="G365">
        <v>27</v>
      </c>
      <c r="H365" t="s">
        <v>58</v>
      </c>
      <c r="M365" s="2">
        <v>40.529233896946828</v>
      </c>
      <c r="N365" s="2">
        <v>-24.99113019324313</v>
      </c>
      <c r="O365" s="2">
        <v>65.520364090189958</v>
      </c>
      <c r="P365" s="2">
        <v>0.47429845421234912</v>
      </c>
      <c r="R365" t="str">
        <f t="shared" si="15"/>
        <v>yes</v>
      </c>
      <c r="S365" t="str">
        <f t="shared" si="16"/>
        <v>no</v>
      </c>
      <c r="T3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5" s="2" t="b">
        <f t="shared" si="17"/>
        <v>1</v>
      </c>
      <c r="V365" s="2">
        <f>IF(Table4[[#This Row],[linear?]],Table4[[#This Row],[av]],10^(Table4[[#This Row],[av]]/10))</f>
        <v>7.7690518518518514</v>
      </c>
      <c r="W365" s="2">
        <f>IF(Table4[[#This Row],[linear?]],Table4[[#This Row],[av]],10^(Table4[[#This Row],[av]]/10))</f>
        <v>7.7690518518518514</v>
      </c>
      <c r="X365" s="2">
        <f>Table4[[#This Row],[av_lin]]-2*Table4[[#This Row],[std_lin]]</f>
        <v>-7.7690518518518514</v>
      </c>
      <c r="Y365" s="2">
        <f>Table4[[#This Row],[av_lin]]+2*Table4[[#This Row],[std_lin]]</f>
        <v>23.307155555555553</v>
      </c>
    </row>
    <row r="366" spans="1:25" x14ac:dyDescent="0.35">
      <c r="A366" s="1">
        <v>413</v>
      </c>
      <c r="B366" t="s">
        <v>75</v>
      </c>
      <c r="C366" t="s">
        <v>253</v>
      </c>
      <c r="D366" t="s">
        <v>390</v>
      </c>
      <c r="E366" s="2">
        <v>33.348981481481481</v>
      </c>
      <c r="F366" s="2">
        <v>69.953413710480604</v>
      </c>
      <c r="G366">
        <v>27</v>
      </c>
      <c r="H366" t="s">
        <v>58</v>
      </c>
      <c r="M366" s="2">
        <v>173.25580890244271</v>
      </c>
      <c r="N366" s="2">
        <v>-106.55784593947971</v>
      </c>
      <c r="O366" s="2">
        <v>279.81365484192241</v>
      </c>
      <c r="P366" s="2">
        <v>0.47673129462279618</v>
      </c>
      <c r="R366" t="str">
        <f t="shared" si="15"/>
        <v>yes</v>
      </c>
      <c r="S366" t="str">
        <f t="shared" si="16"/>
        <v>no</v>
      </c>
      <c r="T3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6" s="2" t="b">
        <f t="shared" si="17"/>
        <v>0</v>
      </c>
      <c r="V366" s="2">
        <f>IF(Table4[[#This Row],[linear?]],Table4[[#This Row],[av]],10^(Table4[[#This Row],[av]]/10))</f>
        <v>2162.2113769224356</v>
      </c>
      <c r="W366" s="2">
        <f>IF(Table4[[#This Row],[linear?]],Table4[[#This Row],[av]],10^(Table4[[#This Row],[av]]/10))</f>
        <v>2162.2113769224356</v>
      </c>
      <c r="X366" s="2">
        <f>Table4[[#This Row],[av_lin]]-2*Table4[[#This Row],[std_lin]]</f>
        <v>-2162.2113769224356</v>
      </c>
      <c r="Y366" s="2">
        <f>Table4[[#This Row],[av_lin]]+2*Table4[[#This Row],[std_lin]]</f>
        <v>6486.6341307673065</v>
      </c>
    </row>
    <row r="367" spans="1:25" x14ac:dyDescent="0.35">
      <c r="A367" s="1">
        <v>414</v>
      </c>
      <c r="B367" t="s">
        <v>75</v>
      </c>
      <c r="C367" t="s">
        <v>253</v>
      </c>
      <c r="D367" t="s">
        <v>391</v>
      </c>
      <c r="E367" s="2">
        <v>0</v>
      </c>
      <c r="F367" s="2">
        <v>0</v>
      </c>
      <c r="G367">
        <v>27</v>
      </c>
      <c r="H367" t="s">
        <v>58</v>
      </c>
      <c r="M367" s="2">
        <v>0</v>
      </c>
      <c r="N367" s="2">
        <v>0</v>
      </c>
      <c r="O367" s="2">
        <v>0</v>
      </c>
      <c r="R367" t="str">
        <f t="shared" si="15"/>
        <v>yes</v>
      </c>
      <c r="S367" t="str">
        <f t="shared" si="16"/>
        <v>no</v>
      </c>
      <c r="T3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7" s="2" t="b">
        <f t="shared" si="17"/>
        <v>0</v>
      </c>
      <c r="V367" s="2">
        <f>IF(Table4[[#This Row],[linear?]],Table4[[#This Row],[av]],10^(Table4[[#This Row],[av]]/10))</f>
        <v>1</v>
      </c>
      <c r="W367" s="2">
        <f>IF(Table4[[#This Row],[linear?]],Table4[[#This Row],[av]],10^(Table4[[#This Row],[av]]/10))</f>
        <v>1</v>
      </c>
      <c r="X367" s="2">
        <f>Table4[[#This Row],[av_lin]]-2*Table4[[#This Row],[std_lin]]</f>
        <v>-1</v>
      </c>
      <c r="Y367" s="2">
        <f>Table4[[#This Row],[av_lin]]+2*Table4[[#This Row],[std_lin]]</f>
        <v>3</v>
      </c>
    </row>
    <row r="368" spans="1:25" x14ac:dyDescent="0.35">
      <c r="A368" s="1">
        <v>415</v>
      </c>
      <c r="B368" t="s">
        <v>75</v>
      </c>
      <c r="C368" t="s">
        <v>253</v>
      </c>
      <c r="D368" t="s">
        <v>392</v>
      </c>
      <c r="E368" s="2">
        <v>0</v>
      </c>
      <c r="F368" s="2">
        <v>0</v>
      </c>
      <c r="G368">
        <v>27</v>
      </c>
      <c r="H368" t="s">
        <v>58</v>
      </c>
      <c r="M368" s="2">
        <v>0</v>
      </c>
      <c r="N368" s="2">
        <v>0</v>
      </c>
      <c r="O368" s="2">
        <v>0</v>
      </c>
      <c r="R368" t="str">
        <f t="shared" si="15"/>
        <v>yes</v>
      </c>
      <c r="S368" t="str">
        <f t="shared" si="16"/>
        <v>no</v>
      </c>
      <c r="T3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8" s="2" t="b">
        <f t="shared" si="17"/>
        <v>0</v>
      </c>
      <c r="V368" s="2">
        <f>IF(Table4[[#This Row],[linear?]],Table4[[#This Row],[av]],10^(Table4[[#This Row],[av]]/10))</f>
        <v>1</v>
      </c>
      <c r="W368" s="2">
        <f>IF(Table4[[#This Row],[linear?]],Table4[[#This Row],[av]],10^(Table4[[#This Row],[av]]/10))</f>
        <v>1</v>
      </c>
      <c r="X368" s="2">
        <f>Table4[[#This Row],[av_lin]]-2*Table4[[#This Row],[std_lin]]</f>
        <v>-1</v>
      </c>
      <c r="Y368" s="2">
        <f>Table4[[#This Row],[av_lin]]+2*Table4[[#This Row],[std_lin]]</f>
        <v>3</v>
      </c>
    </row>
    <row r="369" spans="1:25" x14ac:dyDescent="0.35">
      <c r="A369" s="1">
        <v>416</v>
      </c>
      <c r="B369" t="s">
        <v>75</v>
      </c>
      <c r="C369" t="s">
        <v>253</v>
      </c>
      <c r="D369" t="s">
        <v>393</v>
      </c>
      <c r="E369" s="2">
        <v>7.165648148148148</v>
      </c>
      <c r="F369" s="2">
        <v>15.044023179405711</v>
      </c>
      <c r="G369">
        <v>27</v>
      </c>
      <c r="H369" t="s">
        <v>58</v>
      </c>
      <c r="M369" s="2">
        <v>37.253694506959569</v>
      </c>
      <c r="N369" s="2">
        <v>-22.922398210663271</v>
      </c>
      <c r="O369" s="2">
        <v>60.176092717622844</v>
      </c>
      <c r="P369" s="2">
        <v>0.47631195875565091</v>
      </c>
      <c r="R369" t="str">
        <f t="shared" si="15"/>
        <v>yes</v>
      </c>
      <c r="S369" t="str">
        <f t="shared" si="16"/>
        <v>no</v>
      </c>
      <c r="T3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9" s="2" t="b">
        <f t="shared" si="17"/>
        <v>1</v>
      </c>
      <c r="V369" s="2">
        <f>IF(Table4[[#This Row],[linear?]],Table4[[#This Row],[av]],10^(Table4[[#This Row],[av]]/10))</f>
        <v>7.165648148148148</v>
      </c>
      <c r="W369" s="2">
        <f>IF(Table4[[#This Row],[linear?]],Table4[[#This Row],[av]],10^(Table4[[#This Row],[av]]/10))</f>
        <v>7.165648148148148</v>
      </c>
      <c r="X369" s="2">
        <f>Table4[[#This Row],[av_lin]]-2*Table4[[#This Row],[std_lin]]</f>
        <v>-7.165648148148148</v>
      </c>
      <c r="Y369" s="2">
        <f>Table4[[#This Row],[av_lin]]+2*Table4[[#This Row],[std_lin]]</f>
        <v>21.496944444444445</v>
      </c>
    </row>
    <row r="370" spans="1:25" x14ac:dyDescent="0.35">
      <c r="A370" s="1">
        <v>417</v>
      </c>
      <c r="B370" t="s">
        <v>75</v>
      </c>
      <c r="C370" t="s">
        <v>253</v>
      </c>
      <c r="D370" t="s">
        <v>394</v>
      </c>
      <c r="E370" s="2">
        <v>26.776166666666668</v>
      </c>
      <c r="F370" s="2">
        <v>59.033701270683487</v>
      </c>
      <c r="G370">
        <v>27</v>
      </c>
      <c r="H370" t="s">
        <v>58</v>
      </c>
      <c r="M370" s="2">
        <v>144.84356920803361</v>
      </c>
      <c r="N370" s="2">
        <v>-91.291235874700305</v>
      </c>
      <c r="O370" s="2">
        <v>236.13480508273389</v>
      </c>
      <c r="P370" s="2">
        <v>0.45357424810434321</v>
      </c>
      <c r="R370" t="str">
        <f t="shared" si="15"/>
        <v>yes</v>
      </c>
      <c r="S370" t="str">
        <f t="shared" si="16"/>
        <v>no</v>
      </c>
      <c r="T3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0" s="2" t="b">
        <f t="shared" si="17"/>
        <v>0</v>
      </c>
      <c r="V370" s="2">
        <f>IF(Table4[[#This Row],[linear?]],Table4[[#This Row],[av]],10^(Table4[[#This Row],[av]]/10))</f>
        <v>476.01064690039368</v>
      </c>
      <c r="W370" s="2">
        <f>IF(Table4[[#This Row],[linear?]],Table4[[#This Row],[av]],10^(Table4[[#This Row],[av]]/10))</f>
        <v>476.01064690039368</v>
      </c>
      <c r="X370" s="2">
        <f>Table4[[#This Row],[av_lin]]-2*Table4[[#This Row],[std_lin]]</f>
        <v>-476.01064690039368</v>
      </c>
      <c r="Y370" s="2">
        <f>Table4[[#This Row],[av_lin]]+2*Table4[[#This Row],[std_lin]]</f>
        <v>1428.0319407011812</v>
      </c>
    </row>
    <row r="371" spans="1:25" x14ac:dyDescent="0.35">
      <c r="A371" s="1">
        <v>418</v>
      </c>
      <c r="B371" t="s">
        <v>75</v>
      </c>
      <c r="C371" t="s">
        <v>253</v>
      </c>
      <c r="D371" t="s">
        <v>395</v>
      </c>
      <c r="E371" s="2">
        <v>0</v>
      </c>
      <c r="F371" s="2">
        <v>0</v>
      </c>
      <c r="G371">
        <v>27</v>
      </c>
      <c r="H371" t="s">
        <v>58</v>
      </c>
      <c r="M371" s="2">
        <v>0</v>
      </c>
      <c r="N371" s="2">
        <v>0</v>
      </c>
      <c r="O371" s="2">
        <v>0</v>
      </c>
      <c r="R371" t="str">
        <f t="shared" si="15"/>
        <v>yes</v>
      </c>
      <c r="S371" t="str">
        <f t="shared" si="16"/>
        <v>no</v>
      </c>
      <c r="T3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1" s="2" t="b">
        <f t="shared" si="17"/>
        <v>0</v>
      </c>
      <c r="V371" s="2">
        <f>IF(Table4[[#This Row],[linear?]],Table4[[#This Row],[av]],10^(Table4[[#This Row],[av]]/10))</f>
        <v>1</v>
      </c>
      <c r="W371" s="2">
        <f>IF(Table4[[#This Row],[linear?]],Table4[[#This Row],[av]],10^(Table4[[#This Row],[av]]/10))</f>
        <v>1</v>
      </c>
      <c r="X371" s="2">
        <f>Table4[[#This Row],[av_lin]]-2*Table4[[#This Row],[std_lin]]</f>
        <v>-1</v>
      </c>
      <c r="Y371" s="2">
        <f>Table4[[#This Row],[av_lin]]+2*Table4[[#This Row],[std_lin]]</f>
        <v>3</v>
      </c>
    </row>
    <row r="372" spans="1:25" x14ac:dyDescent="0.35">
      <c r="A372" s="1">
        <v>419</v>
      </c>
      <c r="B372" t="s">
        <v>75</v>
      </c>
      <c r="C372" t="s">
        <v>253</v>
      </c>
      <c r="D372" t="s">
        <v>396</v>
      </c>
      <c r="E372" s="2">
        <v>0</v>
      </c>
      <c r="F372" s="2">
        <v>0</v>
      </c>
      <c r="G372">
        <v>27</v>
      </c>
      <c r="H372" t="s">
        <v>58</v>
      </c>
      <c r="M372" s="2">
        <v>0</v>
      </c>
      <c r="N372" s="2">
        <v>0</v>
      </c>
      <c r="O372" s="2">
        <v>0</v>
      </c>
      <c r="R372" t="str">
        <f t="shared" si="15"/>
        <v>yes</v>
      </c>
      <c r="S372" t="str">
        <f t="shared" si="16"/>
        <v>no</v>
      </c>
      <c r="T3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2" s="2" t="b">
        <f t="shared" si="17"/>
        <v>0</v>
      </c>
      <c r="V372" s="2">
        <f>IF(Table4[[#This Row],[linear?]],Table4[[#This Row],[av]],10^(Table4[[#This Row],[av]]/10))</f>
        <v>1</v>
      </c>
      <c r="W372" s="2">
        <f>IF(Table4[[#This Row],[linear?]],Table4[[#This Row],[av]],10^(Table4[[#This Row],[av]]/10))</f>
        <v>1</v>
      </c>
      <c r="X372" s="2">
        <f>Table4[[#This Row],[av_lin]]-2*Table4[[#This Row],[std_lin]]</f>
        <v>-1</v>
      </c>
      <c r="Y372" s="2">
        <f>Table4[[#This Row],[av_lin]]+2*Table4[[#This Row],[std_lin]]</f>
        <v>3</v>
      </c>
    </row>
    <row r="373" spans="1:25" x14ac:dyDescent="0.35">
      <c r="A373" s="1">
        <v>420</v>
      </c>
      <c r="B373" t="s">
        <v>75</v>
      </c>
      <c r="C373" t="s">
        <v>253</v>
      </c>
      <c r="D373" t="s">
        <v>397</v>
      </c>
      <c r="E373" s="2">
        <v>6.1008259259259257</v>
      </c>
      <c r="F373" s="2">
        <v>12.812741184796771</v>
      </c>
      <c r="G373">
        <v>27</v>
      </c>
      <c r="H373" t="s">
        <v>58</v>
      </c>
      <c r="M373" s="2">
        <v>31.72630829551947</v>
      </c>
      <c r="N373" s="2">
        <v>-19.52465644366762</v>
      </c>
      <c r="O373" s="2">
        <v>51.250964739187083</v>
      </c>
      <c r="P373" s="2">
        <v>0.47615306029633919</v>
      </c>
      <c r="R373" t="str">
        <f t="shared" si="15"/>
        <v>yes</v>
      </c>
      <c r="S373" t="str">
        <f t="shared" si="16"/>
        <v>no</v>
      </c>
      <c r="T3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3" s="2" t="b">
        <f t="shared" si="17"/>
        <v>1</v>
      </c>
      <c r="V373" s="2">
        <f>IF(Table4[[#This Row],[linear?]],Table4[[#This Row],[av]],10^(Table4[[#This Row],[av]]/10))</f>
        <v>6.1008259259259257</v>
      </c>
      <c r="W373" s="2">
        <f>IF(Table4[[#This Row],[linear?]],Table4[[#This Row],[av]],10^(Table4[[#This Row],[av]]/10))</f>
        <v>6.1008259259259257</v>
      </c>
      <c r="X373" s="2">
        <f>Table4[[#This Row],[av_lin]]-2*Table4[[#This Row],[std_lin]]</f>
        <v>-6.1008259259259257</v>
      </c>
      <c r="Y373" s="2">
        <f>Table4[[#This Row],[av_lin]]+2*Table4[[#This Row],[std_lin]]</f>
        <v>18.302477777777778</v>
      </c>
    </row>
    <row r="374" spans="1:25" x14ac:dyDescent="0.35">
      <c r="A374" s="1">
        <v>421</v>
      </c>
      <c r="B374" t="s">
        <v>75</v>
      </c>
      <c r="C374" t="s">
        <v>253</v>
      </c>
      <c r="D374" t="s">
        <v>398</v>
      </c>
      <c r="E374" s="2">
        <v>0</v>
      </c>
      <c r="F374" s="2">
        <v>0</v>
      </c>
      <c r="G374">
        <v>27</v>
      </c>
      <c r="H374" t="s">
        <v>58</v>
      </c>
      <c r="M374" s="2">
        <v>0</v>
      </c>
      <c r="N374" s="2">
        <v>0</v>
      </c>
      <c r="O374" s="2">
        <v>0</v>
      </c>
      <c r="R374" t="str">
        <f t="shared" si="15"/>
        <v>yes</v>
      </c>
      <c r="S374" t="str">
        <f t="shared" si="16"/>
        <v>no</v>
      </c>
      <c r="T3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4" s="2" t="b">
        <f t="shared" si="17"/>
        <v>0</v>
      </c>
      <c r="V374" s="2">
        <f>IF(Table4[[#This Row],[linear?]],Table4[[#This Row],[av]],10^(Table4[[#This Row],[av]]/10))</f>
        <v>1</v>
      </c>
      <c r="W374" s="2">
        <f>IF(Table4[[#This Row],[linear?]],Table4[[#This Row],[av]],10^(Table4[[#This Row],[av]]/10))</f>
        <v>1</v>
      </c>
      <c r="X374" s="2">
        <f>Table4[[#This Row],[av_lin]]-2*Table4[[#This Row],[std_lin]]</f>
        <v>-1</v>
      </c>
      <c r="Y374" s="2">
        <f>Table4[[#This Row],[av_lin]]+2*Table4[[#This Row],[std_lin]]</f>
        <v>3</v>
      </c>
    </row>
    <row r="375" spans="1:25" x14ac:dyDescent="0.35">
      <c r="A375" s="1">
        <v>422</v>
      </c>
      <c r="B375" t="s">
        <v>75</v>
      </c>
      <c r="C375" t="s">
        <v>253</v>
      </c>
      <c r="D375" t="s">
        <v>399</v>
      </c>
      <c r="E375" s="2">
        <v>2.9957555555555562</v>
      </c>
      <c r="F375" s="2">
        <v>5.6045454517067581</v>
      </c>
      <c r="G375">
        <v>27</v>
      </c>
      <c r="H375" t="s">
        <v>58</v>
      </c>
      <c r="M375" s="2">
        <v>14.204846458969071</v>
      </c>
      <c r="N375" s="2">
        <v>-8.21333534785796</v>
      </c>
      <c r="O375" s="2">
        <v>22.418181806827029</v>
      </c>
      <c r="P375" s="2">
        <v>0.5345224838248489</v>
      </c>
      <c r="R375" t="str">
        <f t="shared" si="15"/>
        <v>yes</v>
      </c>
      <c r="S375" t="str">
        <f t="shared" si="16"/>
        <v>no</v>
      </c>
      <c r="T3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5" s="2" t="b">
        <f t="shared" si="17"/>
        <v>0</v>
      </c>
      <c r="V375" s="2">
        <f>IF(Table4[[#This Row],[linear?]],Table4[[#This Row],[av]],10^(Table4[[#This Row],[av]]/10))</f>
        <v>1.9933132588797982</v>
      </c>
      <c r="W375" s="2">
        <f>IF(Table4[[#This Row],[linear?]],Table4[[#This Row],[av]],10^(Table4[[#This Row],[av]]/10))</f>
        <v>1.9933132588797982</v>
      </c>
      <c r="X375" s="2">
        <f>Table4[[#This Row],[av_lin]]-2*Table4[[#This Row],[std_lin]]</f>
        <v>-1.9933132588797982</v>
      </c>
      <c r="Y375" s="2">
        <f>Table4[[#This Row],[av_lin]]+2*Table4[[#This Row],[std_lin]]</f>
        <v>5.9799397766393945</v>
      </c>
    </row>
    <row r="376" spans="1:25" x14ac:dyDescent="0.35">
      <c r="A376" s="1">
        <v>423</v>
      </c>
      <c r="B376" t="s">
        <v>75</v>
      </c>
      <c r="C376" t="s">
        <v>253</v>
      </c>
      <c r="D376" t="s">
        <v>400</v>
      </c>
      <c r="E376" s="2">
        <v>0</v>
      </c>
      <c r="F376" s="2">
        <v>0</v>
      </c>
      <c r="G376">
        <v>27</v>
      </c>
      <c r="H376" t="s">
        <v>58</v>
      </c>
      <c r="M376" s="2">
        <v>0</v>
      </c>
      <c r="N376" s="2">
        <v>0</v>
      </c>
      <c r="O376" s="2">
        <v>0</v>
      </c>
      <c r="R376" t="str">
        <f t="shared" si="15"/>
        <v>yes</v>
      </c>
      <c r="S376" t="str">
        <f t="shared" si="16"/>
        <v>no</v>
      </c>
      <c r="T3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6" s="2" t="b">
        <f t="shared" si="17"/>
        <v>0</v>
      </c>
      <c r="V376" s="2">
        <f>IF(Table4[[#This Row],[linear?]],Table4[[#This Row],[av]],10^(Table4[[#This Row],[av]]/10))</f>
        <v>1</v>
      </c>
      <c r="W376" s="2">
        <f>IF(Table4[[#This Row],[linear?]],Table4[[#This Row],[av]],10^(Table4[[#This Row],[av]]/10))</f>
        <v>1</v>
      </c>
      <c r="X376" s="2">
        <f>Table4[[#This Row],[av_lin]]-2*Table4[[#This Row],[std_lin]]</f>
        <v>-1</v>
      </c>
      <c r="Y376" s="2">
        <f>Table4[[#This Row],[av_lin]]+2*Table4[[#This Row],[std_lin]]</f>
        <v>3</v>
      </c>
    </row>
    <row r="377" spans="1:25" x14ac:dyDescent="0.35">
      <c r="A377" s="1">
        <v>424</v>
      </c>
      <c r="B377" t="s">
        <v>75</v>
      </c>
      <c r="C377" t="s">
        <v>253</v>
      </c>
      <c r="D377" t="s">
        <v>401</v>
      </c>
      <c r="E377" s="2">
        <v>9.3654555555555543</v>
      </c>
      <c r="F377" s="2">
        <v>17.61700041324421</v>
      </c>
      <c r="G377">
        <v>27</v>
      </c>
      <c r="H377" t="s">
        <v>58</v>
      </c>
      <c r="M377" s="2">
        <v>44.599456382043982</v>
      </c>
      <c r="N377" s="2">
        <v>-25.868545270932859</v>
      </c>
      <c r="O377" s="2">
        <v>70.468001652976838</v>
      </c>
      <c r="P377" s="2">
        <v>0.53161465265759644</v>
      </c>
      <c r="R377" t="str">
        <f t="shared" si="15"/>
        <v>yes</v>
      </c>
      <c r="S377" t="str">
        <f t="shared" si="16"/>
        <v>no</v>
      </c>
      <c r="T3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7" s="2" t="b">
        <f t="shared" si="17"/>
        <v>1</v>
      </c>
      <c r="V377" s="2">
        <f>IF(Table4[[#This Row],[linear?]],Table4[[#This Row],[av]],10^(Table4[[#This Row],[av]]/10))</f>
        <v>9.3654555555555543</v>
      </c>
      <c r="W377" s="2">
        <f>IF(Table4[[#This Row],[linear?]],Table4[[#This Row],[av]],10^(Table4[[#This Row],[av]]/10))</f>
        <v>9.3654555555555543</v>
      </c>
      <c r="X377" s="2">
        <f>Table4[[#This Row],[av_lin]]-2*Table4[[#This Row],[std_lin]]</f>
        <v>-9.3654555555555543</v>
      </c>
      <c r="Y377" s="2">
        <f>Table4[[#This Row],[av_lin]]+2*Table4[[#This Row],[std_lin]]</f>
        <v>28.096366666666661</v>
      </c>
    </row>
    <row r="378" spans="1:25" x14ac:dyDescent="0.35">
      <c r="A378" s="1">
        <v>425</v>
      </c>
      <c r="B378" t="s">
        <v>75</v>
      </c>
      <c r="C378" t="s">
        <v>253</v>
      </c>
      <c r="D378" t="s">
        <v>402</v>
      </c>
      <c r="E378" s="2">
        <v>0</v>
      </c>
      <c r="F378" s="2">
        <v>0</v>
      </c>
      <c r="G378">
        <v>27</v>
      </c>
      <c r="H378" t="s">
        <v>58</v>
      </c>
      <c r="M378" s="2">
        <v>0</v>
      </c>
      <c r="N378" s="2">
        <v>0</v>
      </c>
      <c r="O378" s="2">
        <v>0</v>
      </c>
      <c r="R378" t="str">
        <f t="shared" si="15"/>
        <v>yes</v>
      </c>
      <c r="S378" t="str">
        <f t="shared" si="16"/>
        <v>no</v>
      </c>
      <c r="T3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8" s="2" t="b">
        <f t="shared" si="17"/>
        <v>0</v>
      </c>
      <c r="V378" s="2">
        <f>IF(Table4[[#This Row],[linear?]],Table4[[#This Row],[av]],10^(Table4[[#This Row],[av]]/10))</f>
        <v>1</v>
      </c>
      <c r="W378" s="2">
        <f>IF(Table4[[#This Row],[linear?]],Table4[[#This Row],[av]],10^(Table4[[#This Row],[av]]/10))</f>
        <v>1</v>
      </c>
      <c r="X378" s="2">
        <f>Table4[[#This Row],[av_lin]]-2*Table4[[#This Row],[std_lin]]</f>
        <v>-1</v>
      </c>
      <c r="Y378" s="2">
        <f>Table4[[#This Row],[av_lin]]+2*Table4[[#This Row],[std_lin]]</f>
        <v>3</v>
      </c>
    </row>
    <row r="379" spans="1:25" x14ac:dyDescent="0.35">
      <c r="A379" s="1">
        <v>426</v>
      </c>
      <c r="B379" t="s">
        <v>75</v>
      </c>
      <c r="C379" t="s">
        <v>253</v>
      </c>
      <c r="D379" t="s">
        <v>403</v>
      </c>
      <c r="E379" s="2">
        <v>3.994340740740741</v>
      </c>
      <c r="F379" s="2">
        <v>6.1556924987129253</v>
      </c>
      <c r="G379">
        <v>27</v>
      </c>
      <c r="H379" t="s">
        <v>58</v>
      </c>
      <c r="M379" s="2">
        <v>16.30572573816659</v>
      </c>
      <c r="N379" s="2">
        <v>-8.3170442566851097</v>
      </c>
      <c r="O379" s="2">
        <v>24.622769994851701</v>
      </c>
      <c r="P379" s="2">
        <v>0.64888568452305007</v>
      </c>
      <c r="R379" t="str">
        <f t="shared" si="15"/>
        <v>yes</v>
      </c>
      <c r="S379" t="str">
        <f t="shared" si="16"/>
        <v>no</v>
      </c>
      <c r="T3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9" s="2" t="b">
        <f t="shared" si="17"/>
        <v>0</v>
      </c>
      <c r="V379" s="2">
        <f>IF(Table4[[#This Row],[linear?]],Table4[[#This Row],[av]],10^(Table4[[#This Row],[av]]/10))</f>
        <v>2.508615342615431</v>
      </c>
      <c r="W379" s="2">
        <f>IF(Table4[[#This Row],[linear?]],Table4[[#This Row],[av]],10^(Table4[[#This Row],[av]]/10))</f>
        <v>2.508615342615431</v>
      </c>
      <c r="X379" s="2">
        <f>Table4[[#This Row],[av_lin]]-2*Table4[[#This Row],[std_lin]]</f>
        <v>-2.508615342615431</v>
      </c>
      <c r="Y379" s="2">
        <f>Table4[[#This Row],[av_lin]]+2*Table4[[#This Row],[std_lin]]</f>
        <v>7.5258460278462929</v>
      </c>
    </row>
    <row r="380" spans="1:25" x14ac:dyDescent="0.35">
      <c r="A380" s="1">
        <v>427</v>
      </c>
      <c r="B380" t="s">
        <v>75</v>
      </c>
      <c r="C380" t="s">
        <v>253</v>
      </c>
      <c r="D380" t="s">
        <v>404</v>
      </c>
      <c r="E380" s="2">
        <v>0</v>
      </c>
      <c r="F380" s="2">
        <v>0</v>
      </c>
      <c r="G380">
        <v>27</v>
      </c>
      <c r="H380" t="s">
        <v>58</v>
      </c>
      <c r="M380" s="2">
        <v>0</v>
      </c>
      <c r="N380" s="2">
        <v>0</v>
      </c>
      <c r="O380" s="2">
        <v>0</v>
      </c>
      <c r="R380" t="str">
        <f t="shared" si="15"/>
        <v>yes</v>
      </c>
      <c r="S380" t="str">
        <f t="shared" si="16"/>
        <v>no</v>
      </c>
      <c r="T3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0" s="2" t="b">
        <f t="shared" si="17"/>
        <v>0</v>
      </c>
      <c r="V380" s="2">
        <f>IF(Table4[[#This Row],[linear?]],Table4[[#This Row],[av]],10^(Table4[[#This Row],[av]]/10))</f>
        <v>1</v>
      </c>
      <c r="W380" s="2">
        <f>IF(Table4[[#This Row],[linear?]],Table4[[#This Row],[av]],10^(Table4[[#This Row],[av]]/10))</f>
        <v>1</v>
      </c>
      <c r="X380" s="2">
        <f>Table4[[#This Row],[av_lin]]-2*Table4[[#This Row],[std_lin]]</f>
        <v>-1</v>
      </c>
      <c r="Y380" s="2">
        <f>Table4[[#This Row],[av_lin]]+2*Table4[[#This Row],[std_lin]]</f>
        <v>3</v>
      </c>
    </row>
    <row r="381" spans="1:25" x14ac:dyDescent="0.35">
      <c r="A381" s="1">
        <v>428</v>
      </c>
      <c r="B381" t="s">
        <v>75</v>
      </c>
      <c r="C381" t="s">
        <v>253</v>
      </c>
      <c r="D381" t="s">
        <v>405</v>
      </c>
      <c r="E381" s="2">
        <v>11.741899999999999</v>
      </c>
      <c r="F381" s="2">
        <v>18.304691535596369</v>
      </c>
      <c r="G381">
        <v>27</v>
      </c>
      <c r="H381" t="s">
        <v>58</v>
      </c>
      <c r="M381" s="2">
        <v>48.351283071192739</v>
      </c>
      <c r="N381" s="2">
        <v>-24.867483071192741</v>
      </c>
      <c r="O381" s="2">
        <v>73.218766142385476</v>
      </c>
      <c r="P381" s="2">
        <v>0.64146942750529379</v>
      </c>
      <c r="R381" t="str">
        <f t="shared" si="15"/>
        <v>yes</v>
      </c>
      <c r="S381" t="str">
        <f t="shared" si="16"/>
        <v>no</v>
      </c>
      <c r="T3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1" s="2" t="b">
        <f t="shared" si="17"/>
        <v>1</v>
      </c>
      <c r="V381" s="2">
        <f>IF(Table4[[#This Row],[linear?]],Table4[[#This Row],[av]],10^(Table4[[#This Row],[av]]/10))</f>
        <v>11.741899999999999</v>
      </c>
      <c r="W381" s="2">
        <f>IF(Table4[[#This Row],[linear?]],Table4[[#This Row],[av]],10^(Table4[[#This Row],[av]]/10))</f>
        <v>11.741899999999999</v>
      </c>
      <c r="X381" s="2">
        <f>Table4[[#This Row],[av_lin]]-2*Table4[[#This Row],[std_lin]]</f>
        <v>-11.741899999999999</v>
      </c>
      <c r="Y381" s="2">
        <f>Table4[[#This Row],[av_lin]]+2*Table4[[#This Row],[std_lin]]</f>
        <v>35.225699999999996</v>
      </c>
    </row>
    <row r="382" spans="1:25" x14ac:dyDescent="0.35">
      <c r="A382" s="1">
        <v>429</v>
      </c>
      <c r="B382" t="s">
        <v>75</v>
      </c>
      <c r="C382" t="s">
        <v>253</v>
      </c>
      <c r="D382" t="s">
        <v>406</v>
      </c>
      <c r="E382" s="2">
        <v>0</v>
      </c>
      <c r="F382" s="2">
        <v>0</v>
      </c>
      <c r="G382">
        <v>27</v>
      </c>
      <c r="H382" t="s">
        <v>58</v>
      </c>
      <c r="M382" s="2">
        <v>0</v>
      </c>
      <c r="N382" s="2">
        <v>0</v>
      </c>
      <c r="O382" s="2">
        <v>0</v>
      </c>
      <c r="R382" t="str">
        <f t="shared" si="15"/>
        <v>yes</v>
      </c>
      <c r="S382" t="str">
        <f t="shared" si="16"/>
        <v>no</v>
      </c>
      <c r="T3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2" s="2" t="b">
        <f t="shared" si="17"/>
        <v>0</v>
      </c>
      <c r="V382" s="2">
        <f>IF(Table4[[#This Row],[linear?]],Table4[[#This Row],[av]],10^(Table4[[#This Row],[av]]/10))</f>
        <v>1</v>
      </c>
      <c r="W382" s="2">
        <f>IF(Table4[[#This Row],[linear?]],Table4[[#This Row],[av]],10^(Table4[[#This Row],[av]]/10))</f>
        <v>1</v>
      </c>
      <c r="X382" s="2">
        <f>Table4[[#This Row],[av_lin]]-2*Table4[[#This Row],[std_lin]]</f>
        <v>-1</v>
      </c>
      <c r="Y382" s="2">
        <f>Table4[[#This Row],[av_lin]]+2*Table4[[#This Row],[std_lin]]</f>
        <v>3</v>
      </c>
    </row>
    <row r="383" spans="1:25" x14ac:dyDescent="0.35">
      <c r="A383" s="1">
        <v>430</v>
      </c>
      <c r="B383" t="s">
        <v>75</v>
      </c>
      <c r="C383" t="s">
        <v>253</v>
      </c>
      <c r="D383" t="s">
        <v>407</v>
      </c>
      <c r="E383" s="2">
        <v>2.9957555555555562</v>
      </c>
      <c r="F383" s="2">
        <v>5.6045454517067581</v>
      </c>
      <c r="G383">
        <v>27</v>
      </c>
      <c r="H383" t="s">
        <v>58</v>
      </c>
      <c r="M383" s="2">
        <v>14.204846458969071</v>
      </c>
      <c r="N383" s="2">
        <v>-8.21333534785796</v>
      </c>
      <c r="O383" s="2">
        <v>22.418181806827029</v>
      </c>
      <c r="P383" s="2">
        <v>0.5345224838248489</v>
      </c>
      <c r="R383" t="str">
        <f t="shared" si="15"/>
        <v>yes</v>
      </c>
      <c r="S383" t="str">
        <f t="shared" si="16"/>
        <v>no</v>
      </c>
      <c r="T3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3" s="2" t="b">
        <f t="shared" si="17"/>
        <v>0</v>
      </c>
      <c r="V383" s="2">
        <f>IF(Table4[[#This Row],[linear?]],Table4[[#This Row],[av]],10^(Table4[[#This Row],[av]]/10))</f>
        <v>1.9933132588797982</v>
      </c>
      <c r="W383" s="2">
        <f>IF(Table4[[#This Row],[linear?]],Table4[[#This Row],[av]],10^(Table4[[#This Row],[av]]/10))</f>
        <v>1.9933132588797982</v>
      </c>
      <c r="X383" s="2">
        <f>Table4[[#This Row],[av_lin]]-2*Table4[[#This Row],[std_lin]]</f>
        <v>-1.9933132588797982</v>
      </c>
      <c r="Y383" s="2">
        <f>Table4[[#This Row],[av_lin]]+2*Table4[[#This Row],[std_lin]]</f>
        <v>5.9799397766393945</v>
      </c>
    </row>
    <row r="384" spans="1:25" x14ac:dyDescent="0.35">
      <c r="A384" s="1">
        <v>431</v>
      </c>
      <c r="B384" t="s">
        <v>75</v>
      </c>
      <c r="C384" t="s">
        <v>253</v>
      </c>
      <c r="D384" t="s">
        <v>408</v>
      </c>
      <c r="E384" s="2">
        <v>0</v>
      </c>
      <c r="F384" s="2">
        <v>0</v>
      </c>
      <c r="G384">
        <v>27</v>
      </c>
      <c r="H384" t="s">
        <v>58</v>
      </c>
      <c r="M384" s="2">
        <v>0</v>
      </c>
      <c r="N384" s="2">
        <v>0</v>
      </c>
      <c r="O384" s="2">
        <v>0</v>
      </c>
      <c r="R384" t="str">
        <f t="shared" si="15"/>
        <v>yes</v>
      </c>
      <c r="S384" t="str">
        <f t="shared" si="16"/>
        <v>no</v>
      </c>
      <c r="T3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4" s="2" t="b">
        <f t="shared" si="17"/>
        <v>0</v>
      </c>
      <c r="V384" s="2">
        <f>IF(Table4[[#This Row],[linear?]],Table4[[#This Row],[av]],10^(Table4[[#This Row],[av]]/10))</f>
        <v>1</v>
      </c>
      <c r="W384" s="2">
        <f>IF(Table4[[#This Row],[linear?]],Table4[[#This Row],[av]],10^(Table4[[#This Row],[av]]/10))</f>
        <v>1</v>
      </c>
      <c r="X384" s="2">
        <f>Table4[[#This Row],[av_lin]]-2*Table4[[#This Row],[std_lin]]</f>
        <v>-1</v>
      </c>
      <c r="Y384" s="2">
        <f>Table4[[#This Row],[av_lin]]+2*Table4[[#This Row],[std_lin]]</f>
        <v>3</v>
      </c>
    </row>
    <row r="385" spans="1:25" x14ac:dyDescent="0.35">
      <c r="A385" s="1">
        <v>432</v>
      </c>
      <c r="B385" t="s">
        <v>75</v>
      </c>
      <c r="C385" t="s">
        <v>253</v>
      </c>
      <c r="D385" t="s">
        <v>409</v>
      </c>
      <c r="E385" s="2">
        <v>8.7798037037037027</v>
      </c>
      <c r="F385" s="2">
        <v>16.487905752769471</v>
      </c>
      <c r="G385">
        <v>27</v>
      </c>
      <c r="H385" t="s">
        <v>58</v>
      </c>
      <c r="M385" s="2">
        <v>41.755615209242649</v>
      </c>
      <c r="N385" s="2">
        <v>-24.19600780183524</v>
      </c>
      <c r="O385" s="2">
        <v>65.951623011077885</v>
      </c>
      <c r="P385" s="2">
        <v>0.53249962944681195</v>
      </c>
      <c r="R385" t="str">
        <f t="shared" si="15"/>
        <v>yes</v>
      </c>
      <c r="S385" t="str">
        <f t="shared" si="16"/>
        <v>no</v>
      </c>
      <c r="T3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5" s="2" t="b">
        <f t="shared" si="17"/>
        <v>1</v>
      </c>
      <c r="V385" s="2">
        <f>IF(Table4[[#This Row],[linear?]],Table4[[#This Row],[av]],10^(Table4[[#This Row],[av]]/10))</f>
        <v>8.7798037037037027</v>
      </c>
      <c r="W385" s="2">
        <f>IF(Table4[[#This Row],[linear?]],Table4[[#This Row],[av]],10^(Table4[[#This Row],[av]]/10))</f>
        <v>8.7798037037037027</v>
      </c>
      <c r="X385" s="2">
        <f>Table4[[#This Row],[av_lin]]-2*Table4[[#This Row],[std_lin]]</f>
        <v>-8.7798037037037027</v>
      </c>
      <c r="Y385" s="2">
        <f>Table4[[#This Row],[av_lin]]+2*Table4[[#This Row],[std_lin]]</f>
        <v>26.339411111111108</v>
      </c>
    </row>
    <row r="386" spans="1:25" x14ac:dyDescent="0.35">
      <c r="A386" s="1">
        <v>433</v>
      </c>
      <c r="B386" t="s">
        <v>75</v>
      </c>
      <c r="C386" t="s">
        <v>253</v>
      </c>
      <c r="D386" t="s">
        <v>410</v>
      </c>
      <c r="E386" s="2">
        <v>0</v>
      </c>
      <c r="F386" s="2">
        <v>0</v>
      </c>
      <c r="G386">
        <v>27</v>
      </c>
      <c r="H386" t="s">
        <v>58</v>
      </c>
      <c r="M386" s="2">
        <v>0</v>
      </c>
      <c r="N386" s="2">
        <v>0</v>
      </c>
      <c r="O386" s="2">
        <v>0</v>
      </c>
      <c r="R386" t="str">
        <f t="shared" ref="R386:R449" si="18">IF(H386="yes","yes","no")</f>
        <v>yes</v>
      </c>
      <c r="S386" t="str">
        <f t="shared" ref="S386:S449" si="19">IF(I386,"yes","no")</f>
        <v>no</v>
      </c>
      <c r="T3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6" s="2" t="b">
        <f t="shared" ref="U386:U449" si="20">NOT(ISNUMBER(SEARCH("RFIC*POWER", D386)))</f>
        <v>0</v>
      </c>
      <c r="V386" s="2">
        <f>IF(Table4[[#This Row],[linear?]],Table4[[#This Row],[av]],10^(Table4[[#This Row],[av]]/10))</f>
        <v>1</v>
      </c>
      <c r="W386" s="2">
        <f>IF(Table4[[#This Row],[linear?]],Table4[[#This Row],[av]],10^(Table4[[#This Row],[av]]/10))</f>
        <v>1</v>
      </c>
      <c r="X386" s="2">
        <f>Table4[[#This Row],[av_lin]]-2*Table4[[#This Row],[std_lin]]</f>
        <v>-1</v>
      </c>
      <c r="Y386" s="2">
        <f>Table4[[#This Row],[av_lin]]+2*Table4[[#This Row],[std_lin]]</f>
        <v>3</v>
      </c>
    </row>
    <row r="387" spans="1:25" x14ac:dyDescent="0.35">
      <c r="A387" s="1">
        <v>434</v>
      </c>
      <c r="B387" t="s">
        <v>75</v>
      </c>
      <c r="C387" t="s">
        <v>253</v>
      </c>
      <c r="D387" t="s">
        <v>411</v>
      </c>
      <c r="E387" s="2">
        <v>3.994340740740741</v>
      </c>
      <c r="F387" s="2">
        <v>6.1556924987129253</v>
      </c>
      <c r="G387">
        <v>27</v>
      </c>
      <c r="H387" t="s">
        <v>58</v>
      </c>
      <c r="M387" s="2">
        <v>16.30572573816659</v>
      </c>
      <c r="N387" s="2">
        <v>-8.3170442566851097</v>
      </c>
      <c r="O387" s="2">
        <v>24.622769994851701</v>
      </c>
      <c r="P387" s="2">
        <v>0.64888568452305007</v>
      </c>
      <c r="R387" t="str">
        <f t="shared" si="18"/>
        <v>yes</v>
      </c>
      <c r="S387" t="str">
        <f t="shared" si="19"/>
        <v>no</v>
      </c>
      <c r="T3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7" s="2" t="b">
        <f t="shared" si="20"/>
        <v>0</v>
      </c>
      <c r="V387" s="2">
        <f>IF(Table4[[#This Row],[linear?]],Table4[[#This Row],[av]],10^(Table4[[#This Row],[av]]/10))</f>
        <v>2.508615342615431</v>
      </c>
      <c r="W387" s="2">
        <f>IF(Table4[[#This Row],[linear?]],Table4[[#This Row],[av]],10^(Table4[[#This Row],[av]]/10))</f>
        <v>2.508615342615431</v>
      </c>
      <c r="X387" s="2">
        <f>Table4[[#This Row],[av_lin]]-2*Table4[[#This Row],[std_lin]]</f>
        <v>-2.508615342615431</v>
      </c>
      <c r="Y387" s="2">
        <f>Table4[[#This Row],[av_lin]]+2*Table4[[#This Row],[std_lin]]</f>
        <v>7.5258460278462929</v>
      </c>
    </row>
    <row r="388" spans="1:25" x14ac:dyDescent="0.35">
      <c r="A388" s="1">
        <v>435</v>
      </c>
      <c r="B388" t="s">
        <v>75</v>
      </c>
      <c r="C388" t="s">
        <v>253</v>
      </c>
      <c r="D388" t="s">
        <v>412</v>
      </c>
      <c r="E388" s="2">
        <v>0</v>
      </c>
      <c r="F388" s="2">
        <v>0</v>
      </c>
      <c r="G388">
        <v>27</v>
      </c>
      <c r="H388" t="s">
        <v>58</v>
      </c>
      <c r="M388" s="2">
        <v>0</v>
      </c>
      <c r="N388" s="2">
        <v>0</v>
      </c>
      <c r="O388" s="2">
        <v>0</v>
      </c>
      <c r="R388" t="str">
        <f t="shared" si="18"/>
        <v>yes</v>
      </c>
      <c r="S388" t="str">
        <f t="shared" si="19"/>
        <v>no</v>
      </c>
      <c r="T3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8" s="2" t="b">
        <f t="shared" si="20"/>
        <v>0</v>
      </c>
      <c r="V388" s="2">
        <f>IF(Table4[[#This Row],[linear?]],Table4[[#This Row],[av]],10^(Table4[[#This Row],[av]]/10))</f>
        <v>1</v>
      </c>
      <c r="W388" s="2">
        <f>IF(Table4[[#This Row],[linear?]],Table4[[#This Row],[av]],10^(Table4[[#This Row],[av]]/10))</f>
        <v>1</v>
      </c>
      <c r="X388" s="2">
        <f>Table4[[#This Row],[av_lin]]-2*Table4[[#This Row],[std_lin]]</f>
        <v>-1</v>
      </c>
      <c r="Y388" s="2">
        <f>Table4[[#This Row],[av_lin]]+2*Table4[[#This Row],[std_lin]]</f>
        <v>3</v>
      </c>
    </row>
    <row r="389" spans="1:25" x14ac:dyDescent="0.35">
      <c r="A389" s="1">
        <v>436</v>
      </c>
      <c r="B389" t="s">
        <v>75</v>
      </c>
      <c r="C389" t="s">
        <v>253</v>
      </c>
      <c r="D389" t="s">
        <v>413</v>
      </c>
      <c r="E389" s="2">
        <v>10.677074074074071</v>
      </c>
      <c r="F389" s="2">
        <v>16.592277851226179</v>
      </c>
      <c r="G389">
        <v>27</v>
      </c>
      <c r="H389" t="s">
        <v>58</v>
      </c>
      <c r="M389" s="2">
        <v>43.861629776526428</v>
      </c>
      <c r="N389" s="2">
        <v>-22.50748162837829</v>
      </c>
      <c r="O389" s="2">
        <v>66.369111404904714</v>
      </c>
      <c r="P389" s="2">
        <v>0.64349658135004228</v>
      </c>
      <c r="R389" t="str">
        <f t="shared" si="18"/>
        <v>yes</v>
      </c>
      <c r="S389" t="str">
        <f t="shared" si="19"/>
        <v>no</v>
      </c>
      <c r="T3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9" s="2" t="b">
        <f t="shared" si="20"/>
        <v>1</v>
      </c>
      <c r="V389" s="2">
        <f>IF(Table4[[#This Row],[linear?]],Table4[[#This Row],[av]],10^(Table4[[#This Row],[av]]/10))</f>
        <v>10.677074074074071</v>
      </c>
      <c r="W389" s="2">
        <f>IF(Table4[[#This Row],[linear?]],Table4[[#This Row],[av]],10^(Table4[[#This Row],[av]]/10))</f>
        <v>10.677074074074071</v>
      </c>
      <c r="X389" s="2">
        <f>Table4[[#This Row],[av_lin]]-2*Table4[[#This Row],[std_lin]]</f>
        <v>-10.677074074074071</v>
      </c>
      <c r="Y389" s="2">
        <f>Table4[[#This Row],[av_lin]]+2*Table4[[#This Row],[std_lin]]</f>
        <v>32.031222222222212</v>
      </c>
    </row>
    <row r="390" spans="1:25" x14ac:dyDescent="0.35">
      <c r="A390" s="1">
        <v>437</v>
      </c>
      <c r="B390" t="s">
        <v>75</v>
      </c>
      <c r="C390" t="s">
        <v>253</v>
      </c>
      <c r="D390" t="s">
        <v>414</v>
      </c>
      <c r="E390" s="2">
        <v>0</v>
      </c>
      <c r="F390" s="2">
        <v>0</v>
      </c>
      <c r="G390">
        <v>27</v>
      </c>
      <c r="H390" t="s">
        <v>58</v>
      </c>
      <c r="M390" s="2">
        <v>0</v>
      </c>
      <c r="N390" s="2">
        <v>0</v>
      </c>
      <c r="O390" s="2">
        <v>0</v>
      </c>
      <c r="R390" t="str">
        <f t="shared" si="18"/>
        <v>yes</v>
      </c>
      <c r="S390" t="str">
        <f t="shared" si="19"/>
        <v>no</v>
      </c>
      <c r="T3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0" s="2" t="b">
        <f t="shared" si="20"/>
        <v>0</v>
      </c>
      <c r="V390" s="2">
        <f>IF(Table4[[#This Row],[linear?]],Table4[[#This Row],[av]],10^(Table4[[#This Row],[av]]/10))</f>
        <v>1</v>
      </c>
      <c r="W390" s="2">
        <f>IF(Table4[[#This Row],[linear?]],Table4[[#This Row],[av]],10^(Table4[[#This Row],[av]]/10))</f>
        <v>1</v>
      </c>
      <c r="X390" s="2">
        <f>Table4[[#This Row],[av_lin]]-2*Table4[[#This Row],[std_lin]]</f>
        <v>-1</v>
      </c>
      <c r="Y390" s="2">
        <f>Table4[[#This Row],[av_lin]]+2*Table4[[#This Row],[std_lin]]</f>
        <v>3</v>
      </c>
    </row>
    <row r="391" spans="1:25" x14ac:dyDescent="0.35">
      <c r="A391" s="1">
        <v>438</v>
      </c>
      <c r="B391" t="s">
        <v>75</v>
      </c>
      <c r="C391" t="s">
        <v>253</v>
      </c>
      <c r="D391" t="s">
        <v>415</v>
      </c>
      <c r="E391" s="2">
        <v>2.9957555555555562</v>
      </c>
      <c r="F391" s="2">
        <v>5.6045454517067581</v>
      </c>
      <c r="G391">
        <v>27</v>
      </c>
      <c r="H391" t="s">
        <v>58</v>
      </c>
      <c r="M391" s="2">
        <v>14.204846458969071</v>
      </c>
      <c r="N391" s="2">
        <v>-8.21333534785796</v>
      </c>
      <c r="O391" s="2">
        <v>22.418181806827029</v>
      </c>
      <c r="P391" s="2">
        <v>0.5345224838248489</v>
      </c>
      <c r="R391" t="str">
        <f t="shared" si="18"/>
        <v>yes</v>
      </c>
      <c r="S391" t="str">
        <f t="shared" si="19"/>
        <v>no</v>
      </c>
      <c r="T3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1" s="2" t="b">
        <f t="shared" si="20"/>
        <v>0</v>
      </c>
      <c r="V391" s="2">
        <f>IF(Table4[[#This Row],[linear?]],Table4[[#This Row],[av]],10^(Table4[[#This Row],[av]]/10))</f>
        <v>1.9933132588797982</v>
      </c>
      <c r="W391" s="2">
        <f>IF(Table4[[#This Row],[linear?]],Table4[[#This Row],[av]],10^(Table4[[#This Row],[av]]/10))</f>
        <v>1.9933132588797982</v>
      </c>
      <c r="X391" s="2">
        <f>Table4[[#This Row],[av_lin]]-2*Table4[[#This Row],[std_lin]]</f>
        <v>-1.9933132588797982</v>
      </c>
      <c r="Y391" s="2">
        <f>Table4[[#This Row],[av_lin]]+2*Table4[[#This Row],[std_lin]]</f>
        <v>5.9799397766393945</v>
      </c>
    </row>
    <row r="392" spans="1:25" x14ac:dyDescent="0.35">
      <c r="A392" s="1">
        <v>439</v>
      </c>
      <c r="B392" t="s">
        <v>75</v>
      </c>
      <c r="C392" t="s">
        <v>253</v>
      </c>
      <c r="D392" t="s">
        <v>416</v>
      </c>
      <c r="E392" s="2">
        <v>0</v>
      </c>
      <c r="F392" s="2">
        <v>0</v>
      </c>
      <c r="G392">
        <v>27</v>
      </c>
      <c r="H392" t="s">
        <v>58</v>
      </c>
      <c r="M392" s="2">
        <v>0</v>
      </c>
      <c r="N392" s="2">
        <v>0</v>
      </c>
      <c r="O392" s="2">
        <v>0</v>
      </c>
      <c r="R392" t="str">
        <f t="shared" si="18"/>
        <v>yes</v>
      </c>
      <c r="S392" t="str">
        <f t="shared" si="19"/>
        <v>no</v>
      </c>
      <c r="T3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2" s="2" t="b">
        <f t="shared" si="20"/>
        <v>0</v>
      </c>
      <c r="V392" s="2">
        <f>IF(Table4[[#This Row],[linear?]],Table4[[#This Row],[av]],10^(Table4[[#This Row],[av]]/10))</f>
        <v>1</v>
      </c>
      <c r="W392" s="2">
        <f>IF(Table4[[#This Row],[linear?]],Table4[[#This Row],[av]],10^(Table4[[#This Row],[av]]/10))</f>
        <v>1</v>
      </c>
      <c r="X392" s="2">
        <f>Table4[[#This Row],[av_lin]]-2*Table4[[#This Row],[std_lin]]</f>
        <v>-1</v>
      </c>
      <c r="Y392" s="2">
        <f>Table4[[#This Row],[av_lin]]+2*Table4[[#This Row],[std_lin]]</f>
        <v>3</v>
      </c>
    </row>
    <row r="393" spans="1:25" x14ac:dyDescent="0.35">
      <c r="A393" s="1">
        <v>440</v>
      </c>
      <c r="B393" t="s">
        <v>75</v>
      </c>
      <c r="C393" t="s">
        <v>253</v>
      </c>
      <c r="D393" t="s">
        <v>417</v>
      </c>
      <c r="E393" s="2">
        <v>8.5490925925925918</v>
      </c>
      <c r="F393" s="2">
        <v>16.06850619618956</v>
      </c>
      <c r="G393">
        <v>27</v>
      </c>
      <c r="H393" t="s">
        <v>58</v>
      </c>
      <c r="M393" s="2">
        <v>40.686104984971713</v>
      </c>
      <c r="N393" s="2">
        <v>-23.58791979978653</v>
      </c>
      <c r="O393" s="2">
        <v>64.27402478475824</v>
      </c>
      <c r="P393" s="2">
        <v>0.53204028353425281</v>
      </c>
      <c r="R393" t="str">
        <f t="shared" si="18"/>
        <v>yes</v>
      </c>
      <c r="S393" t="str">
        <f t="shared" si="19"/>
        <v>no</v>
      </c>
      <c r="T3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3" s="2" t="b">
        <f t="shared" si="20"/>
        <v>1</v>
      </c>
      <c r="V393" s="2">
        <f>IF(Table4[[#This Row],[linear?]],Table4[[#This Row],[av]],10^(Table4[[#This Row],[av]]/10))</f>
        <v>8.5490925925925918</v>
      </c>
      <c r="W393" s="2">
        <f>IF(Table4[[#This Row],[linear?]],Table4[[#This Row],[av]],10^(Table4[[#This Row],[av]]/10))</f>
        <v>8.5490925925925918</v>
      </c>
      <c r="X393" s="2">
        <f>Table4[[#This Row],[av_lin]]-2*Table4[[#This Row],[std_lin]]</f>
        <v>-8.5490925925925918</v>
      </c>
      <c r="Y393" s="2">
        <f>Table4[[#This Row],[av_lin]]+2*Table4[[#This Row],[std_lin]]</f>
        <v>25.647277777777774</v>
      </c>
    </row>
    <row r="394" spans="1:25" x14ac:dyDescent="0.35">
      <c r="A394" s="1">
        <v>441</v>
      </c>
      <c r="B394" t="s">
        <v>75</v>
      </c>
      <c r="C394" t="s">
        <v>253</v>
      </c>
      <c r="D394" t="s">
        <v>418</v>
      </c>
      <c r="E394" s="2">
        <v>0</v>
      </c>
      <c r="F394" s="2">
        <v>0</v>
      </c>
      <c r="G394">
        <v>27</v>
      </c>
      <c r="H394" t="s">
        <v>58</v>
      </c>
      <c r="M394" s="2">
        <v>0</v>
      </c>
      <c r="N394" s="2">
        <v>0</v>
      </c>
      <c r="O394" s="2">
        <v>0</v>
      </c>
      <c r="R394" t="str">
        <f t="shared" si="18"/>
        <v>yes</v>
      </c>
      <c r="S394" t="str">
        <f t="shared" si="19"/>
        <v>no</v>
      </c>
      <c r="T3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4" s="2" t="b">
        <f t="shared" si="20"/>
        <v>0</v>
      </c>
      <c r="V394" s="2">
        <f>IF(Table4[[#This Row],[linear?]],Table4[[#This Row],[av]],10^(Table4[[#This Row],[av]]/10))</f>
        <v>1</v>
      </c>
      <c r="W394" s="2">
        <f>IF(Table4[[#This Row],[linear?]],Table4[[#This Row],[av]],10^(Table4[[#This Row],[av]]/10))</f>
        <v>1</v>
      </c>
      <c r="X394" s="2">
        <f>Table4[[#This Row],[av_lin]]-2*Table4[[#This Row],[std_lin]]</f>
        <v>-1</v>
      </c>
      <c r="Y394" s="2">
        <f>Table4[[#This Row],[av_lin]]+2*Table4[[#This Row],[std_lin]]</f>
        <v>3</v>
      </c>
    </row>
    <row r="395" spans="1:25" x14ac:dyDescent="0.35">
      <c r="A395" s="1">
        <v>442</v>
      </c>
      <c r="B395" t="s">
        <v>75</v>
      </c>
      <c r="C395" t="s">
        <v>253</v>
      </c>
      <c r="D395" t="s">
        <v>419</v>
      </c>
      <c r="E395" s="2">
        <v>3.994340740740741</v>
      </c>
      <c r="F395" s="2">
        <v>6.1556924987129253</v>
      </c>
      <c r="G395">
        <v>27</v>
      </c>
      <c r="H395" t="s">
        <v>58</v>
      </c>
      <c r="M395" s="2">
        <v>16.30572573816659</v>
      </c>
      <c r="N395" s="2">
        <v>-8.3170442566851097</v>
      </c>
      <c r="O395" s="2">
        <v>24.622769994851701</v>
      </c>
      <c r="P395" s="2">
        <v>0.64888568452305007</v>
      </c>
      <c r="R395" t="str">
        <f t="shared" si="18"/>
        <v>yes</v>
      </c>
      <c r="S395" t="str">
        <f t="shared" si="19"/>
        <v>no</v>
      </c>
      <c r="T3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5" s="2" t="b">
        <f t="shared" si="20"/>
        <v>0</v>
      </c>
      <c r="V395" s="2">
        <f>IF(Table4[[#This Row],[linear?]],Table4[[#This Row],[av]],10^(Table4[[#This Row],[av]]/10))</f>
        <v>2.508615342615431</v>
      </c>
      <c r="W395" s="2">
        <f>IF(Table4[[#This Row],[linear?]],Table4[[#This Row],[av]],10^(Table4[[#This Row],[av]]/10))</f>
        <v>2.508615342615431</v>
      </c>
      <c r="X395" s="2">
        <f>Table4[[#This Row],[av_lin]]-2*Table4[[#This Row],[std_lin]]</f>
        <v>-2.508615342615431</v>
      </c>
      <c r="Y395" s="2">
        <f>Table4[[#This Row],[av_lin]]+2*Table4[[#This Row],[std_lin]]</f>
        <v>7.5258460278462929</v>
      </c>
    </row>
    <row r="396" spans="1:25" x14ac:dyDescent="0.35">
      <c r="A396" s="1">
        <v>443</v>
      </c>
      <c r="B396" t="s">
        <v>75</v>
      </c>
      <c r="C396" t="s">
        <v>253</v>
      </c>
      <c r="D396" t="s">
        <v>420</v>
      </c>
      <c r="E396" s="2">
        <v>0</v>
      </c>
      <c r="F396" s="2">
        <v>0</v>
      </c>
      <c r="G396">
        <v>27</v>
      </c>
      <c r="H396" t="s">
        <v>58</v>
      </c>
      <c r="M396" s="2">
        <v>0</v>
      </c>
      <c r="N396" s="2">
        <v>0</v>
      </c>
      <c r="O396" s="2">
        <v>0</v>
      </c>
      <c r="R396" t="str">
        <f t="shared" si="18"/>
        <v>yes</v>
      </c>
      <c r="S396" t="str">
        <f t="shared" si="19"/>
        <v>no</v>
      </c>
      <c r="T3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6" s="2" t="b">
        <f t="shared" si="20"/>
        <v>0</v>
      </c>
      <c r="V396" s="2">
        <f>IF(Table4[[#This Row],[linear?]],Table4[[#This Row],[av]],10^(Table4[[#This Row],[av]]/10))</f>
        <v>1</v>
      </c>
      <c r="W396" s="2">
        <f>IF(Table4[[#This Row],[linear?]],Table4[[#This Row],[av]],10^(Table4[[#This Row],[av]]/10))</f>
        <v>1</v>
      </c>
      <c r="X396" s="2">
        <f>Table4[[#This Row],[av_lin]]-2*Table4[[#This Row],[std_lin]]</f>
        <v>-1</v>
      </c>
      <c r="Y396" s="2">
        <f>Table4[[#This Row],[av_lin]]+2*Table4[[#This Row],[std_lin]]</f>
        <v>3</v>
      </c>
    </row>
    <row r="397" spans="1:25" x14ac:dyDescent="0.35">
      <c r="A397" s="1">
        <v>444</v>
      </c>
      <c r="B397" t="s">
        <v>75</v>
      </c>
      <c r="C397" t="s">
        <v>253</v>
      </c>
      <c r="D397" t="s">
        <v>421</v>
      </c>
      <c r="E397" s="2">
        <v>11.03201111111111</v>
      </c>
      <c r="F397" s="2">
        <v>17.261456997671701</v>
      </c>
      <c r="G397">
        <v>27</v>
      </c>
      <c r="H397" t="s">
        <v>58</v>
      </c>
      <c r="M397" s="2">
        <v>45.554925106454512</v>
      </c>
      <c r="N397" s="2">
        <v>-23.490902884232291</v>
      </c>
      <c r="O397" s="2">
        <v>69.045827990686803</v>
      </c>
      <c r="P397" s="2">
        <v>0.63911239431289923</v>
      </c>
      <c r="R397" t="str">
        <f t="shared" si="18"/>
        <v>yes</v>
      </c>
      <c r="S397" t="str">
        <f t="shared" si="19"/>
        <v>no</v>
      </c>
      <c r="T3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7" s="2" t="b">
        <f t="shared" si="20"/>
        <v>1</v>
      </c>
      <c r="V397" s="2">
        <f>IF(Table4[[#This Row],[linear?]],Table4[[#This Row],[av]],10^(Table4[[#This Row],[av]]/10))</f>
        <v>11.03201111111111</v>
      </c>
      <c r="W397" s="2">
        <f>IF(Table4[[#This Row],[linear?]],Table4[[#This Row],[av]],10^(Table4[[#This Row],[av]]/10))</f>
        <v>11.03201111111111</v>
      </c>
      <c r="X397" s="2">
        <f>Table4[[#This Row],[av_lin]]-2*Table4[[#This Row],[std_lin]]</f>
        <v>-11.03201111111111</v>
      </c>
      <c r="Y397" s="2">
        <f>Table4[[#This Row],[av_lin]]+2*Table4[[#This Row],[std_lin]]</f>
        <v>33.096033333333331</v>
      </c>
    </row>
    <row r="398" spans="1:25" x14ac:dyDescent="0.35">
      <c r="A398" s="1">
        <v>445</v>
      </c>
      <c r="B398" t="s">
        <v>75</v>
      </c>
      <c r="C398" t="s">
        <v>253</v>
      </c>
      <c r="D398" t="s">
        <v>422</v>
      </c>
      <c r="E398" s="2">
        <v>32.114281481481477</v>
      </c>
      <c r="F398" s="2">
        <v>67.462804825918894</v>
      </c>
      <c r="G398">
        <v>27</v>
      </c>
      <c r="H398" t="s">
        <v>58</v>
      </c>
      <c r="M398" s="2">
        <v>167.03989113331929</v>
      </c>
      <c r="N398" s="2">
        <v>-102.8113281703563</v>
      </c>
      <c r="O398" s="2">
        <v>269.85121930367558</v>
      </c>
      <c r="P398" s="2">
        <v>0.47602944414109682</v>
      </c>
      <c r="R398" t="str">
        <f t="shared" si="18"/>
        <v>yes</v>
      </c>
      <c r="S398" t="str">
        <f t="shared" si="19"/>
        <v>no</v>
      </c>
      <c r="T3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8" s="2" t="b">
        <f t="shared" si="20"/>
        <v>0</v>
      </c>
      <c r="V398" s="2">
        <f>IF(Table4[[#This Row],[linear?]],Table4[[#This Row],[av]],10^(Table4[[#This Row],[av]]/10))</f>
        <v>1627.15208918952</v>
      </c>
      <c r="W398" s="2">
        <f>IF(Table4[[#This Row],[linear?]],Table4[[#This Row],[av]],10^(Table4[[#This Row],[av]]/10))</f>
        <v>1627.15208918952</v>
      </c>
      <c r="X398" s="2">
        <f>Table4[[#This Row],[av_lin]]-2*Table4[[#This Row],[std_lin]]</f>
        <v>-1627.15208918952</v>
      </c>
      <c r="Y398" s="2">
        <f>Table4[[#This Row],[av_lin]]+2*Table4[[#This Row],[std_lin]]</f>
        <v>4881.4562675685602</v>
      </c>
    </row>
    <row r="399" spans="1:25" x14ac:dyDescent="0.35">
      <c r="A399" s="1">
        <v>446</v>
      </c>
      <c r="B399" t="s">
        <v>75</v>
      </c>
      <c r="C399" t="s">
        <v>253</v>
      </c>
      <c r="D399" t="s">
        <v>423</v>
      </c>
      <c r="E399" s="2">
        <v>0</v>
      </c>
      <c r="F399" s="2">
        <v>0</v>
      </c>
      <c r="G399">
        <v>27</v>
      </c>
      <c r="H399" t="s">
        <v>58</v>
      </c>
      <c r="M399" s="2">
        <v>0</v>
      </c>
      <c r="N399" s="2">
        <v>0</v>
      </c>
      <c r="O399" s="2">
        <v>0</v>
      </c>
      <c r="R399" t="str">
        <f t="shared" si="18"/>
        <v>yes</v>
      </c>
      <c r="S399" t="str">
        <f t="shared" si="19"/>
        <v>no</v>
      </c>
      <c r="T3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9" s="2" t="b">
        <f t="shared" si="20"/>
        <v>0</v>
      </c>
      <c r="V399" s="2">
        <f>IF(Table4[[#This Row],[linear?]],Table4[[#This Row],[av]],10^(Table4[[#This Row],[av]]/10))</f>
        <v>1</v>
      </c>
      <c r="W399" s="2">
        <f>IF(Table4[[#This Row],[linear?]],Table4[[#This Row],[av]],10^(Table4[[#This Row],[av]]/10))</f>
        <v>1</v>
      </c>
      <c r="X399" s="2">
        <f>Table4[[#This Row],[av_lin]]-2*Table4[[#This Row],[std_lin]]</f>
        <v>-1</v>
      </c>
      <c r="Y399" s="2">
        <f>Table4[[#This Row],[av_lin]]+2*Table4[[#This Row],[std_lin]]</f>
        <v>3</v>
      </c>
    </row>
    <row r="400" spans="1:25" x14ac:dyDescent="0.35">
      <c r="A400" s="1">
        <v>447</v>
      </c>
      <c r="B400" t="s">
        <v>75</v>
      </c>
      <c r="C400" t="s">
        <v>253</v>
      </c>
      <c r="D400" t="s">
        <v>424</v>
      </c>
      <c r="E400" s="2">
        <v>0</v>
      </c>
      <c r="F400" s="2">
        <v>0</v>
      </c>
      <c r="G400">
        <v>27</v>
      </c>
      <c r="H400" t="s">
        <v>58</v>
      </c>
      <c r="M400" s="2">
        <v>0</v>
      </c>
      <c r="N400" s="2">
        <v>0</v>
      </c>
      <c r="O400" s="2">
        <v>0</v>
      </c>
      <c r="R400" t="str">
        <f t="shared" si="18"/>
        <v>yes</v>
      </c>
      <c r="S400" t="str">
        <f t="shared" si="19"/>
        <v>no</v>
      </c>
      <c r="T4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0" s="2" t="b">
        <f t="shared" si="20"/>
        <v>0</v>
      </c>
      <c r="V400" s="2">
        <f>IF(Table4[[#This Row],[linear?]],Table4[[#This Row],[av]],10^(Table4[[#This Row],[av]]/10))</f>
        <v>1</v>
      </c>
      <c r="W400" s="2">
        <f>IF(Table4[[#This Row],[linear?]],Table4[[#This Row],[av]],10^(Table4[[#This Row],[av]]/10))</f>
        <v>1</v>
      </c>
      <c r="X400" s="2">
        <f>Table4[[#This Row],[av_lin]]-2*Table4[[#This Row],[std_lin]]</f>
        <v>-1</v>
      </c>
      <c r="Y400" s="2">
        <f>Table4[[#This Row],[av_lin]]+2*Table4[[#This Row],[std_lin]]</f>
        <v>3</v>
      </c>
    </row>
    <row r="401" spans="1:25" x14ac:dyDescent="0.35">
      <c r="A401" s="1">
        <v>448</v>
      </c>
      <c r="B401" t="s">
        <v>75</v>
      </c>
      <c r="C401" t="s">
        <v>253</v>
      </c>
      <c r="D401" t="s">
        <v>425</v>
      </c>
      <c r="E401" s="2">
        <v>7.4851037037037029</v>
      </c>
      <c r="F401" s="2">
        <v>15.727187340292369</v>
      </c>
      <c r="G401">
        <v>27</v>
      </c>
      <c r="H401" t="s">
        <v>58</v>
      </c>
      <c r="M401" s="2">
        <v>38.939478384288442</v>
      </c>
      <c r="N401" s="2">
        <v>-23.969270976881031</v>
      </c>
      <c r="O401" s="2">
        <v>62.908749361169477</v>
      </c>
      <c r="P401" s="2">
        <v>0.47593403332375861</v>
      </c>
      <c r="R401" t="str">
        <f t="shared" si="18"/>
        <v>yes</v>
      </c>
      <c r="S401" t="str">
        <f t="shared" si="19"/>
        <v>no</v>
      </c>
      <c r="T4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1" s="2" t="b">
        <f t="shared" si="20"/>
        <v>1</v>
      </c>
      <c r="V401" s="2">
        <f>IF(Table4[[#This Row],[linear?]],Table4[[#This Row],[av]],10^(Table4[[#This Row],[av]]/10))</f>
        <v>7.4851037037037029</v>
      </c>
      <c r="W401" s="2">
        <f>IF(Table4[[#This Row],[linear?]],Table4[[#This Row],[av]],10^(Table4[[#This Row],[av]]/10))</f>
        <v>7.4851037037037029</v>
      </c>
      <c r="X401" s="2">
        <f>Table4[[#This Row],[av_lin]]-2*Table4[[#This Row],[std_lin]]</f>
        <v>-7.4851037037037029</v>
      </c>
      <c r="Y401" s="2">
        <f>Table4[[#This Row],[av_lin]]+2*Table4[[#This Row],[std_lin]]</f>
        <v>22.455311111111108</v>
      </c>
    </row>
    <row r="402" spans="1:25" x14ac:dyDescent="0.35">
      <c r="A402" s="1">
        <v>449</v>
      </c>
      <c r="B402" t="s">
        <v>75</v>
      </c>
      <c r="C402" t="s">
        <v>253</v>
      </c>
      <c r="D402" t="s">
        <v>426</v>
      </c>
      <c r="E402" s="2">
        <v>25.414029629629631</v>
      </c>
      <c r="F402" s="2">
        <v>55.535888688712333</v>
      </c>
      <c r="G402">
        <v>27</v>
      </c>
      <c r="H402" t="s">
        <v>58</v>
      </c>
      <c r="M402" s="2">
        <v>136.48580700705429</v>
      </c>
      <c r="N402" s="2">
        <v>-85.657747747795042</v>
      </c>
      <c r="O402" s="2">
        <v>222.1435547548493</v>
      </c>
      <c r="P402" s="2">
        <v>0.4576145305260062</v>
      </c>
      <c r="R402" t="str">
        <f t="shared" si="18"/>
        <v>yes</v>
      </c>
      <c r="S402" t="str">
        <f t="shared" si="19"/>
        <v>no</v>
      </c>
      <c r="T4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2" s="2" t="b">
        <f t="shared" si="20"/>
        <v>0</v>
      </c>
      <c r="V402" s="2">
        <f>IF(Table4[[#This Row],[linear?]],Table4[[#This Row],[av]],10^(Table4[[#This Row],[av]]/10))</f>
        <v>347.85877477989663</v>
      </c>
      <c r="W402" s="2">
        <f>IF(Table4[[#This Row],[linear?]],Table4[[#This Row],[av]],10^(Table4[[#This Row],[av]]/10))</f>
        <v>347.85877477989663</v>
      </c>
      <c r="X402" s="2">
        <f>Table4[[#This Row],[av_lin]]-2*Table4[[#This Row],[std_lin]]</f>
        <v>-347.85877477989663</v>
      </c>
      <c r="Y402" s="2">
        <f>Table4[[#This Row],[av_lin]]+2*Table4[[#This Row],[std_lin]]</f>
        <v>1043.57632433969</v>
      </c>
    </row>
    <row r="403" spans="1:25" x14ac:dyDescent="0.35">
      <c r="A403" s="1">
        <v>450</v>
      </c>
      <c r="B403" t="s">
        <v>75</v>
      </c>
      <c r="C403" t="s">
        <v>253</v>
      </c>
      <c r="D403" t="s">
        <v>427</v>
      </c>
      <c r="E403" s="2">
        <v>0</v>
      </c>
      <c r="F403" s="2">
        <v>0</v>
      </c>
      <c r="G403">
        <v>27</v>
      </c>
      <c r="H403" t="s">
        <v>58</v>
      </c>
      <c r="M403" s="2">
        <v>0</v>
      </c>
      <c r="N403" s="2">
        <v>0</v>
      </c>
      <c r="O403" s="2">
        <v>0</v>
      </c>
      <c r="R403" t="str">
        <f t="shared" si="18"/>
        <v>yes</v>
      </c>
      <c r="S403" t="str">
        <f t="shared" si="19"/>
        <v>no</v>
      </c>
      <c r="T4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3" s="2" t="b">
        <f t="shared" si="20"/>
        <v>0</v>
      </c>
      <c r="V403" s="2">
        <f>IF(Table4[[#This Row],[linear?]],Table4[[#This Row],[av]],10^(Table4[[#This Row],[av]]/10))</f>
        <v>1</v>
      </c>
      <c r="W403" s="2">
        <f>IF(Table4[[#This Row],[linear?]],Table4[[#This Row],[av]],10^(Table4[[#This Row],[av]]/10))</f>
        <v>1</v>
      </c>
      <c r="X403" s="2">
        <f>Table4[[#This Row],[av_lin]]-2*Table4[[#This Row],[std_lin]]</f>
        <v>-1</v>
      </c>
      <c r="Y403" s="2">
        <f>Table4[[#This Row],[av_lin]]+2*Table4[[#This Row],[std_lin]]</f>
        <v>3</v>
      </c>
    </row>
    <row r="404" spans="1:25" x14ac:dyDescent="0.35">
      <c r="A404" s="1">
        <v>451</v>
      </c>
      <c r="B404" t="s">
        <v>75</v>
      </c>
      <c r="C404" t="s">
        <v>253</v>
      </c>
      <c r="D404" t="s">
        <v>428</v>
      </c>
      <c r="E404" s="2">
        <v>0</v>
      </c>
      <c r="F404" s="2">
        <v>0</v>
      </c>
      <c r="G404">
        <v>27</v>
      </c>
      <c r="H404" t="s">
        <v>58</v>
      </c>
      <c r="M404" s="2">
        <v>0</v>
      </c>
      <c r="N404" s="2">
        <v>0</v>
      </c>
      <c r="O404" s="2">
        <v>0</v>
      </c>
      <c r="R404" t="str">
        <f t="shared" si="18"/>
        <v>yes</v>
      </c>
      <c r="S404" t="str">
        <f t="shared" si="19"/>
        <v>no</v>
      </c>
      <c r="T4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4" s="2" t="b">
        <f t="shared" si="20"/>
        <v>0</v>
      </c>
      <c r="V404" s="2">
        <f>IF(Table4[[#This Row],[linear?]],Table4[[#This Row],[av]],10^(Table4[[#This Row],[av]]/10))</f>
        <v>1</v>
      </c>
      <c r="W404" s="2">
        <f>IF(Table4[[#This Row],[linear?]],Table4[[#This Row],[av]],10^(Table4[[#This Row],[av]]/10))</f>
        <v>1</v>
      </c>
      <c r="X404" s="2">
        <f>Table4[[#This Row],[av_lin]]-2*Table4[[#This Row],[std_lin]]</f>
        <v>-1</v>
      </c>
      <c r="Y404" s="2">
        <f>Table4[[#This Row],[av_lin]]+2*Table4[[#This Row],[std_lin]]</f>
        <v>3</v>
      </c>
    </row>
    <row r="405" spans="1:25" x14ac:dyDescent="0.35">
      <c r="A405" s="1">
        <v>452</v>
      </c>
      <c r="B405" t="s">
        <v>75</v>
      </c>
      <c r="C405" t="s">
        <v>253</v>
      </c>
      <c r="D405" t="s">
        <v>429</v>
      </c>
      <c r="E405" s="2">
        <v>7.2721370370370364</v>
      </c>
      <c r="F405" s="2">
        <v>15.31924980063266</v>
      </c>
      <c r="G405">
        <v>27</v>
      </c>
      <c r="H405" t="s">
        <v>58</v>
      </c>
      <c r="M405" s="2">
        <v>37.910636638302357</v>
      </c>
      <c r="N405" s="2">
        <v>-23.366362564228279</v>
      </c>
      <c r="O405" s="2">
        <v>61.276999202530639</v>
      </c>
      <c r="P405" s="2">
        <v>0.47470581991141042</v>
      </c>
      <c r="R405" t="str">
        <f t="shared" si="18"/>
        <v>yes</v>
      </c>
      <c r="S405" t="str">
        <f t="shared" si="19"/>
        <v>no</v>
      </c>
      <c r="T4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5" s="2" t="b">
        <f t="shared" si="20"/>
        <v>1</v>
      </c>
      <c r="V405" s="2">
        <f>IF(Table4[[#This Row],[linear?]],Table4[[#This Row],[av]],10^(Table4[[#This Row],[av]]/10))</f>
        <v>7.2721370370370364</v>
      </c>
      <c r="W405" s="2">
        <f>IF(Table4[[#This Row],[linear?]],Table4[[#This Row],[av]],10^(Table4[[#This Row],[av]]/10))</f>
        <v>7.2721370370370364</v>
      </c>
      <c r="X405" s="2">
        <f>Table4[[#This Row],[av_lin]]-2*Table4[[#This Row],[std_lin]]</f>
        <v>-7.2721370370370364</v>
      </c>
      <c r="Y405" s="2">
        <f>Table4[[#This Row],[av_lin]]+2*Table4[[#This Row],[std_lin]]</f>
        <v>21.816411111111108</v>
      </c>
    </row>
    <row r="406" spans="1:25" x14ac:dyDescent="0.35">
      <c r="A406" s="1">
        <v>453</v>
      </c>
      <c r="B406" t="s">
        <v>75</v>
      </c>
      <c r="C406" t="s">
        <v>253</v>
      </c>
      <c r="D406" t="s">
        <v>430</v>
      </c>
      <c r="E406" s="2">
        <v>32.700833333333343</v>
      </c>
      <c r="F406" s="2">
        <v>68.610256696610676</v>
      </c>
      <c r="G406">
        <v>27</v>
      </c>
      <c r="H406" t="s">
        <v>58</v>
      </c>
      <c r="M406" s="2">
        <v>169.9213467265547</v>
      </c>
      <c r="N406" s="2">
        <v>-104.519680059888</v>
      </c>
      <c r="O406" s="2">
        <v>274.44102678644271</v>
      </c>
      <c r="P406" s="2">
        <v>0.47661727134958748</v>
      </c>
      <c r="R406" t="str">
        <f t="shared" si="18"/>
        <v>yes</v>
      </c>
      <c r="S406" t="str">
        <f t="shared" si="19"/>
        <v>no</v>
      </c>
      <c r="T4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6" s="2" t="b">
        <f t="shared" si="20"/>
        <v>0</v>
      </c>
      <c r="V406" s="2">
        <f>IF(Table4[[#This Row],[linear?]],Table4[[#This Row],[av]],10^(Table4[[#This Row],[av]]/10))</f>
        <v>1862.4444721184761</v>
      </c>
      <c r="W406" s="2">
        <f>IF(Table4[[#This Row],[linear?]],Table4[[#This Row],[av]],10^(Table4[[#This Row],[av]]/10))</f>
        <v>1862.4444721184761</v>
      </c>
      <c r="X406" s="2">
        <f>Table4[[#This Row],[av_lin]]-2*Table4[[#This Row],[std_lin]]</f>
        <v>-1862.4444721184761</v>
      </c>
      <c r="Y406" s="2">
        <f>Table4[[#This Row],[av_lin]]+2*Table4[[#This Row],[std_lin]]</f>
        <v>5587.3334163554282</v>
      </c>
    </row>
    <row r="407" spans="1:25" x14ac:dyDescent="0.35">
      <c r="A407" s="1">
        <v>454</v>
      </c>
      <c r="B407" t="s">
        <v>75</v>
      </c>
      <c r="C407" t="s">
        <v>253</v>
      </c>
      <c r="D407" t="s">
        <v>431</v>
      </c>
      <c r="E407" s="2">
        <v>0</v>
      </c>
      <c r="F407" s="2">
        <v>0</v>
      </c>
      <c r="G407">
        <v>27</v>
      </c>
      <c r="H407" t="s">
        <v>58</v>
      </c>
      <c r="M407" s="2">
        <v>0</v>
      </c>
      <c r="N407" s="2">
        <v>0</v>
      </c>
      <c r="O407" s="2">
        <v>0</v>
      </c>
      <c r="R407" t="str">
        <f t="shared" si="18"/>
        <v>yes</v>
      </c>
      <c r="S407" t="str">
        <f t="shared" si="19"/>
        <v>no</v>
      </c>
      <c r="T4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7" s="2" t="b">
        <f t="shared" si="20"/>
        <v>0</v>
      </c>
      <c r="V407" s="2">
        <f>IF(Table4[[#This Row],[linear?]],Table4[[#This Row],[av]],10^(Table4[[#This Row],[av]]/10))</f>
        <v>1</v>
      </c>
      <c r="W407" s="2">
        <f>IF(Table4[[#This Row],[linear?]],Table4[[#This Row],[av]],10^(Table4[[#This Row],[av]]/10))</f>
        <v>1</v>
      </c>
      <c r="X407" s="2">
        <f>Table4[[#This Row],[av_lin]]-2*Table4[[#This Row],[std_lin]]</f>
        <v>-1</v>
      </c>
      <c r="Y407" s="2">
        <f>Table4[[#This Row],[av_lin]]+2*Table4[[#This Row],[std_lin]]</f>
        <v>3</v>
      </c>
    </row>
    <row r="408" spans="1:25" x14ac:dyDescent="0.35">
      <c r="A408" s="1">
        <v>455</v>
      </c>
      <c r="B408" t="s">
        <v>75</v>
      </c>
      <c r="C408" t="s">
        <v>253</v>
      </c>
      <c r="D408" t="s">
        <v>432</v>
      </c>
      <c r="E408" s="2">
        <v>0</v>
      </c>
      <c r="F408" s="2">
        <v>0</v>
      </c>
      <c r="G408">
        <v>27</v>
      </c>
      <c r="H408" t="s">
        <v>58</v>
      </c>
      <c r="M408" s="2">
        <v>0</v>
      </c>
      <c r="N408" s="2">
        <v>0</v>
      </c>
      <c r="O408" s="2">
        <v>0</v>
      </c>
      <c r="R408" t="str">
        <f t="shared" si="18"/>
        <v>yes</v>
      </c>
      <c r="S408" t="str">
        <f t="shared" si="19"/>
        <v>no</v>
      </c>
      <c r="T4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8" s="2" t="b">
        <f t="shared" si="20"/>
        <v>0</v>
      </c>
      <c r="V408" s="2">
        <f>IF(Table4[[#This Row],[linear?]],Table4[[#This Row],[av]],10^(Table4[[#This Row],[av]]/10))</f>
        <v>1</v>
      </c>
      <c r="W408" s="2">
        <f>IF(Table4[[#This Row],[linear?]],Table4[[#This Row],[av]],10^(Table4[[#This Row],[av]]/10))</f>
        <v>1</v>
      </c>
      <c r="X408" s="2">
        <f>Table4[[#This Row],[av_lin]]-2*Table4[[#This Row],[std_lin]]</f>
        <v>-1</v>
      </c>
      <c r="Y408" s="2">
        <f>Table4[[#This Row],[av_lin]]+2*Table4[[#This Row],[std_lin]]</f>
        <v>3</v>
      </c>
    </row>
    <row r="409" spans="1:25" x14ac:dyDescent="0.35">
      <c r="A409" s="1">
        <v>456</v>
      </c>
      <c r="B409" t="s">
        <v>75</v>
      </c>
      <c r="C409" t="s">
        <v>253</v>
      </c>
      <c r="D409" t="s">
        <v>433</v>
      </c>
      <c r="E409" s="2">
        <v>6.8284592592592581</v>
      </c>
      <c r="F409" s="2">
        <v>14.355520737339759</v>
      </c>
      <c r="G409">
        <v>27</v>
      </c>
      <c r="H409" t="s">
        <v>58</v>
      </c>
      <c r="M409" s="2">
        <v>35.53950073393878</v>
      </c>
      <c r="N409" s="2">
        <v>-21.88258221542026</v>
      </c>
      <c r="O409" s="2">
        <v>57.422082949359037</v>
      </c>
      <c r="P409" s="2">
        <v>0.47566782035972649</v>
      </c>
      <c r="R409" t="str">
        <f t="shared" si="18"/>
        <v>yes</v>
      </c>
      <c r="S409" t="str">
        <f t="shared" si="19"/>
        <v>no</v>
      </c>
      <c r="T4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9" s="2" t="b">
        <f t="shared" si="20"/>
        <v>1</v>
      </c>
      <c r="V409" s="2">
        <f>IF(Table4[[#This Row],[linear?]],Table4[[#This Row],[av]],10^(Table4[[#This Row],[av]]/10))</f>
        <v>6.8284592592592581</v>
      </c>
      <c r="W409" s="2">
        <f>IF(Table4[[#This Row],[linear?]],Table4[[#This Row],[av]],10^(Table4[[#This Row],[av]]/10))</f>
        <v>6.8284592592592581</v>
      </c>
      <c r="X409" s="2">
        <f>Table4[[#This Row],[av_lin]]-2*Table4[[#This Row],[std_lin]]</f>
        <v>-6.8284592592592581</v>
      </c>
      <c r="Y409" s="2">
        <f>Table4[[#This Row],[av_lin]]+2*Table4[[#This Row],[std_lin]]</f>
        <v>20.485377777777774</v>
      </c>
    </row>
    <row r="410" spans="1:25" x14ac:dyDescent="0.35">
      <c r="A410" s="1">
        <v>457</v>
      </c>
      <c r="B410" t="s">
        <v>75</v>
      </c>
      <c r="C410" t="s">
        <v>253</v>
      </c>
      <c r="D410" t="s">
        <v>434</v>
      </c>
      <c r="E410" s="2">
        <v>26.26453703703703</v>
      </c>
      <c r="F410" s="2">
        <v>58.666581163278259</v>
      </c>
      <c r="G410">
        <v>27</v>
      </c>
      <c r="H410" t="s">
        <v>58</v>
      </c>
      <c r="M410" s="2">
        <v>143.59769936359359</v>
      </c>
      <c r="N410" s="2">
        <v>-91.068625289519488</v>
      </c>
      <c r="O410" s="2">
        <v>234.66632465311309</v>
      </c>
      <c r="P410" s="2">
        <v>0.44769162470774843</v>
      </c>
      <c r="R410" t="str">
        <f t="shared" si="18"/>
        <v>yes</v>
      </c>
      <c r="S410" t="str">
        <f t="shared" si="19"/>
        <v>no</v>
      </c>
      <c r="T4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0" s="2" t="b">
        <f t="shared" si="20"/>
        <v>0</v>
      </c>
      <c r="V410" s="2">
        <f>IF(Table4[[#This Row],[linear?]],Table4[[#This Row],[av]],10^(Table4[[#This Row],[av]]/10))</f>
        <v>423.11040325193841</v>
      </c>
      <c r="W410" s="2">
        <f>IF(Table4[[#This Row],[linear?]],Table4[[#This Row],[av]],10^(Table4[[#This Row],[av]]/10))</f>
        <v>423.11040325193841</v>
      </c>
      <c r="X410" s="2">
        <f>Table4[[#This Row],[av_lin]]-2*Table4[[#This Row],[std_lin]]</f>
        <v>-423.11040325193841</v>
      </c>
      <c r="Y410" s="2">
        <f>Table4[[#This Row],[av_lin]]+2*Table4[[#This Row],[std_lin]]</f>
        <v>1269.3312097558153</v>
      </c>
    </row>
    <row r="411" spans="1:25" x14ac:dyDescent="0.35">
      <c r="A411" s="1">
        <v>458</v>
      </c>
      <c r="B411" t="s">
        <v>75</v>
      </c>
      <c r="C411" t="s">
        <v>253</v>
      </c>
      <c r="D411" t="s">
        <v>435</v>
      </c>
      <c r="E411" s="2">
        <v>0</v>
      </c>
      <c r="F411" s="2">
        <v>0</v>
      </c>
      <c r="G411">
        <v>27</v>
      </c>
      <c r="H411" t="s">
        <v>58</v>
      </c>
      <c r="M411" s="2">
        <v>0</v>
      </c>
      <c r="N411" s="2">
        <v>0</v>
      </c>
      <c r="O411" s="2">
        <v>0</v>
      </c>
      <c r="R411" t="str">
        <f t="shared" si="18"/>
        <v>yes</v>
      </c>
      <c r="S411" t="str">
        <f t="shared" si="19"/>
        <v>no</v>
      </c>
      <c r="T4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1" s="2" t="b">
        <f t="shared" si="20"/>
        <v>0</v>
      </c>
      <c r="V411" s="2">
        <f>IF(Table4[[#This Row],[linear?]],Table4[[#This Row],[av]],10^(Table4[[#This Row],[av]]/10))</f>
        <v>1</v>
      </c>
      <c r="W411" s="2">
        <f>IF(Table4[[#This Row],[linear?]],Table4[[#This Row],[av]],10^(Table4[[#This Row],[av]]/10))</f>
        <v>1</v>
      </c>
      <c r="X411" s="2">
        <f>Table4[[#This Row],[av_lin]]-2*Table4[[#This Row],[std_lin]]</f>
        <v>-1</v>
      </c>
      <c r="Y411" s="2">
        <f>Table4[[#This Row],[av_lin]]+2*Table4[[#This Row],[std_lin]]</f>
        <v>3</v>
      </c>
    </row>
    <row r="412" spans="1:25" x14ac:dyDescent="0.35">
      <c r="A412" s="1">
        <v>459</v>
      </c>
      <c r="B412" t="s">
        <v>75</v>
      </c>
      <c r="C412" t="s">
        <v>253</v>
      </c>
      <c r="D412" t="s">
        <v>436</v>
      </c>
      <c r="E412" s="2">
        <v>0</v>
      </c>
      <c r="F412" s="2">
        <v>0</v>
      </c>
      <c r="G412">
        <v>27</v>
      </c>
      <c r="H412" t="s">
        <v>58</v>
      </c>
      <c r="M412" s="2">
        <v>0</v>
      </c>
      <c r="N412" s="2">
        <v>0</v>
      </c>
      <c r="O412" s="2">
        <v>0</v>
      </c>
      <c r="R412" t="str">
        <f t="shared" si="18"/>
        <v>yes</v>
      </c>
      <c r="S412" t="str">
        <f t="shared" si="19"/>
        <v>no</v>
      </c>
      <c r="T4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2" s="2" t="b">
        <f t="shared" si="20"/>
        <v>0</v>
      </c>
      <c r="V412" s="2">
        <f>IF(Table4[[#This Row],[linear?]],Table4[[#This Row],[av]],10^(Table4[[#This Row],[av]]/10))</f>
        <v>1</v>
      </c>
      <c r="W412" s="2">
        <f>IF(Table4[[#This Row],[linear?]],Table4[[#This Row],[av]],10^(Table4[[#This Row],[av]]/10))</f>
        <v>1</v>
      </c>
      <c r="X412" s="2">
        <f>Table4[[#This Row],[av_lin]]-2*Table4[[#This Row],[std_lin]]</f>
        <v>-1</v>
      </c>
      <c r="Y412" s="2">
        <f>Table4[[#This Row],[av_lin]]+2*Table4[[#This Row],[std_lin]]</f>
        <v>3</v>
      </c>
    </row>
    <row r="413" spans="1:25" x14ac:dyDescent="0.35">
      <c r="A413" s="1">
        <v>460</v>
      </c>
      <c r="B413" t="s">
        <v>75</v>
      </c>
      <c r="C413" t="s">
        <v>253</v>
      </c>
      <c r="D413" t="s">
        <v>437</v>
      </c>
      <c r="E413" s="2">
        <v>6.8462037037037033</v>
      </c>
      <c r="F413" s="2">
        <v>14.37989097100999</v>
      </c>
      <c r="G413">
        <v>27</v>
      </c>
      <c r="H413" t="s">
        <v>58</v>
      </c>
      <c r="M413" s="2">
        <v>35.605985645723678</v>
      </c>
      <c r="N413" s="2">
        <v>-21.91357823831628</v>
      </c>
      <c r="O413" s="2">
        <v>57.519563884039961</v>
      </c>
      <c r="P413" s="2">
        <v>0.47609566146959809</v>
      </c>
      <c r="R413" t="str">
        <f t="shared" si="18"/>
        <v>yes</v>
      </c>
      <c r="S413" t="str">
        <f t="shared" si="19"/>
        <v>no</v>
      </c>
      <c r="T4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3" s="2" t="b">
        <f t="shared" si="20"/>
        <v>1</v>
      </c>
      <c r="V413" s="2">
        <f>IF(Table4[[#This Row],[linear?]],Table4[[#This Row],[av]],10^(Table4[[#This Row],[av]]/10))</f>
        <v>6.8462037037037033</v>
      </c>
      <c r="W413" s="2">
        <f>IF(Table4[[#This Row],[linear?]],Table4[[#This Row],[av]],10^(Table4[[#This Row],[av]]/10))</f>
        <v>6.8462037037037033</v>
      </c>
      <c r="X413" s="2">
        <f>Table4[[#This Row],[av_lin]]-2*Table4[[#This Row],[std_lin]]</f>
        <v>-6.8462037037037033</v>
      </c>
      <c r="Y413" s="2">
        <f>Table4[[#This Row],[av_lin]]+2*Table4[[#This Row],[std_lin]]</f>
        <v>20.538611111111109</v>
      </c>
    </row>
    <row r="414" spans="1:25" x14ac:dyDescent="0.35">
      <c r="A414" s="1">
        <v>461</v>
      </c>
      <c r="B414" t="s">
        <v>75</v>
      </c>
      <c r="C414" t="s">
        <v>253</v>
      </c>
      <c r="D414" t="s">
        <v>438</v>
      </c>
      <c r="E414" s="2">
        <v>33.348981481481481</v>
      </c>
      <c r="F414" s="2">
        <v>69.953413710480604</v>
      </c>
      <c r="G414">
        <v>27</v>
      </c>
      <c r="H414" t="s">
        <v>58</v>
      </c>
      <c r="M414" s="2">
        <v>173.25580890244271</v>
      </c>
      <c r="N414" s="2">
        <v>-106.55784593947971</v>
      </c>
      <c r="O414" s="2">
        <v>279.81365484192241</v>
      </c>
      <c r="P414" s="2">
        <v>0.47673129462279618</v>
      </c>
      <c r="R414" t="str">
        <f t="shared" si="18"/>
        <v>yes</v>
      </c>
      <c r="S414" t="str">
        <f t="shared" si="19"/>
        <v>no</v>
      </c>
      <c r="T4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4" s="2" t="b">
        <f t="shared" si="20"/>
        <v>0</v>
      </c>
      <c r="V414" s="2">
        <f>IF(Table4[[#This Row],[linear?]],Table4[[#This Row],[av]],10^(Table4[[#This Row],[av]]/10))</f>
        <v>2162.2113769224356</v>
      </c>
      <c r="W414" s="2">
        <f>IF(Table4[[#This Row],[linear?]],Table4[[#This Row],[av]],10^(Table4[[#This Row],[av]]/10))</f>
        <v>2162.2113769224356</v>
      </c>
      <c r="X414" s="2">
        <f>Table4[[#This Row],[av_lin]]-2*Table4[[#This Row],[std_lin]]</f>
        <v>-2162.2113769224356</v>
      </c>
      <c r="Y414" s="2">
        <f>Table4[[#This Row],[av_lin]]+2*Table4[[#This Row],[std_lin]]</f>
        <v>6486.6341307673065</v>
      </c>
    </row>
    <row r="415" spans="1:25" x14ac:dyDescent="0.35">
      <c r="A415" s="1">
        <v>462</v>
      </c>
      <c r="B415" t="s">
        <v>75</v>
      </c>
      <c r="C415" t="s">
        <v>253</v>
      </c>
      <c r="D415" t="s">
        <v>439</v>
      </c>
      <c r="E415" s="2">
        <v>0</v>
      </c>
      <c r="F415" s="2">
        <v>0</v>
      </c>
      <c r="G415">
        <v>27</v>
      </c>
      <c r="H415" t="s">
        <v>58</v>
      </c>
      <c r="M415" s="2">
        <v>0</v>
      </c>
      <c r="N415" s="2">
        <v>0</v>
      </c>
      <c r="O415" s="2">
        <v>0</v>
      </c>
      <c r="R415" t="str">
        <f t="shared" si="18"/>
        <v>yes</v>
      </c>
      <c r="S415" t="str">
        <f t="shared" si="19"/>
        <v>no</v>
      </c>
      <c r="T4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5" s="2" t="b">
        <f t="shared" si="20"/>
        <v>0</v>
      </c>
      <c r="V415" s="2">
        <f>IF(Table4[[#This Row],[linear?]],Table4[[#This Row],[av]],10^(Table4[[#This Row],[av]]/10))</f>
        <v>1</v>
      </c>
      <c r="W415" s="2">
        <f>IF(Table4[[#This Row],[linear?]],Table4[[#This Row],[av]],10^(Table4[[#This Row],[av]]/10))</f>
        <v>1</v>
      </c>
      <c r="X415" s="2">
        <f>Table4[[#This Row],[av_lin]]-2*Table4[[#This Row],[std_lin]]</f>
        <v>-1</v>
      </c>
      <c r="Y415" s="2">
        <f>Table4[[#This Row],[av_lin]]+2*Table4[[#This Row],[std_lin]]</f>
        <v>3</v>
      </c>
    </row>
    <row r="416" spans="1:25" x14ac:dyDescent="0.35">
      <c r="A416" s="1">
        <v>463</v>
      </c>
      <c r="B416" t="s">
        <v>75</v>
      </c>
      <c r="C416" t="s">
        <v>253</v>
      </c>
      <c r="D416" t="s">
        <v>440</v>
      </c>
      <c r="E416" s="2">
        <v>0</v>
      </c>
      <c r="F416" s="2">
        <v>0</v>
      </c>
      <c r="G416">
        <v>27</v>
      </c>
      <c r="H416" t="s">
        <v>58</v>
      </c>
      <c r="M416" s="2">
        <v>0</v>
      </c>
      <c r="N416" s="2">
        <v>0</v>
      </c>
      <c r="O416" s="2">
        <v>0</v>
      </c>
      <c r="R416" t="str">
        <f t="shared" si="18"/>
        <v>yes</v>
      </c>
      <c r="S416" t="str">
        <f t="shared" si="19"/>
        <v>no</v>
      </c>
      <c r="T4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6" s="2" t="b">
        <f t="shared" si="20"/>
        <v>0</v>
      </c>
      <c r="V416" s="2">
        <f>IF(Table4[[#This Row],[linear?]],Table4[[#This Row],[av]],10^(Table4[[#This Row],[av]]/10))</f>
        <v>1</v>
      </c>
      <c r="W416" s="2">
        <f>IF(Table4[[#This Row],[linear?]],Table4[[#This Row],[av]],10^(Table4[[#This Row],[av]]/10))</f>
        <v>1</v>
      </c>
      <c r="X416" s="2">
        <f>Table4[[#This Row],[av_lin]]-2*Table4[[#This Row],[std_lin]]</f>
        <v>-1</v>
      </c>
      <c r="Y416" s="2">
        <f>Table4[[#This Row],[av_lin]]+2*Table4[[#This Row],[std_lin]]</f>
        <v>3</v>
      </c>
    </row>
    <row r="417" spans="1:25" x14ac:dyDescent="0.35">
      <c r="A417" s="1">
        <v>464</v>
      </c>
      <c r="B417" t="s">
        <v>75</v>
      </c>
      <c r="C417" t="s">
        <v>253</v>
      </c>
      <c r="D417" t="s">
        <v>441</v>
      </c>
      <c r="E417" s="2">
        <v>6.7929629629629629</v>
      </c>
      <c r="F417" s="2">
        <v>14.26728950543731</v>
      </c>
      <c r="G417">
        <v>27</v>
      </c>
      <c r="H417" t="s">
        <v>58</v>
      </c>
      <c r="M417" s="2">
        <v>35.327541973837583</v>
      </c>
      <c r="N417" s="2">
        <v>-21.741616047911659</v>
      </c>
      <c r="O417" s="2">
        <v>57.069158021749239</v>
      </c>
      <c r="P417" s="2">
        <v>0.47612147776030922</v>
      </c>
      <c r="R417" t="str">
        <f t="shared" si="18"/>
        <v>yes</v>
      </c>
      <c r="S417" t="str">
        <f t="shared" si="19"/>
        <v>no</v>
      </c>
      <c r="T4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7" s="2" t="b">
        <f t="shared" si="20"/>
        <v>1</v>
      </c>
      <c r="V417" s="2">
        <f>IF(Table4[[#This Row],[linear?]],Table4[[#This Row],[av]],10^(Table4[[#This Row],[av]]/10))</f>
        <v>6.7929629629629629</v>
      </c>
      <c r="W417" s="2">
        <f>IF(Table4[[#This Row],[linear?]],Table4[[#This Row],[av]],10^(Table4[[#This Row],[av]]/10))</f>
        <v>6.7929629629629629</v>
      </c>
      <c r="X417" s="2">
        <f>Table4[[#This Row],[av_lin]]-2*Table4[[#This Row],[std_lin]]</f>
        <v>-6.7929629629629629</v>
      </c>
      <c r="Y417" s="2">
        <f>Table4[[#This Row],[av_lin]]+2*Table4[[#This Row],[std_lin]]</f>
        <v>20.378888888888888</v>
      </c>
    </row>
    <row r="418" spans="1:25" x14ac:dyDescent="0.35">
      <c r="A418" s="1">
        <v>465</v>
      </c>
      <c r="B418" t="s">
        <v>75</v>
      </c>
      <c r="C418" t="s">
        <v>253</v>
      </c>
      <c r="D418" t="s">
        <v>442</v>
      </c>
      <c r="E418" s="2">
        <v>27.297862962962959</v>
      </c>
      <c r="F418" s="2">
        <v>59.794251433147657</v>
      </c>
      <c r="G418">
        <v>27</v>
      </c>
      <c r="H418" t="s">
        <v>58</v>
      </c>
      <c r="M418" s="2">
        <v>146.8863658292583</v>
      </c>
      <c r="N418" s="2">
        <v>-92.290639903332362</v>
      </c>
      <c r="O418" s="2">
        <v>239.1770057325906</v>
      </c>
      <c r="P418" s="2">
        <v>0.45652988888878482</v>
      </c>
      <c r="R418" t="str">
        <f t="shared" si="18"/>
        <v>yes</v>
      </c>
      <c r="S418" t="str">
        <f t="shared" si="19"/>
        <v>no</v>
      </c>
      <c r="T4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8" s="2" t="b">
        <f t="shared" si="20"/>
        <v>0</v>
      </c>
      <c r="V418" s="2">
        <f>IF(Table4[[#This Row],[linear?]],Table4[[#This Row],[av]],10^(Table4[[#This Row],[av]]/10))</f>
        <v>536.76760362345794</v>
      </c>
      <c r="W418" s="2">
        <f>IF(Table4[[#This Row],[linear?]],Table4[[#This Row],[av]],10^(Table4[[#This Row],[av]]/10))</f>
        <v>536.76760362345794</v>
      </c>
      <c r="X418" s="2">
        <f>Table4[[#This Row],[av_lin]]-2*Table4[[#This Row],[std_lin]]</f>
        <v>-536.76760362345794</v>
      </c>
      <c r="Y418" s="2">
        <f>Table4[[#This Row],[av_lin]]+2*Table4[[#This Row],[std_lin]]</f>
        <v>1610.3028108703738</v>
      </c>
    </row>
    <row r="419" spans="1:25" x14ac:dyDescent="0.35">
      <c r="A419" s="1">
        <v>466</v>
      </c>
      <c r="B419" t="s">
        <v>75</v>
      </c>
      <c r="C419" t="s">
        <v>253</v>
      </c>
      <c r="D419" t="s">
        <v>443</v>
      </c>
      <c r="E419" s="2">
        <v>0</v>
      </c>
      <c r="F419" s="2">
        <v>0</v>
      </c>
      <c r="G419">
        <v>27</v>
      </c>
      <c r="H419" t="s">
        <v>58</v>
      </c>
      <c r="M419" s="2">
        <v>0</v>
      </c>
      <c r="N419" s="2">
        <v>0</v>
      </c>
      <c r="O419" s="2">
        <v>0</v>
      </c>
      <c r="R419" t="str">
        <f t="shared" si="18"/>
        <v>yes</v>
      </c>
      <c r="S419" t="str">
        <f t="shared" si="19"/>
        <v>no</v>
      </c>
      <c r="T4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9" s="2" t="b">
        <f t="shared" si="20"/>
        <v>0</v>
      </c>
      <c r="V419" s="2">
        <f>IF(Table4[[#This Row],[linear?]],Table4[[#This Row],[av]],10^(Table4[[#This Row],[av]]/10))</f>
        <v>1</v>
      </c>
      <c r="W419" s="2">
        <f>IF(Table4[[#This Row],[linear?]],Table4[[#This Row],[av]],10^(Table4[[#This Row],[av]]/10))</f>
        <v>1</v>
      </c>
      <c r="X419" s="2">
        <f>Table4[[#This Row],[av_lin]]-2*Table4[[#This Row],[std_lin]]</f>
        <v>-1</v>
      </c>
      <c r="Y419" s="2">
        <f>Table4[[#This Row],[av_lin]]+2*Table4[[#This Row],[std_lin]]</f>
        <v>3</v>
      </c>
    </row>
    <row r="420" spans="1:25" x14ac:dyDescent="0.35">
      <c r="A420" s="1">
        <v>467</v>
      </c>
      <c r="B420" t="s">
        <v>75</v>
      </c>
      <c r="C420" t="s">
        <v>253</v>
      </c>
      <c r="D420" t="s">
        <v>444</v>
      </c>
      <c r="E420" s="2">
        <v>0</v>
      </c>
      <c r="F420" s="2">
        <v>0</v>
      </c>
      <c r="G420">
        <v>27</v>
      </c>
      <c r="H420" t="s">
        <v>58</v>
      </c>
      <c r="M420" s="2">
        <v>0</v>
      </c>
      <c r="N420" s="2">
        <v>0</v>
      </c>
      <c r="O420" s="2">
        <v>0</v>
      </c>
      <c r="R420" t="str">
        <f t="shared" si="18"/>
        <v>yes</v>
      </c>
      <c r="S420" t="str">
        <f t="shared" si="19"/>
        <v>no</v>
      </c>
      <c r="T4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0" s="2" t="b">
        <f t="shared" si="20"/>
        <v>0</v>
      </c>
      <c r="V420" s="2">
        <f>IF(Table4[[#This Row],[linear?]],Table4[[#This Row],[av]],10^(Table4[[#This Row],[av]]/10))</f>
        <v>1</v>
      </c>
      <c r="W420" s="2">
        <f>IF(Table4[[#This Row],[linear?]],Table4[[#This Row],[av]],10^(Table4[[#This Row],[av]]/10))</f>
        <v>1</v>
      </c>
      <c r="X420" s="2">
        <f>Table4[[#This Row],[av_lin]]-2*Table4[[#This Row],[std_lin]]</f>
        <v>-1</v>
      </c>
      <c r="Y420" s="2">
        <f>Table4[[#This Row],[av_lin]]+2*Table4[[#This Row],[std_lin]]</f>
        <v>3</v>
      </c>
    </row>
    <row r="421" spans="1:25" x14ac:dyDescent="0.35">
      <c r="A421" s="1">
        <v>468</v>
      </c>
      <c r="B421" t="s">
        <v>75</v>
      </c>
      <c r="C421" t="s">
        <v>253</v>
      </c>
      <c r="D421" t="s">
        <v>445</v>
      </c>
      <c r="E421" s="2">
        <v>6.3670333333333327</v>
      </c>
      <c r="F421" s="2">
        <v>13.381936920341539</v>
      </c>
      <c r="G421">
        <v>27</v>
      </c>
      <c r="H421" t="s">
        <v>58</v>
      </c>
      <c r="M421" s="2">
        <v>33.130907174016407</v>
      </c>
      <c r="N421" s="2">
        <v>-20.396840507349751</v>
      </c>
      <c r="O421" s="2">
        <v>53.527747681366172</v>
      </c>
      <c r="P421" s="2">
        <v>0.47579310612763148</v>
      </c>
      <c r="R421" t="str">
        <f t="shared" si="18"/>
        <v>yes</v>
      </c>
      <c r="S421" t="str">
        <f t="shared" si="19"/>
        <v>no</v>
      </c>
      <c r="T4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1" s="2" t="b">
        <f t="shared" si="20"/>
        <v>1</v>
      </c>
      <c r="V421" s="2">
        <f>IF(Table4[[#This Row],[linear?]],Table4[[#This Row],[av]],10^(Table4[[#This Row],[av]]/10))</f>
        <v>6.3670333333333327</v>
      </c>
      <c r="W421" s="2">
        <f>IF(Table4[[#This Row],[linear?]],Table4[[#This Row],[av]],10^(Table4[[#This Row],[av]]/10))</f>
        <v>6.3670333333333327</v>
      </c>
      <c r="X421" s="2">
        <f>Table4[[#This Row],[av_lin]]-2*Table4[[#This Row],[std_lin]]</f>
        <v>-6.3670333333333327</v>
      </c>
      <c r="Y421" s="2">
        <f>Table4[[#This Row],[av_lin]]+2*Table4[[#This Row],[std_lin]]</f>
        <v>19.101099999999999</v>
      </c>
    </row>
    <row r="422" spans="1:25" x14ac:dyDescent="0.35">
      <c r="A422" s="1">
        <v>469</v>
      </c>
      <c r="B422" t="s">
        <v>75</v>
      </c>
      <c r="C422" t="s">
        <v>253</v>
      </c>
      <c r="D422" t="s">
        <v>446</v>
      </c>
      <c r="E422" s="2">
        <v>0</v>
      </c>
      <c r="F422" s="2">
        <v>0</v>
      </c>
      <c r="G422">
        <v>27</v>
      </c>
      <c r="H422" t="s">
        <v>58</v>
      </c>
      <c r="M422" s="2">
        <v>0</v>
      </c>
      <c r="N422" s="2">
        <v>0</v>
      </c>
      <c r="O422" s="2">
        <v>0</v>
      </c>
      <c r="R422" t="str">
        <f t="shared" si="18"/>
        <v>yes</v>
      </c>
      <c r="S422" t="str">
        <f t="shared" si="19"/>
        <v>no</v>
      </c>
      <c r="T4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2" s="2" t="b">
        <f t="shared" si="20"/>
        <v>0</v>
      </c>
      <c r="V422" s="2">
        <f>IF(Table4[[#This Row],[linear?]],Table4[[#This Row],[av]],10^(Table4[[#This Row],[av]]/10))</f>
        <v>1</v>
      </c>
      <c r="W422" s="2">
        <f>IF(Table4[[#This Row],[linear?]],Table4[[#This Row],[av]],10^(Table4[[#This Row],[av]]/10))</f>
        <v>1</v>
      </c>
      <c r="X422" s="2">
        <f>Table4[[#This Row],[av_lin]]-2*Table4[[#This Row],[std_lin]]</f>
        <v>-1</v>
      </c>
      <c r="Y422" s="2">
        <f>Table4[[#This Row],[av_lin]]+2*Table4[[#This Row],[std_lin]]</f>
        <v>3</v>
      </c>
    </row>
    <row r="423" spans="1:25" x14ac:dyDescent="0.35">
      <c r="A423" s="1">
        <v>470</v>
      </c>
      <c r="B423" t="s">
        <v>75</v>
      </c>
      <c r="C423" t="s">
        <v>253</v>
      </c>
      <c r="D423" t="s">
        <v>447</v>
      </c>
      <c r="E423" s="2">
        <v>2.9957555555555562</v>
      </c>
      <c r="F423" s="2">
        <v>5.6045454517067581</v>
      </c>
      <c r="G423">
        <v>27</v>
      </c>
      <c r="H423" t="s">
        <v>58</v>
      </c>
      <c r="M423" s="2">
        <v>14.204846458969071</v>
      </c>
      <c r="N423" s="2">
        <v>-8.21333534785796</v>
      </c>
      <c r="O423" s="2">
        <v>22.418181806827029</v>
      </c>
      <c r="P423" s="2">
        <v>0.5345224838248489</v>
      </c>
      <c r="R423" t="str">
        <f t="shared" si="18"/>
        <v>yes</v>
      </c>
      <c r="S423" t="str">
        <f t="shared" si="19"/>
        <v>no</v>
      </c>
      <c r="T4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3" s="2" t="b">
        <f t="shared" si="20"/>
        <v>0</v>
      </c>
      <c r="V423" s="2">
        <f>IF(Table4[[#This Row],[linear?]],Table4[[#This Row],[av]],10^(Table4[[#This Row],[av]]/10))</f>
        <v>1.9933132588797982</v>
      </c>
      <c r="W423" s="2">
        <f>IF(Table4[[#This Row],[linear?]],Table4[[#This Row],[av]],10^(Table4[[#This Row],[av]]/10))</f>
        <v>1.9933132588797982</v>
      </c>
      <c r="X423" s="2">
        <f>Table4[[#This Row],[av_lin]]-2*Table4[[#This Row],[std_lin]]</f>
        <v>-1.9933132588797982</v>
      </c>
      <c r="Y423" s="2">
        <f>Table4[[#This Row],[av_lin]]+2*Table4[[#This Row],[std_lin]]</f>
        <v>5.9799397766393945</v>
      </c>
    </row>
    <row r="424" spans="1:25" x14ac:dyDescent="0.35">
      <c r="A424" s="1">
        <v>471</v>
      </c>
      <c r="B424" t="s">
        <v>75</v>
      </c>
      <c r="C424" t="s">
        <v>253</v>
      </c>
      <c r="D424" t="s">
        <v>448</v>
      </c>
      <c r="E424" s="2">
        <v>0</v>
      </c>
      <c r="F424" s="2">
        <v>0</v>
      </c>
      <c r="G424">
        <v>27</v>
      </c>
      <c r="H424" t="s">
        <v>58</v>
      </c>
      <c r="M424" s="2">
        <v>0</v>
      </c>
      <c r="N424" s="2">
        <v>0</v>
      </c>
      <c r="O424" s="2">
        <v>0</v>
      </c>
      <c r="R424" t="str">
        <f t="shared" si="18"/>
        <v>yes</v>
      </c>
      <c r="S424" t="str">
        <f t="shared" si="19"/>
        <v>no</v>
      </c>
      <c r="T4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4" s="2" t="b">
        <f t="shared" si="20"/>
        <v>0</v>
      </c>
      <c r="V424" s="2">
        <f>IF(Table4[[#This Row],[linear?]],Table4[[#This Row],[av]],10^(Table4[[#This Row],[av]]/10))</f>
        <v>1</v>
      </c>
      <c r="W424" s="2">
        <f>IF(Table4[[#This Row],[linear?]],Table4[[#This Row],[av]],10^(Table4[[#This Row],[av]]/10))</f>
        <v>1</v>
      </c>
      <c r="X424" s="2">
        <f>Table4[[#This Row],[av_lin]]-2*Table4[[#This Row],[std_lin]]</f>
        <v>-1</v>
      </c>
      <c r="Y424" s="2">
        <f>Table4[[#This Row],[av_lin]]+2*Table4[[#This Row],[std_lin]]</f>
        <v>3</v>
      </c>
    </row>
    <row r="425" spans="1:25" x14ac:dyDescent="0.35">
      <c r="A425" s="1">
        <v>472</v>
      </c>
      <c r="B425" t="s">
        <v>75</v>
      </c>
      <c r="C425" t="s">
        <v>253</v>
      </c>
      <c r="D425" t="s">
        <v>449</v>
      </c>
      <c r="E425" s="2">
        <v>9.4719370370370353</v>
      </c>
      <c r="F425" s="2">
        <v>17.826589981471979</v>
      </c>
      <c r="G425">
        <v>27</v>
      </c>
      <c r="H425" t="s">
        <v>58</v>
      </c>
      <c r="M425" s="2">
        <v>45.125116999981003</v>
      </c>
      <c r="N425" s="2">
        <v>-26.181242925906918</v>
      </c>
      <c r="O425" s="2">
        <v>71.306359925887918</v>
      </c>
      <c r="P425" s="2">
        <v>0.53133757195748987</v>
      </c>
      <c r="R425" t="str">
        <f t="shared" si="18"/>
        <v>yes</v>
      </c>
      <c r="S425" t="str">
        <f t="shared" si="19"/>
        <v>no</v>
      </c>
      <c r="T4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5" s="2" t="b">
        <f t="shared" si="20"/>
        <v>1</v>
      </c>
      <c r="V425" s="2">
        <f>IF(Table4[[#This Row],[linear?]],Table4[[#This Row],[av]],10^(Table4[[#This Row],[av]]/10))</f>
        <v>9.4719370370370353</v>
      </c>
      <c r="W425" s="2">
        <f>IF(Table4[[#This Row],[linear?]],Table4[[#This Row],[av]],10^(Table4[[#This Row],[av]]/10))</f>
        <v>9.4719370370370353</v>
      </c>
      <c r="X425" s="2">
        <f>Table4[[#This Row],[av_lin]]-2*Table4[[#This Row],[std_lin]]</f>
        <v>-9.4719370370370353</v>
      </c>
      <c r="Y425" s="2">
        <f>Table4[[#This Row],[av_lin]]+2*Table4[[#This Row],[std_lin]]</f>
        <v>28.415811111111104</v>
      </c>
    </row>
    <row r="426" spans="1:25" x14ac:dyDescent="0.35">
      <c r="A426" s="1">
        <v>473</v>
      </c>
      <c r="B426" t="s">
        <v>75</v>
      </c>
      <c r="C426" t="s">
        <v>253</v>
      </c>
      <c r="D426" t="s">
        <v>450</v>
      </c>
      <c r="E426" s="2">
        <v>0</v>
      </c>
      <c r="F426" s="2">
        <v>0</v>
      </c>
      <c r="G426">
        <v>27</v>
      </c>
      <c r="H426" t="s">
        <v>58</v>
      </c>
      <c r="M426" s="2">
        <v>0</v>
      </c>
      <c r="N426" s="2">
        <v>0</v>
      </c>
      <c r="O426" s="2">
        <v>0</v>
      </c>
      <c r="R426" t="str">
        <f t="shared" si="18"/>
        <v>yes</v>
      </c>
      <c r="S426" t="str">
        <f t="shared" si="19"/>
        <v>no</v>
      </c>
      <c r="T4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6" s="2" t="b">
        <f t="shared" si="20"/>
        <v>0</v>
      </c>
      <c r="V426" s="2">
        <f>IF(Table4[[#This Row],[linear?]],Table4[[#This Row],[av]],10^(Table4[[#This Row],[av]]/10))</f>
        <v>1</v>
      </c>
      <c r="W426" s="2">
        <f>IF(Table4[[#This Row],[linear?]],Table4[[#This Row],[av]],10^(Table4[[#This Row],[av]]/10))</f>
        <v>1</v>
      </c>
      <c r="X426" s="2">
        <f>Table4[[#This Row],[av_lin]]-2*Table4[[#This Row],[std_lin]]</f>
        <v>-1</v>
      </c>
      <c r="Y426" s="2">
        <f>Table4[[#This Row],[av_lin]]+2*Table4[[#This Row],[std_lin]]</f>
        <v>3</v>
      </c>
    </row>
    <row r="427" spans="1:25" x14ac:dyDescent="0.35">
      <c r="A427" s="1">
        <v>474</v>
      </c>
      <c r="B427" t="s">
        <v>75</v>
      </c>
      <c r="C427" t="s">
        <v>253</v>
      </c>
      <c r="D427" t="s">
        <v>451</v>
      </c>
      <c r="E427" s="2">
        <v>3.994340740740741</v>
      </c>
      <c r="F427" s="2">
        <v>6.1556924987129253</v>
      </c>
      <c r="G427">
        <v>27</v>
      </c>
      <c r="H427" t="s">
        <v>58</v>
      </c>
      <c r="M427" s="2">
        <v>16.30572573816659</v>
      </c>
      <c r="N427" s="2">
        <v>-8.3170442566851097</v>
      </c>
      <c r="O427" s="2">
        <v>24.622769994851701</v>
      </c>
      <c r="P427" s="2">
        <v>0.64888568452305007</v>
      </c>
      <c r="R427" t="str">
        <f t="shared" si="18"/>
        <v>yes</v>
      </c>
      <c r="S427" t="str">
        <f t="shared" si="19"/>
        <v>no</v>
      </c>
      <c r="T4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7" s="2" t="b">
        <f t="shared" si="20"/>
        <v>0</v>
      </c>
      <c r="V427" s="2">
        <f>IF(Table4[[#This Row],[linear?]],Table4[[#This Row],[av]],10^(Table4[[#This Row],[av]]/10))</f>
        <v>2.508615342615431</v>
      </c>
      <c r="W427" s="2">
        <f>IF(Table4[[#This Row],[linear?]],Table4[[#This Row],[av]],10^(Table4[[#This Row],[av]]/10))</f>
        <v>2.508615342615431</v>
      </c>
      <c r="X427" s="2">
        <f>Table4[[#This Row],[av_lin]]-2*Table4[[#This Row],[std_lin]]</f>
        <v>-2.508615342615431</v>
      </c>
      <c r="Y427" s="2">
        <f>Table4[[#This Row],[av_lin]]+2*Table4[[#This Row],[std_lin]]</f>
        <v>7.5258460278462929</v>
      </c>
    </row>
    <row r="428" spans="1:25" x14ac:dyDescent="0.35">
      <c r="A428" s="1">
        <v>475</v>
      </c>
      <c r="B428" t="s">
        <v>75</v>
      </c>
      <c r="C428" t="s">
        <v>253</v>
      </c>
      <c r="D428" t="s">
        <v>452</v>
      </c>
      <c r="E428" s="2">
        <v>0</v>
      </c>
      <c r="F428" s="2">
        <v>0</v>
      </c>
      <c r="G428">
        <v>27</v>
      </c>
      <c r="H428" t="s">
        <v>58</v>
      </c>
      <c r="M428" s="2">
        <v>0</v>
      </c>
      <c r="N428" s="2">
        <v>0</v>
      </c>
      <c r="O428" s="2">
        <v>0</v>
      </c>
      <c r="R428" t="str">
        <f t="shared" si="18"/>
        <v>yes</v>
      </c>
      <c r="S428" t="str">
        <f t="shared" si="19"/>
        <v>no</v>
      </c>
      <c r="T4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8" s="2" t="b">
        <f t="shared" si="20"/>
        <v>0</v>
      </c>
      <c r="V428" s="2">
        <f>IF(Table4[[#This Row],[linear?]],Table4[[#This Row],[av]],10^(Table4[[#This Row],[av]]/10))</f>
        <v>1</v>
      </c>
      <c r="W428" s="2">
        <f>IF(Table4[[#This Row],[linear?]],Table4[[#This Row],[av]],10^(Table4[[#This Row],[av]]/10))</f>
        <v>1</v>
      </c>
      <c r="X428" s="2">
        <f>Table4[[#This Row],[av_lin]]-2*Table4[[#This Row],[std_lin]]</f>
        <v>-1</v>
      </c>
      <c r="Y428" s="2">
        <f>Table4[[#This Row],[av_lin]]+2*Table4[[#This Row],[std_lin]]</f>
        <v>3</v>
      </c>
    </row>
    <row r="429" spans="1:25" x14ac:dyDescent="0.35">
      <c r="A429" s="1">
        <v>476</v>
      </c>
      <c r="B429" t="s">
        <v>75</v>
      </c>
      <c r="C429" t="s">
        <v>253</v>
      </c>
      <c r="D429" t="s">
        <v>453</v>
      </c>
      <c r="E429" s="2">
        <v>12.0436</v>
      </c>
      <c r="F429" s="2">
        <v>18.7751927590243</v>
      </c>
      <c r="G429">
        <v>27</v>
      </c>
      <c r="H429" t="s">
        <v>58</v>
      </c>
      <c r="M429" s="2">
        <v>49.593985518048598</v>
      </c>
      <c r="N429" s="2">
        <v>-25.506785518048599</v>
      </c>
      <c r="O429" s="2">
        <v>75.1007710360972</v>
      </c>
      <c r="P429" s="2">
        <v>0.64146345417472428</v>
      </c>
      <c r="R429" t="str">
        <f t="shared" si="18"/>
        <v>yes</v>
      </c>
      <c r="S429" t="str">
        <f t="shared" si="19"/>
        <v>no</v>
      </c>
      <c r="T4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9" s="2" t="b">
        <f t="shared" si="20"/>
        <v>1</v>
      </c>
      <c r="V429" s="2">
        <f>IF(Table4[[#This Row],[linear?]],Table4[[#This Row],[av]],10^(Table4[[#This Row],[av]]/10))</f>
        <v>12.0436</v>
      </c>
      <c r="W429" s="2">
        <f>IF(Table4[[#This Row],[linear?]],Table4[[#This Row],[av]],10^(Table4[[#This Row],[av]]/10))</f>
        <v>12.0436</v>
      </c>
      <c r="X429" s="2">
        <f>Table4[[#This Row],[av_lin]]-2*Table4[[#This Row],[std_lin]]</f>
        <v>-12.0436</v>
      </c>
      <c r="Y429" s="2">
        <f>Table4[[#This Row],[av_lin]]+2*Table4[[#This Row],[std_lin]]</f>
        <v>36.130800000000001</v>
      </c>
    </row>
    <row r="430" spans="1:25" x14ac:dyDescent="0.35">
      <c r="A430" s="1">
        <v>477</v>
      </c>
      <c r="B430" t="s">
        <v>75</v>
      </c>
      <c r="C430" t="s">
        <v>253</v>
      </c>
      <c r="D430" t="s">
        <v>454</v>
      </c>
      <c r="E430" s="2">
        <v>0</v>
      </c>
      <c r="F430" s="2">
        <v>0</v>
      </c>
      <c r="G430">
        <v>27</v>
      </c>
      <c r="H430" t="s">
        <v>58</v>
      </c>
      <c r="M430" s="2">
        <v>0</v>
      </c>
      <c r="N430" s="2">
        <v>0</v>
      </c>
      <c r="O430" s="2">
        <v>0</v>
      </c>
      <c r="R430" t="str">
        <f t="shared" si="18"/>
        <v>yes</v>
      </c>
      <c r="S430" t="str">
        <f t="shared" si="19"/>
        <v>no</v>
      </c>
      <c r="T4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0" s="2" t="b">
        <f t="shared" si="20"/>
        <v>0</v>
      </c>
      <c r="V430" s="2">
        <f>IF(Table4[[#This Row],[linear?]],Table4[[#This Row],[av]],10^(Table4[[#This Row],[av]]/10))</f>
        <v>1</v>
      </c>
      <c r="W430" s="2">
        <f>IF(Table4[[#This Row],[linear?]],Table4[[#This Row],[av]],10^(Table4[[#This Row],[av]]/10))</f>
        <v>1</v>
      </c>
      <c r="X430" s="2">
        <f>Table4[[#This Row],[av_lin]]-2*Table4[[#This Row],[std_lin]]</f>
        <v>-1</v>
      </c>
      <c r="Y430" s="2">
        <f>Table4[[#This Row],[av_lin]]+2*Table4[[#This Row],[std_lin]]</f>
        <v>3</v>
      </c>
    </row>
    <row r="431" spans="1:25" x14ac:dyDescent="0.35">
      <c r="A431" s="1">
        <v>478</v>
      </c>
      <c r="B431" t="s">
        <v>75</v>
      </c>
      <c r="C431" t="s">
        <v>253</v>
      </c>
      <c r="D431" t="s">
        <v>455</v>
      </c>
      <c r="E431" s="2">
        <v>2.9957555555555562</v>
      </c>
      <c r="F431" s="2">
        <v>5.6045454517067581</v>
      </c>
      <c r="G431">
        <v>27</v>
      </c>
      <c r="H431" t="s">
        <v>58</v>
      </c>
      <c r="M431" s="2">
        <v>14.204846458969071</v>
      </c>
      <c r="N431" s="2">
        <v>-8.21333534785796</v>
      </c>
      <c r="O431" s="2">
        <v>22.418181806827029</v>
      </c>
      <c r="P431" s="2">
        <v>0.5345224838248489</v>
      </c>
      <c r="R431" t="str">
        <f t="shared" si="18"/>
        <v>yes</v>
      </c>
      <c r="S431" t="str">
        <f t="shared" si="19"/>
        <v>no</v>
      </c>
      <c r="T4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1" s="2" t="b">
        <f t="shared" si="20"/>
        <v>0</v>
      </c>
      <c r="V431" s="2">
        <f>IF(Table4[[#This Row],[linear?]],Table4[[#This Row],[av]],10^(Table4[[#This Row],[av]]/10))</f>
        <v>1.9933132588797982</v>
      </c>
      <c r="W431" s="2">
        <f>IF(Table4[[#This Row],[linear?]],Table4[[#This Row],[av]],10^(Table4[[#This Row],[av]]/10))</f>
        <v>1.9933132588797982</v>
      </c>
      <c r="X431" s="2">
        <f>Table4[[#This Row],[av_lin]]-2*Table4[[#This Row],[std_lin]]</f>
        <v>-1.9933132588797982</v>
      </c>
      <c r="Y431" s="2">
        <f>Table4[[#This Row],[av_lin]]+2*Table4[[#This Row],[std_lin]]</f>
        <v>5.9799397766393945</v>
      </c>
    </row>
    <row r="432" spans="1:25" x14ac:dyDescent="0.35">
      <c r="A432" s="1">
        <v>479</v>
      </c>
      <c r="B432" t="s">
        <v>75</v>
      </c>
      <c r="C432" t="s">
        <v>253</v>
      </c>
      <c r="D432" t="s">
        <v>456</v>
      </c>
      <c r="E432" s="2">
        <v>0</v>
      </c>
      <c r="F432" s="2">
        <v>0</v>
      </c>
      <c r="G432">
        <v>27</v>
      </c>
      <c r="H432" t="s">
        <v>58</v>
      </c>
      <c r="M432" s="2">
        <v>0</v>
      </c>
      <c r="N432" s="2">
        <v>0</v>
      </c>
      <c r="O432" s="2">
        <v>0</v>
      </c>
      <c r="R432" t="str">
        <f t="shared" si="18"/>
        <v>yes</v>
      </c>
      <c r="S432" t="str">
        <f t="shared" si="19"/>
        <v>no</v>
      </c>
      <c r="T4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2" s="2" t="b">
        <f t="shared" si="20"/>
        <v>0</v>
      </c>
      <c r="V432" s="2">
        <f>IF(Table4[[#This Row],[linear?]],Table4[[#This Row],[av]],10^(Table4[[#This Row],[av]]/10))</f>
        <v>1</v>
      </c>
      <c r="W432" s="2">
        <f>IF(Table4[[#This Row],[linear?]],Table4[[#This Row],[av]],10^(Table4[[#This Row],[av]]/10))</f>
        <v>1</v>
      </c>
      <c r="X432" s="2">
        <f>Table4[[#This Row],[av_lin]]-2*Table4[[#This Row],[std_lin]]</f>
        <v>-1</v>
      </c>
      <c r="Y432" s="2">
        <f>Table4[[#This Row],[av_lin]]+2*Table4[[#This Row],[std_lin]]</f>
        <v>3</v>
      </c>
    </row>
    <row r="433" spans="1:25" x14ac:dyDescent="0.35">
      <c r="A433" s="1">
        <v>480</v>
      </c>
      <c r="B433" t="s">
        <v>75</v>
      </c>
      <c r="C433" t="s">
        <v>253</v>
      </c>
      <c r="D433" t="s">
        <v>457</v>
      </c>
      <c r="E433" s="2">
        <v>8.4071148148148147</v>
      </c>
      <c r="F433" s="2">
        <v>15.8467746696339</v>
      </c>
      <c r="G433">
        <v>27</v>
      </c>
      <c r="H433" t="s">
        <v>58</v>
      </c>
      <c r="M433" s="2">
        <v>40.100664154082622</v>
      </c>
      <c r="N433" s="2">
        <v>-23.286434524452989</v>
      </c>
      <c r="O433" s="2">
        <v>63.387098678535601</v>
      </c>
      <c r="P433" s="2">
        <v>0.53052529553062922</v>
      </c>
      <c r="R433" t="str">
        <f t="shared" si="18"/>
        <v>yes</v>
      </c>
      <c r="S433" t="str">
        <f t="shared" si="19"/>
        <v>no</v>
      </c>
      <c r="T4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3" s="2" t="b">
        <f t="shared" si="20"/>
        <v>1</v>
      </c>
      <c r="V433" s="2">
        <f>IF(Table4[[#This Row],[linear?]],Table4[[#This Row],[av]],10^(Table4[[#This Row],[av]]/10))</f>
        <v>8.4071148148148147</v>
      </c>
      <c r="W433" s="2">
        <f>IF(Table4[[#This Row],[linear?]],Table4[[#This Row],[av]],10^(Table4[[#This Row],[av]]/10))</f>
        <v>8.4071148148148147</v>
      </c>
      <c r="X433" s="2">
        <f>Table4[[#This Row],[av_lin]]-2*Table4[[#This Row],[std_lin]]</f>
        <v>-8.4071148148148147</v>
      </c>
      <c r="Y433" s="2">
        <f>Table4[[#This Row],[av_lin]]+2*Table4[[#This Row],[std_lin]]</f>
        <v>25.221344444444444</v>
      </c>
    </row>
    <row r="434" spans="1:25" x14ac:dyDescent="0.35">
      <c r="A434" s="1">
        <v>481</v>
      </c>
      <c r="B434" t="s">
        <v>75</v>
      </c>
      <c r="C434" t="s">
        <v>253</v>
      </c>
      <c r="D434" t="s">
        <v>458</v>
      </c>
      <c r="E434" s="2">
        <v>0</v>
      </c>
      <c r="F434" s="2">
        <v>0</v>
      </c>
      <c r="G434">
        <v>27</v>
      </c>
      <c r="H434" t="s">
        <v>58</v>
      </c>
      <c r="M434" s="2">
        <v>0</v>
      </c>
      <c r="N434" s="2">
        <v>0</v>
      </c>
      <c r="O434" s="2">
        <v>0</v>
      </c>
      <c r="R434" t="str">
        <f t="shared" si="18"/>
        <v>yes</v>
      </c>
      <c r="S434" t="str">
        <f t="shared" si="19"/>
        <v>no</v>
      </c>
      <c r="T4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4" s="2" t="b">
        <f t="shared" si="20"/>
        <v>0</v>
      </c>
      <c r="V434" s="2">
        <f>IF(Table4[[#This Row],[linear?]],Table4[[#This Row],[av]],10^(Table4[[#This Row],[av]]/10))</f>
        <v>1</v>
      </c>
      <c r="W434" s="2">
        <f>IF(Table4[[#This Row],[linear?]],Table4[[#This Row],[av]],10^(Table4[[#This Row],[av]]/10))</f>
        <v>1</v>
      </c>
      <c r="X434" s="2">
        <f>Table4[[#This Row],[av_lin]]-2*Table4[[#This Row],[std_lin]]</f>
        <v>-1</v>
      </c>
      <c r="Y434" s="2">
        <f>Table4[[#This Row],[av_lin]]+2*Table4[[#This Row],[std_lin]]</f>
        <v>3</v>
      </c>
    </row>
    <row r="435" spans="1:25" x14ac:dyDescent="0.35">
      <c r="A435" s="1">
        <v>482</v>
      </c>
      <c r="B435" t="s">
        <v>75</v>
      </c>
      <c r="C435" t="s">
        <v>253</v>
      </c>
      <c r="D435" t="s">
        <v>459</v>
      </c>
      <c r="E435" s="2">
        <v>3.994340740740741</v>
      </c>
      <c r="F435" s="2">
        <v>6.1556924987129253</v>
      </c>
      <c r="G435">
        <v>27</v>
      </c>
      <c r="H435" t="s">
        <v>58</v>
      </c>
      <c r="M435" s="2">
        <v>16.30572573816659</v>
      </c>
      <c r="N435" s="2">
        <v>-8.3170442566851097</v>
      </c>
      <c r="O435" s="2">
        <v>24.622769994851701</v>
      </c>
      <c r="P435" s="2">
        <v>0.64888568452305007</v>
      </c>
      <c r="R435" t="str">
        <f t="shared" si="18"/>
        <v>yes</v>
      </c>
      <c r="S435" t="str">
        <f t="shared" si="19"/>
        <v>no</v>
      </c>
      <c r="T4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5" s="2" t="b">
        <f t="shared" si="20"/>
        <v>0</v>
      </c>
      <c r="V435" s="2">
        <f>IF(Table4[[#This Row],[linear?]],Table4[[#This Row],[av]],10^(Table4[[#This Row],[av]]/10))</f>
        <v>2.508615342615431</v>
      </c>
      <c r="W435" s="2">
        <f>IF(Table4[[#This Row],[linear?]],Table4[[#This Row],[av]],10^(Table4[[#This Row],[av]]/10))</f>
        <v>2.508615342615431</v>
      </c>
      <c r="X435" s="2">
        <f>Table4[[#This Row],[av_lin]]-2*Table4[[#This Row],[std_lin]]</f>
        <v>-2.508615342615431</v>
      </c>
      <c r="Y435" s="2">
        <f>Table4[[#This Row],[av_lin]]+2*Table4[[#This Row],[std_lin]]</f>
        <v>7.5258460278462929</v>
      </c>
    </row>
    <row r="436" spans="1:25" x14ac:dyDescent="0.35">
      <c r="A436" s="1">
        <v>483</v>
      </c>
      <c r="B436" t="s">
        <v>75</v>
      </c>
      <c r="C436" t="s">
        <v>253</v>
      </c>
      <c r="D436" t="s">
        <v>460</v>
      </c>
      <c r="E436" s="2">
        <v>0</v>
      </c>
      <c r="F436" s="2">
        <v>0</v>
      </c>
      <c r="G436">
        <v>27</v>
      </c>
      <c r="H436" t="s">
        <v>58</v>
      </c>
      <c r="M436" s="2">
        <v>0</v>
      </c>
      <c r="N436" s="2">
        <v>0</v>
      </c>
      <c r="O436" s="2">
        <v>0</v>
      </c>
      <c r="R436" t="str">
        <f t="shared" si="18"/>
        <v>yes</v>
      </c>
      <c r="S436" t="str">
        <f t="shared" si="19"/>
        <v>no</v>
      </c>
      <c r="T4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6" s="2" t="b">
        <f t="shared" si="20"/>
        <v>0</v>
      </c>
      <c r="V436" s="2">
        <f>IF(Table4[[#This Row],[linear?]],Table4[[#This Row],[av]],10^(Table4[[#This Row],[av]]/10))</f>
        <v>1</v>
      </c>
      <c r="W436" s="2">
        <f>IF(Table4[[#This Row],[linear?]],Table4[[#This Row],[av]],10^(Table4[[#This Row],[av]]/10))</f>
        <v>1</v>
      </c>
      <c r="X436" s="2">
        <f>Table4[[#This Row],[av_lin]]-2*Table4[[#This Row],[std_lin]]</f>
        <v>-1</v>
      </c>
      <c r="Y436" s="2">
        <f>Table4[[#This Row],[av_lin]]+2*Table4[[#This Row],[std_lin]]</f>
        <v>3</v>
      </c>
    </row>
    <row r="437" spans="1:25" x14ac:dyDescent="0.35">
      <c r="A437" s="1">
        <v>484</v>
      </c>
      <c r="B437" t="s">
        <v>75</v>
      </c>
      <c r="C437" t="s">
        <v>253</v>
      </c>
      <c r="D437" t="s">
        <v>461</v>
      </c>
      <c r="E437" s="2">
        <v>10.978774074074069</v>
      </c>
      <c r="F437" s="2">
        <v>17.049076652973241</v>
      </c>
      <c r="G437">
        <v>27</v>
      </c>
      <c r="H437" t="s">
        <v>58</v>
      </c>
      <c r="M437" s="2">
        <v>45.07692738002055</v>
      </c>
      <c r="N437" s="2">
        <v>-23.119379231872411</v>
      </c>
      <c r="O437" s="2">
        <v>68.196306611892965</v>
      </c>
      <c r="P437" s="2">
        <v>0.64395124132188397</v>
      </c>
      <c r="R437" t="str">
        <f t="shared" si="18"/>
        <v>yes</v>
      </c>
      <c r="S437" t="str">
        <f t="shared" si="19"/>
        <v>no</v>
      </c>
      <c r="T4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7" s="2" t="b">
        <f t="shared" si="20"/>
        <v>1</v>
      </c>
      <c r="V437" s="2">
        <f>IF(Table4[[#This Row],[linear?]],Table4[[#This Row],[av]],10^(Table4[[#This Row],[av]]/10))</f>
        <v>10.978774074074069</v>
      </c>
      <c r="W437" s="2">
        <f>IF(Table4[[#This Row],[linear?]],Table4[[#This Row],[av]],10^(Table4[[#This Row],[av]]/10))</f>
        <v>10.978774074074069</v>
      </c>
      <c r="X437" s="2">
        <f>Table4[[#This Row],[av_lin]]-2*Table4[[#This Row],[std_lin]]</f>
        <v>-10.978774074074069</v>
      </c>
      <c r="Y437" s="2">
        <f>Table4[[#This Row],[av_lin]]+2*Table4[[#This Row],[std_lin]]</f>
        <v>32.936322222222209</v>
      </c>
    </row>
    <row r="438" spans="1:25" x14ac:dyDescent="0.35">
      <c r="A438" s="1">
        <v>485</v>
      </c>
      <c r="B438" t="s">
        <v>75</v>
      </c>
      <c r="C438" t="s">
        <v>253</v>
      </c>
      <c r="D438" t="s">
        <v>462</v>
      </c>
      <c r="E438" s="2">
        <v>0</v>
      </c>
      <c r="F438" s="2">
        <v>0</v>
      </c>
      <c r="G438">
        <v>27</v>
      </c>
      <c r="H438" t="s">
        <v>58</v>
      </c>
      <c r="M438" s="2">
        <v>0</v>
      </c>
      <c r="N438" s="2">
        <v>0</v>
      </c>
      <c r="O438" s="2">
        <v>0</v>
      </c>
      <c r="R438" t="str">
        <f t="shared" si="18"/>
        <v>yes</v>
      </c>
      <c r="S438" t="str">
        <f t="shared" si="19"/>
        <v>no</v>
      </c>
      <c r="T4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8" s="2" t="b">
        <f t="shared" si="20"/>
        <v>0</v>
      </c>
      <c r="V438" s="2">
        <f>IF(Table4[[#This Row],[linear?]],Table4[[#This Row],[av]],10^(Table4[[#This Row],[av]]/10))</f>
        <v>1</v>
      </c>
      <c r="W438" s="2">
        <f>IF(Table4[[#This Row],[linear?]],Table4[[#This Row],[av]],10^(Table4[[#This Row],[av]]/10))</f>
        <v>1</v>
      </c>
      <c r="X438" s="2">
        <f>Table4[[#This Row],[av_lin]]-2*Table4[[#This Row],[std_lin]]</f>
        <v>-1</v>
      </c>
      <c r="Y438" s="2">
        <f>Table4[[#This Row],[av_lin]]+2*Table4[[#This Row],[std_lin]]</f>
        <v>3</v>
      </c>
    </row>
    <row r="439" spans="1:25" x14ac:dyDescent="0.35">
      <c r="A439" s="1">
        <v>486</v>
      </c>
      <c r="B439" t="s">
        <v>75</v>
      </c>
      <c r="C439" t="s">
        <v>253</v>
      </c>
      <c r="D439" t="s">
        <v>463</v>
      </c>
      <c r="E439" s="2">
        <v>2.9957555555555562</v>
      </c>
      <c r="F439" s="2">
        <v>5.6045454517067581</v>
      </c>
      <c r="G439">
        <v>27</v>
      </c>
      <c r="H439" t="s">
        <v>58</v>
      </c>
      <c r="M439" s="2">
        <v>14.204846458969071</v>
      </c>
      <c r="N439" s="2">
        <v>-8.21333534785796</v>
      </c>
      <c r="O439" s="2">
        <v>22.418181806827029</v>
      </c>
      <c r="P439" s="2">
        <v>0.5345224838248489</v>
      </c>
      <c r="R439" t="str">
        <f t="shared" si="18"/>
        <v>yes</v>
      </c>
      <c r="S439" t="str">
        <f t="shared" si="19"/>
        <v>no</v>
      </c>
      <c r="T4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9" s="2" t="b">
        <f t="shared" si="20"/>
        <v>0</v>
      </c>
      <c r="V439" s="2">
        <f>IF(Table4[[#This Row],[linear?]],Table4[[#This Row],[av]],10^(Table4[[#This Row],[av]]/10))</f>
        <v>1.9933132588797982</v>
      </c>
      <c r="W439" s="2">
        <f>IF(Table4[[#This Row],[linear?]],Table4[[#This Row],[av]],10^(Table4[[#This Row],[av]]/10))</f>
        <v>1.9933132588797982</v>
      </c>
      <c r="X439" s="2">
        <f>Table4[[#This Row],[av_lin]]-2*Table4[[#This Row],[std_lin]]</f>
        <v>-1.9933132588797982</v>
      </c>
      <c r="Y439" s="2">
        <f>Table4[[#This Row],[av_lin]]+2*Table4[[#This Row],[std_lin]]</f>
        <v>5.9799397766393945</v>
      </c>
    </row>
    <row r="440" spans="1:25" x14ac:dyDescent="0.35">
      <c r="A440" s="1">
        <v>487</v>
      </c>
      <c r="B440" t="s">
        <v>75</v>
      </c>
      <c r="C440" t="s">
        <v>253</v>
      </c>
      <c r="D440" t="s">
        <v>464</v>
      </c>
      <c r="E440" s="2">
        <v>0</v>
      </c>
      <c r="F440" s="2">
        <v>0</v>
      </c>
      <c r="G440">
        <v>27</v>
      </c>
      <c r="H440" t="s">
        <v>58</v>
      </c>
      <c r="M440" s="2">
        <v>0</v>
      </c>
      <c r="N440" s="2">
        <v>0</v>
      </c>
      <c r="O440" s="2">
        <v>0</v>
      </c>
      <c r="R440" t="str">
        <f t="shared" si="18"/>
        <v>yes</v>
      </c>
      <c r="S440" t="str">
        <f t="shared" si="19"/>
        <v>no</v>
      </c>
      <c r="T4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0" s="2" t="b">
        <f t="shared" si="20"/>
        <v>0</v>
      </c>
      <c r="V440" s="2">
        <f>IF(Table4[[#This Row],[linear?]],Table4[[#This Row],[av]],10^(Table4[[#This Row],[av]]/10))</f>
        <v>1</v>
      </c>
      <c r="W440" s="2">
        <f>IF(Table4[[#This Row],[linear?]],Table4[[#This Row],[av]],10^(Table4[[#This Row],[av]]/10))</f>
        <v>1</v>
      </c>
      <c r="X440" s="2">
        <f>Table4[[#This Row],[av_lin]]-2*Table4[[#This Row],[std_lin]]</f>
        <v>-1</v>
      </c>
      <c r="Y440" s="2">
        <f>Table4[[#This Row],[av_lin]]+2*Table4[[#This Row],[std_lin]]</f>
        <v>3</v>
      </c>
    </row>
    <row r="441" spans="1:25" x14ac:dyDescent="0.35">
      <c r="A441" s="1">
        <v>488</v>
      </c>
      <c r="B441" t="s">
        <v>75</v>
      </c>
      <c r="C441" t="s">
        <v>253</v>
      </c>
      <c r="D441" t="s">
        <v>465</v>
      </c>
      <c r="E441" s="2">
        <v>8.300633333333332</v>
      </c>
      <c r="F441" s="2">
        <v>15.60608487937389</v>
      </c>
      <c r="G441">
        <v>27</v>
      </c>
      <c r="H441" t="s">
        <v>58</v>
      </c>
      <c r="M441" s="2">
        <v>39.512803092081107</v>
      </c>
      <c r="N441" s="2">
        <v>-22.91153642541445</v>
      </c>
      <c r="O441" s="2">
        <v>62.424339517495561</v>
      </c>
      <c r="P441" s="2">
        <v>0.53188441543747067</v>
      </c>
      <c r="R441" t="str">
        <f t="shared" si="18"/>
        <v>yes</v>
      </c>
      <c r="S441" t="str">
        <f t="shared" si="19"/>
        <v>no</v>
      </c>
      <c r="T4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1" s="2" t="b">
        <f t="shared" si="20"/>
        <v>1</v>
      </c>
      <c r="V441" s="2">
        <f>IF(Table4[[#This Row],[linear?]],Table4[[#This Row],[av]],10^(Table4[[#This Row],[av]]/10))</f>
        <v>8.300633333333332</v>
      </c>
      <c r="W441" s="2">
        <f>IF(Table4[[#This Row],[linear?]],Table4[[#This Row],[av]],10^(Table4[[#This Row],[av]]/10))</f>
        <v>8.300633333333332</v>
      </c>
      <c r="X441" s="2">
        <f>Table4[[#This Row],[av_lin]]-2*Table4[[#This Row],[std_lin]]</f>
        <v>-8.300633333333332</v>
      </c>
      <c r="Y441" s="2">
        <f>Table4[[#This Row],[av_lin]]+2*Table4[[#This Row],[std_lin]]</f>
        <v>24.901899999999998</v>
      </c>
    </row>
    <row r="442" spans="1:25" x14ac:dyDescent="0.35">
      <c r="A442" s="1">
        <v>489</v>
      </c>
      <c r="B442" t="s">
        <v>75</v>
      </c>
      <c r="C442" t="s">
        <v>253</v>
      </c>
      <c r="D442" t="s">
        <v>466</v>
      </c>
      <c r="E442" s="2">
        <v>0</v>
      </c>
      <c r="F442" s="2">
        <v>0</v>
      </c>
      <c r="G442">
        <v>27</v>
      </c>
      <c r="H442" t="s">
        <v>58</v>
      </c>
      <c r="M442" s="2">
        <v>0</v>
      </c>
      <c r="N442" s="2">
        <v>0</v>
      </c>
      <c r="O442" s="2">
        <v>0</v>
      </c>
      <c r="R442" t="str">
        <f t="shared" si="18"/>
        <v>yes</v>
      </c>
      <c r="S442" t="str">
        <f t="shared" si="19"/>
        <v>no</v>
      </c>
      <c r="T4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2" s="2" t="b">
        <f t="shared" si="20"/>
        <v>0</v>
      </c>
      <c r="V442" s="2">
        <f>IF(Table4[[#This Row],[linear?]],Table4[[#This Row],[av]],10^(Table4[[#This Row],[av]]/10))</f>
        <v>1</v>
      </c>
      <c r="W442" s="2">
        <f>IF(Table4[[#This Row],[linear?]],Table4[[#This Row],[av]],10^(Table4[[#This Row],[av]]/10))</f>
        <v>1</v>
      </c>
      <c r="X442" s="2">
        <f>Table4[[#This Row],[av_lin]]-2*Table4[[#This Row],[std_lin]]</f>
        <v>-1</v>
      </c>
      <c r="Y442" s="2">
        <f>Table4[[#This Row],[av_lin]]+2*Table4[[#This Row],[std_lin]]</f>
        <v>3</v>
      </c>
    </row>
    <row r="443" spans="1:25" x14ac:dyDescent="0.35">
      <c r="A443" s="1">
        <v>490</v>
      </c>
      <c r="B443" t="s">
        <v>75</v>
      </c>
      <c r="C443" t="s">
        <v>253</v>
      </c>
      <c r="D443" t="s">
        <v>467</v>
      </c>
      <c r="E443" s="2">
        <v>3.994340740740741</v>
      </c>
      <c r="F443" s="2">
        <v>6.1556924987129253</v>
      </c>
      <c r="G443">
        <v>27</v>
      </c>
      <c r="H443" t="s">
        <v>58</v>
      </c>
      <c r="M443" s="2">
        <v>16.30572573816659</v>
      </c>
      <c r="N443" s="2">
        <v>-8.3170442566851097</v>
      </c>
      <c r="O443" s="2">
        <v>24.622769994851701</v>
      </c>
      <c r="P443" s="2">
        <v>0.64888568452305007</v>
      </c>
      <c r="R443" t="str">
        <f t="shared" si="18"/>
        <v>yes</v>
      </c>
      <c r="S443" t="str">
        <f t="shared" si="19"/>
        <v>no</v>
      </c>
      <c r="T4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3" s="2" t="b">
        <f t="shared" si="20"/>
        <v>0</v>
      </c>
      <c r="V443" s="2">
        <f>IF(Table4[[#This Row],[linear?]],Table4[[#This Row],[av]],10^(Table4[[#This Row],[av]]/10))</f>
        <v>2.508615342615431</v>
      </c>
      <c r="W443" s="2">
        <f>IF(Table4[[#This Row],[linear?]],Table4[[#This Row],[av]],10^(Table4[[#This Row],[av]]/10))</f>
        <v>2.508615342615431</v>
      </c>
      <c r="X443" s="2">
        <f>Table4[[#This Row],[av_lin]]-2*Table4[[#This Row],[std_lin]]</f>
        <v>-2.508615342615431</v>
      </c>
      <c r="Y443" s="2">
        <f>Table4[[#This Row],[av_lin]]+2*Table4[[#This Row],[std_lin]]</f>
        <v>7.5258460278462929</v>
      </c>
    </row>
    <row r="444" spans="1:25" x14ac:dyDescent="0.35">
      <c r="A444" s="1">
        <v>491</v>
      </c>
      <c r="B444" t="s">
        <v>75</v>
      </c>
      <c r="C444" t="s">
        <v>253</v>
      </c>
      <c r="D444" t="s">
        <v>468</v>
      </c>
      <c r="E444" s="2">
        <v>0</v>
      </c>
      <c r="F444" s="2">
        <v>0</v>
      </c>
      <c r="G444">
        <v>27</v>
      </c>
      <c r="H444" t="s">
        <v>58</v>
      </c>
      <c r="M444" s="2">
        <v>0</v>
      </c>
      <c r="N444" s="2">
        <v>0</v>
      </c>
      <c r="O444" s="2">
        <v>0</v>
      </c>
      <c r="R444" t="str">
        <f t="shared" si="18"/>
        <v>yes</v>
      </c>
      <c r="S444" t="str">
        <f t="shared" si="19"/>
        <v>no</v>
      </c>
      <c r="T4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4" s="2" t="b">
        <f t="shared" si="20"/>
        <v>0</v>
      </c>
      <c r="V444" s="2">
        <f>IF(Table4[[#This Row],[linear?]],Table4[[#This Row],[av]],10^(Table4[[#This Row],[av]]/10))</f>
        <v>1</v>
      </c>
      <c r="W444" s="2">
        <f>IF(Table4[[#This Row],[linear?]],Table4[[#This Row],[av]],10^(Table4[[#This Row],[av]]/10))</f>
        <v>1</v>
      </c>
      <c r="X444" s="2">
        <f>Table4[[#This Row],[av_lin]]-2*Table4[[#This Row],[std_lin]]</f>
        <v>-1</v>
      </c>
      <c r="Y444" s="2">
        <f>Table4[[#This Row],[av_lin]]+2*Table4[[#This Row],[std_lin]]</f>
        <v>3</v>
      </c>
    </row>
    <row r="445" spans="1:25" x14ac:dyDescent="0.35">
      <c r="A445" s="1">
        <v>492</v>
      </c>
      <c r="B445" t="s">
        <v>75</v>
      </c>
      <c r="C445" t="s">
        <v>253</v>
      </c>
      <c r="D445" t="s">
        <v>469</v>
      </c>
      <c r="E445" s="2">
        <v>10.641570370370371</v>
      </c>
      <c r="F445" s="2">
        <v>16.53660454154863</v>
      </c>
      <c r="G445">
        <v>27</v>
      </c>
      <c r="H445" t="s">
        <v>58</v>
      </c>
      <c r="M445" s="2">
        <v>43.714779453467628</v>
      </c>
      <c r="N445" s="2">
        <v>-22.43163871272689</v>
      </c>
      <c r="O445" s="2">
        <v>66.146418166194522</v>
      </c>
      <c r="P445" s="2">
        <v>0.6435160460923619</v>
      </c>
      <c r="R445" t="str">
        <f t="shared" si="18"/>
        <v>yes</v>
      </c>
      <c r="S445" t="str">
        <f t="shared" si="19"/>
        <v>no</v>
      </c>
      <c r="T4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5" s="2" t="b">
        <f t="shared" si="20"/>
        <v>1</v>
      </c>
      <c r="V445" s="2">
        <f>IF(Table4[[#This Row],[linear?]],Table4[[#This Row],[av]],10^(Table4[[#This Row],[av]]/10))</f>
        <v>10.641570370370371</v>
      </c>
      <c r="W445" s="2">
        <f>IF(Table4[[#This Row],[linear?]],Table4[[#This Row],[av]],10^(Table4[[#This Row],[av]]/10))</f>
        <v>10.641570370370371</v>
      </c>
      <c r="X445" s="2">
        <f>Table4[[#This Row],[av_lin]]-2*Table4[[#This Row],[std_lin]]</f>
        <v>-10.641570370370371</v>
      </c>
      <c r="Y445" s="2">
        <f>Table4[[#This Row],[av_lin]]+2*Table4[[#This Row],[std_lin]]</f>
        <v>31.924711111111112</v>
      </c>
    </row>
    <row r="446" spans="1:25" x14ac:dyDescent="0.35">
      <c r="A446" s="1">
        <v>493</v>
      </c>
      <c r="B446" t="s">
        <v>75</v>
      </c>
      <c r="C446" t="s">
        <v>253</v>
      </c>
      <c r="D446" t="s">
        <v>470</v>
      </c>
      <c r="E446" s="2">
        <v>33.348981481481481</v>
      </c>
      <c r="F446" s="2">
        <v>69.953413710480604</v>
      </c>
      <c r="G446">
        <v>27</v>
      </c>
      <c r="H446" t="s">
        <v>58</v>
      </c>
      <c r="M446" s="2">
        <v>173.25580890244271</v>
      </c>
      <c r="N446" s="2">
        <v>-106.55784593947971</v>
      </c>
      <c r="O446" s="2">
        <v>279.81365484192241</v>
      </c>
      <c r="P446" s="2">
        <v>0.47673129462279618</v>
      </c>
      <c r="R446" t="str">
        <f t="shared" si="18"/>
        <v>yes</v>
      </c>
      <c r="S446" t="str">
        <f t="shared" si="19"/>
        <v>no</v>
      </c>
      <c r="T4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6" s="2" t="b">
        <f t="shared" si="20"/>
        <v>0</v>
      </c>
      <c r="V446" s="2">
        <f>IF(Table4[[#This Row],[linear?]],Table4[[#This Row],[av]],10^(Table4[[#This Row],[av]]/10))</f>
        <v>2162.2113769224356</v>
      </c>
      <c r="W446" s="2">
        <f>IF(Table4[[#This Row],[linear?]],Table4[[#This Row],[av]],10^(Table4[[#This Row],[av]]/10))</f>
        <v>2162.2113769224356</v>
      </c>
      <c r="X446" s="2">
        <f>Table4[[#This Row],[av_lin]]-2*Table4[[#This Row],[std_lin]]</f>
        <v>-2162.2113769224356</v>
      </c>
      <c r="Y446" s="2">
        <f>Table4[[#This Row],[av_lin]]+2*Table4[[#This Row],[std_lin]]</f>
        <v>6486.6341307673065</v>
      </c>
    </row>
    <row r="447" spans="1:25" x14ac:dyDescent="0.35">
      <c r="A447" s="1">
        <v>494</v>
      </c>
      <c r="B447" t="s">
        <v>75</v>
      </c>
      <c r="C447" t="s">
        <v>253</v>
      </c>
      <c r="D447" t="s">
        <v>471</v>
      </c>
      <c r="E447" s="2">
        <v>0</v>
      </c>
      <c r="F447" s="2">
        <v>0</v>
      </c>
      <c r="G447">
        <v>27</v>
      </c>
      <c r="H447" t="s">
        <v>58</v>
      </c>
      <c r="M447" s="2">
        <v>0</v>
      </c>
      <c r="N447" s="2">
        <v>0</v>
      </c>
      <c r="O447" s="2">
        <v>0</v>
      </c>
      <c r="R447" t="str">
        <f t="shared" si="18"/>
        <v>yes</v>
      </c>
      <c r="S447" t="str">
        <f t="shared" si="19"/>
        <v>no</v>
      </c>
      <c r="T4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7" s="2" t="b">
        <f t="shared" si="20"/>
        <v>0</v>
      </c>
      <c r="V447" s="2">
        <f>IF(Table4[[#This Row],[linear?]],Table4[[#This Row],[av]],10^(Table4[[#This Row],[av]]/10))</f>
        <v>1</v>
      </c>
      <c r="W447" s="2">
        <f>IF(Table4[[#This Row],[linear?]],Table4[[#This Row],[av]],10^(Table4[[#This Row],[av]]/10))</f>
        <v>1</v>
      </c>
      <c r="X447" s="2">
        <f>Table4[[#This Row],[av_lin]]-2*Table4[[#This Row],[std_lin]]</f>
        <v>-1</v>
      </c>
      <c r="Y447" s="2">
        <f>Table4[[#This Row],[av_lin]]+2*Table4[[#This Row],[std_lin]]</f>
        <v>3</v>
      </c>
    </row>
    <row r="448" spans="1:25" x14ac:dyDescent="0.35">
      <c r="A448" s="1">
        <v>495</v>
      </c>
      <c r="B448" t="s">
        <v>75</v>
      </c>
      <c r="C448" t="s">
        <v>253</v>
      </c>
      <c r="D448" t="s">
        <v>472</v>
      </c>
      <c r="E448" s="2">
        <v>0</v>
      </c>
      <c r="F448" s="2">
        <v>0</v>
      </c>
      <c r="G448">
        <v>27</v>
      </c>
      <c r="H448" t="s">
        <v>58</v>
      </c>
      <c r="M448" s="2">
        <v>0</v>
      </c>
      <c r="N448" s="2">
        <v>0</v>
      </c>
      <c r="O448" s="2">
        <v>0</v>
      </c>
      <c r="R448" t="str">
        <f t="shared" si="18"/>
        <v>yes</v>
      </c>
      <c r="S448" t="str">
        <f t="shared" si="19"/>
        <v>no</v>
      </c>
      <c r="T4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8" s="2" t="b">
        <f t="shared" si="20"/>
        <v>0</v>
      </c>
      <c r="V448" s="2">
        <f>IF(Table4[[#This Row],[linear?]],Table4[[#This Row],[av]],10^(Table4[[#This Row],[av]]/10))</f>
        <v>1</v>
      </c>
      <c r="W448" s="2">
        <f>IF(Table4[[#This Row],[linear?]],Table4[[#This Row],[av]],10^(Table4[[#This Row],[av]]/10))</f>
        <v>1</v>
      </c>
      <c r="X448" s="2">
        <f>Table4[[#This Row],[av_lin]]-2*Table4[[#This Row],[std_lin]]</f>
        <v>-1</v>
      </c>
      <c r="Y448" s="2">
        <f>Table4[[#This Row],[av_lin]]+2*Table4[[#This Row],[std_lin]]</f>
        <v>3</v>
      </c>
    </row>
    <row r="449" spans="1:25" x14ac:dyDescent="0.35">
      <c r="A449" s="1">
        <v>496</v>
      </c>
      <c r="B449" t="s">
        <v>75</v>
      </c>
      <c r="C449" t="s">
        <v>253</v>
      </c>
      <c r="D449" t="s">
        <v>473</v>
      </c>
      <c r="E449" s="2">
        <v>6.8994444444444447</v>
      </c>
      <c r="F449" s="2">
        <v>14.49670227399969</v>
      </c>
      <c r="G449">
        <v>27</v>
      </c>
      <c r="H449" t="s">
        <v>58</v>
      </c>
      <c r="M449" s="2">
        <v>35.892848992443817</v>
      </c>
      <c r="N449" s="2">
        <v>-22.093960103554931</v>
      </c>
      <c r="O449" s="2">
        <v>57.986809095998758</v>
      </c>
      <c r="P449" s="2">
        <v>0.47593199570765998</v>
      </c>
      <c r="R449" t="str">
        <f t="shared" si="18"/>
        <v>yes</v>
      </c>
      <c r="S449" t="str">
        <f t="shared" si="19"/>
        <v>no</v>
      </c>
      <c r="T4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9" s="2" t="b">
        <f t="shared" si="20"/>
        <v>1</v>
      </c>
      <c r="V449" s="2">
        <f>IF(Table4[[#This Row],[linear?]],Table4[[#This Row],[av]],10^(Table4[[#This Row],[av]]/10))</f>
        <v>6.8994444444444447</v>
      </c>
      <c r="W449" s="2">
        <f>IF(Table4[[#This Row],[linear?]],Table4[[#This Row],[av]],10^(Table4[[#This Row],[av]]/10))</f>
        <v>6.8994444444444447</v>
      </c>
      <c r="X449" s="2">
        <f>Table4[[#This Row],[av_lin]]-2*Table4[[#This Row],[std_lin]]</f>
        <v>-6.8994444444444447</v>
      </c>
      <c r="Y449" s="2">
        <f>Table4[[#This Row],[av_lin]]+2*Table4[[#This Row],[std_lin]]</f>
        <v>20.698333333333334</v>
      </c>
    </row>
    <row r="450" spans="1:25" x14ac:dyDescent="0.35">
      <c r="A450" s="1">
        <v>497</v>
      </c>
      <c r="B450" t="s">
        <v>75</v>
      </c>
      <c r="C450" t="s">
        <v>253</v>
      </c>
      <c r="D450" t="s">
        <v>474</v>
      </c>
      <c r="E450" s="2">
        <v>28.42468518518519</v>
      </c>
      <c r="F450" s="2">
        <v>61.249085088427343</v>
      </c>
      <c r="G450">
        <v>27</v>
      </c>
      <c r="H450" t="s">
        <v>58</v>
      </c>
      <c r="M450" s="2">
        <v>150.92285536203991</v>
      </c>
      <c r="N450" s="2">
        <v>-94.073484991669488</v>
      </c>
      <c r="O450" s="2">
        <v>244.9963403537094</v>
      </c>
      <c r="P450" s="2">
        <v>0.46408342498745131</v>
      </c>
      <c r="R450" t="str">
        <f t="shared" ref="R450:R513" si="21">IF(H450="yes","yes","no")</f>
        <v>yes</v>
      </c>
      <c r="S450" t="str">
        <f t="shared" ref="S450:S513" si="22">IF(I450,"yes","no")</f>
        <v>no</v>
      </c>
      <c r="T4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0" s="2" t="b">
        <f t="shared" ref="U450:U513" si="23">NOT(ISNUMBER(SEARCH("RFIC*POWER", D450)))</f>
        <v>0</v>
      </c>
      <c r="V450" s="2">
        <f>IF(Table4[[#This Row],[linear?]],Table4[[#This Row],[av]],10^(Table4[[#This Row],[av]]/10))</f>
        <v>695.77451701971825</v>
      </c>
      <c r="W450" s="2">
        <f>IF(Table4[[#This Row],[linear?]],Table4[[#This Row],[av]],10^(Table4[[#This Row],[av]]/10))</f>
        <v>695.77451701971825</v>
      </c>
      <c r="X450" s="2">
        <f>Table4[[#This Row],[av_lin]]-2*Table4[[#This Row],[std_lin]]</f>
        <v>-695.77451701971825</v>
      </c>
      <c r="Y450" s="2">
        <f>Table4[[#This Row],[av_lin]]+2*Table4[[#This Row],[std_lin]]</f>
        <v>2087.3235510591549</v>
      </c>
    </row>
    <row r="451" spans="1:25" x14ac:dyDescent="0.35">
      <c r="A451" s="1">
        <v>498</v>
      </c>
      <c r="B451" t="s">
        <v>75</v>
      </c>
      <c r="C451" t="s">
        <v>253</v>
      </c>
      <c r="D451" t="s">
        <v>475</v>
      </c>
      <c r="E451" s="2">
        <v>0</v>
      </c>
      <c r="F451" s="2">
        <v>0</v>
      </c>
      <c r="G451">
        <v>27</v>
      </c>
      <c r="H451" t="s">
        <v>58</v>
      </c>
      <c r="M451" s="2">
        <v>0</v>
      </c>
      <c r="N451" s="2">
        <v>0</v>
      </c>
      <c r="O451" s="2">
        <v>0</v>
      </c>
      <c r="R451" t="str">
        <f t="shared" si="21"/>
        <v>yes</v>
      </c>
      <c r="S451" t="str">
        <f t="shared" si="22"/>
        <v>no</v>
      </c>
      <c r="T4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1" s="2" t="b">
        <f t="shared" si="23"/>
        <v>0</v>
      </c>
      <c r="V451" s="2">
        <f>IF(Table4[[#This Row],[linear?]],Table4[[#This Row],[av]],10^(Table4[[#This Row],[av]]/10))</f>
        <v>1</v>
      </c>
      <c r="W451" s="2">
        <f>IF(Table4[[#This Row],[linear?]],Table4[[#This Row],[av]],10^(Table4[[#This Row],[av]]/10))</f>
        <v>1</v>
      </c>
      <c r="X451" s="2">
        <f>Table4[[#This Row],[av_lin]]-2*Table4[[#This Row],[std_lin]]</f>
        <v>-1</v>
      </c>
      <c r="Y451" s="2">
        <f>Table4[[#This Row],[av_lin]]+2*Table4[[#This Row],[std_lin]]</f>
        <v>3</v>
      </c>
    </row>
    <row r="452" spans="1:25" x14ac:dyDescent="0.35">
      <c r="A452" s="1">
        <v>499</v>
      </c>
      <c r="B452" t="s">
        <v>75</v>
      </c>
      <c r="C452" t="s">
        <v>253</v>
      </c>
      <c r="D452" t="s">
        <v>476</v>
      </c>
      <c r="E452" s="2">
        <v>0</v>
      </c>
      <c r="F452" s="2">
        <v>0</v>
      </c>
      <c r="G452">
        <v>27</v>
      </c>
      <c r="H452" t="s">
        <v>58</v>
      </c>
      <c r="M452" s="2">
        <v>0</v>
      </c>
      <c r="N452" s="2">
        <v>0</v>
      </c>
      <c r="O452" s="2">
        <v>0</v>
      </c>
      <c r="R452" t="str">
        <f t="shared" si="21"/>
        <v>yes</v>
      </c>
      <c r="S452" t="str">
        <f t="shared" si="22"/>
        <v>no</v>
      </c>
      <c r="T4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2" s="2" t="b">
        <f t="shared" si="23"/>
        <v>0</v>
      </c>
      <c r="V452" s="2">
        <f>IF(Table4[[#This Row],[linear?]],Table4[[#This Row],[av]],10^(Table4[[#This Row],[av]]/10))</f>
        <v>1</v>
      </c>
      <c r="W452" s="2">
        <f>IF(Table4[[#This Row],[linear?]],Table4[[#This Row],[av]],10^(Table4[[#This Row],[av]]/10))</f>
        <v>1</v>
      </c>
      <c r="X452" s="2">
        <f>Table4[[#This Row],[av_lin]]-2*Table4[[#This Row],[std_lin]]</f>
        <v>-1</v>
      </c>
      <c r="Y452" s="2">
        <f>Table4[[#This Row],[av_lin]]+2*Table4[[#This Row],[std_lin]]</f>
        <v>3</v>
      </c>
    </row>
    <row r="453" spans="1:25" x14ac:dyDescent="0.35">
      <c r="A453" s="1">
        <v>500</v>
      </c>
      <c r="B453" t="s">
        <v>75</v>
      </c>
      <c r="C453" t="s">
        <v>253</v>
      </c>
      <c r="D453" t="s">
        <v>477</v>
      </c>
      <c r="E453" s="2">
        <v>7.0059259259259257</v>
      </c>
      <c r="F453" s="2">
        <v>14.71136951269178</v>
      </c>
      <c r="G453">
        <v>27</v>
      </c>
      <c r="H453" t="s">
        <v>58</v>
      </c>
      <c r="M453" s="2">
        <v>36.428664951309493</v>
      </c>
      <c r="N453" s="2">
        <v>-22.416813099457631</v>
      </c>
      <c r="O453" s="2">
        <v>58.84547805076712</v>
      </c>
      <c r="P453" s="2">
        <v>0.47622527052167229</v>
      </c>
      <c r="R453" t="str">
        <f t="shared" si="21"/>
        <v>yes</v>
      </c>
      <c r="S453" t="str">
        <f t="shared" si="22"/>
        <v>no</v>
      </c>
      <c r="T4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3" s="2" t="b">
        <f t="shared" si="23"/>
        <v>1</v>
      </c>
      <c r="V453" s="2">
        <f>IF(Table4[[#This Row],[linear?]],Table4[[#This Row],[av]],10^(Table4[[#This Row],[av]]/10))</f>
        <v>7.0059259259259257</v>
      </c>
      <c r="W453" s="2">
        <f>IF(Table4[[#This Row],[linear?]],Table4[[#This Row],[av]],10^(Table4[[#This Row],[av]]/10))</f>
        <v>7.0059259259259257</v>
      </c>
      <c r="X453" s="2">
        <f>Table4[[#This Row],[av_lin]]-2*Table4[[#This Row],[std_lin]]</f>
        <v>-7.0059259259259257</v>
      </c>
      <c r="Y453" s="2">
        <f>Table4[[#This Row],[av_lin]]+2*Table4[[#This Row],[std_lin]]</f>
        <v>21.017777777777777</v>
      </c>
    </row>
    <row r="454" spans="1:25" x14ac:dyDescent="0.35">
      <c r="A454" s="1">
        <v>501</v>
      </c>
      <c r="B454" t="s">
        <v>75</v>
      </c>
      <c r="C454" t="s">
        <v>253</v>
      </c>
      <c r="D454" t="s">
        <v>478</v>
      </c>
      <c r="E454" s="2">
        <v>33.348981481481481</v>
      </c>
      <c r="F454" s="2">
        <v>69.953413710480604</v>
      </c>
      <c r="G454">
        <v>27</v>
      </c>
      <c r="H454" t="s">
        <v>58</v>
      </c>
      <c r="M454" s="2">
        <v>173.25580890244271</v>
      </c>
      <c r="N454" s="2">
        <v>-106.55784593947971</v>
      </c>
      <c r="O454" s="2">
        <v>279.81365484192241</v>
      </c>
      <c r="P454" s="2">
        <v>0.47673129462279618</v>
      </c>
      <c r="R454" t="str">
        <f t="shared" si="21"/>
        <v>yes</v>
      </c>
      <c r="S454" t="str">
        <f t="shared" si="22"/>
        <v>no</v>
      </c>
      <c r="T4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4" s="2" t="b">
        <f t="shared" si="23"/>
        <v>0</v>
      </c>
      <c r="V454" s="2">
        <f>IF(Table4[[#This Row],[linear?]],Table4[[#This Row],[av]],10^(Table4[[#This Row],[av]]/10))</f>
        <v>2162.2113769224356</v>
      </c>
      <c r="W454" s="2">
        <f>IF(Table4[[#This Row],[linear?]],Table4[[#This Row],[av]],10^(Table4[[#This Row],[av]]/10))</f>
        <v>2162.2113769224356</v>
      </c>
      <c r="X454" s="2">
        <f>Table4[[#This Row],[av_lin]]-2*Table4[[#This Row],[std_lin]]</f>
        <v>-2162.2113769224356</v>
      </c>
      <c r="Y454" s="2">
        <f>Table4[[#This Row],[av_lin]]+2*Table4[[#This Row],[std_lin]]</f>
        <v>6486.6341307673065</v>
      </c>
    </row>
    <row r="455" spans="1:25" x14ac:dyDescent="0.35">
      <c r="A455" s="1">
        <v>502</v>
      </c>
      <c r="B455" t="s">
        <v>75</v>
      </c>
      <c r="C455" t="s">
        <v>253</v>
      </c>
      <c r="D455" t="s">
        <v>479</v>
      </c>
      <c r="E455" s="2">
        <v>0</v>
      </c>
      <c r="F455" s="2">
        <v>0</v>
      </c>
      <c r="G455">
        <v>27</v>
      </c>
      <c r="H455" t="s">
        <v>58</v>
      </c>
      <c r="M455" s="2">
        <v>0</v>
      </c>
      <c r="N455" s="2">
        <v>0</v>
      </c>
      <c r="O455" s="2">
        <v>0</v>
      </c>
      <c r="R455" t="str">
        <f t="shared" si="21"/>
        <v>yes</v>
      </c>
      <c r="S455" t="str">
        <f t="shared" si="22"/>
        <v>no</v>
      </c>
      <c r="T4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5" s="2" t="b">
        <f t="shared" si="23"/>
        <v>0</v>
      </c>
      <c r="V455" s="2">
        <f>IF(Table4[[#This Row],[linear?]],Table4[[#This Row],[av]],10^(Table4[[#This Row],[av]]/10))</f>
        <v>1</v>
      </c>
      <c r="W455" s="2">
        <f>IF(Table4[[#This Row],[linear?]],Table4[[#This Row],[av]],10^(Table4[[#This Row],[av]]/10))</f>
        <v>1</v>
      </c>
      <c r="X455" s="2">
        <f>Table4[[#This Row],[av_lin]]-2*Table4[[#This Row],[std_lin]]</f>
        <v>-1</v>
      </c>
      <c r="Y455" s="2">
        <f>Table4[[#This Row],[av_lin]]+2*Table4[[#This Row],[std_lin]]</f>
        <v>3</v>
      </c>
    </row>
    <row r="456" spans="1:25" x14ac:dyDescent="0.35">
      <c r="A456" s="1">
        <v>503</v>
      </c>
      <c r="B456" t="s">
        <v>75</v>
      </c>
      <c r="C456" t="s">
        <v>253</v>
      </c>
      <c r="D456" t="s">
        <v>480</v>
      </c>
      <c r="E456" s="2">
        <v>0</v>
      </c>
      <c r="F456" s="2">
        <v>0</v>
      </c>
      <c r="G456">
        <v>27</v>
      </c>
      <c r="H456" t="s">
        <v>58</v>
      </c>
      <c r="M456" s="2">
        <v>0</v>
      </c>
      <c r="N456" s="2">
        <v>0</v>
      </c>
      <c r="O456" s="2">
        <v>0</v>
      </c>
      <c r="R456" t="str">
        <f t="shared" si="21"/>
        <v>yes</v>
      </c>
      <c r="S456" t="str">
        <f t="shared" si="22"/>
        <v>no</v>
      </c>
      <c r="T4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6" s="2" t="b">
        <f t="shared" si="23"/>
        <v>0</v>
      </c>
      <c r="V456" s="2">
        <f>IF(Table4[[#This Row],[linear?]],Table4[[#This Row],[av]],10^(Table4[[#This Row],[av]]/10))</f>
        <v>1</v>
      </c>
      <c r="W456" s="2">
        <f>IF(Table4[[#This Row],[linear?]],Table4[[#This Row],[av]],10^(Table4[[#This Row],[av]]/10))</f>
        <v>1</v>
      </c>
      <c r="X456" s="2">
        <f>Table4[[#This Row],[av_lin]]-2*Table4[[#This Row],[std_lin]]</f>
        <v>-1</v>
      </c>
      <c r="Y456" s="2">
        <f>Table4[[#This Row],[av_lin]]+2*Table4[[#This Row],[std_lin]]</f>
        <v>3</v>
      </c>
    </row>
    <row r="457" spans="1:25" x14ac:dyDescent="0.35">
      <c r="A457" s="1">
        <v>504</v>
      </c>
      <c r="B457" t="s">
        <v>75</v>
      </c>
      <c r="C457" t="s">
        <v>253</v>
      </c>
      <c r="D457" t="s">
        <v>481</v>
      </c>
      <c r="E457" s="2">
        <v>7.5915851851851848</v>
      </c>
      <c r="F457" s="2">
        <v>15.95017640809688</v>
      </c>
      <c r="G457">
        <v>27</v>
      </c>
      <c r="H457" t="s">
        <v>58</v>
      </c>
      <c r="M457" s="2">
        <v>39.491938001378941</v>
      </c>
      <c r="N457" s="2">
        <v>-24.308767631008571</v>
      </c>
      <c r="O457" s="2">
        <v>63.800705632387519</v>
      </c>
      <c r="P457" s="2">
        <v>0.4759561895084386</v>
      </c>
      <c r="R457" t="str">
        <f t="shared" si="21"/>
        <v>yes</v>
      </c>
      <c r="S457" t="str">
        <f t="shared" si="22"/>
        <v>no</v>
      </c>
      <c r="T4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7" s="2" t="b">
        <f t="shared" si="23"/>
        <v>1</v>
      </c>
      <c r="V457" s="2">
        <f>IF(Table4[[#This Row],[linear?]],Table4[[#This Row],[av]],10^(Table4[[#This Row],[av]]/10))</f>
        <v>7.5915851851851848</v>
      </c>
      <c r="W457" s="2">
        <f>IF(Table4[[#This Row],[linear?]],Table4[[#This Row],[av]],10^(Table4[[#This Row],[av]]/10))</f>
        <v>7.5915851851851848</v>
      </c>
      <c r="X457" s="2">
        <f>Table4[[#This Row],[av_lin]]-2*Table4[[#This Row],[std_lin]]</f>
        <v>-7.5915851851851848</v>
      </c>
      <c r="Y457" s="2">
        <f>Table4[[#This Row],[av_lin]]+2*Table4[[#This Row],[std_lin]]</f>
        <v>22.774755555555554</v>
      </c>
    </row>
    <row r="458" spans="1:25" x14ac:dyDescent="0.35">
      <c r="A458" s="1">
        <v>505</v>
      </c>
      <c r="B458" t="s">
        <v>75</v>
      </c>
      <c r="C458" t="s">
        <v>253</v>
      </c>
      <c r="D458" t="s">
        <v>482</v>
      </c>
      <c r="E458" s="2">
        <v>27.46812222222222</v>
      </c>
      <c r="F458" s="2">
        <v>59.999371201756553</v>
      </c>
      <c r="G458">
        <v>27</v>
      </c>
      <c r="H458" t="s">
        <v>58</v>
      </c>
      <c r="M458" s="2">
        <v>147.4668646257353</v>
      </c>
      <c r="N458" s="2">
        <v>-92.530620181290885</v>
      </c>
      <c r="O458" s="2">
        <v>239.99748480702621</v>
      </c>
      <c r="P458" s="2">
        <v>0.45780683483926338</v>
      </c>
      <c r="R458" t="str">
        <f t="shared" si="21"/>
        <v>yes</v>
      </c>
      <c r="S458" t="str">
        <f t="shared" si="22"/>
        <v>no</v>
      </c>
      <c r="T4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8" s="2" t="b">
        <f t="shared" si="23"/>
        <v>0</v>
      </c>
      <c r="V458" s="2">
        <f>IF(Table4[[#This Row],[linear?]],Table4[[#This Row],[av]],10^(Table4[[#This Row],[av]]/10))</f>
        <v>558.22877876545476</v>
      </c>
      <c r="W458" s="2">
        <f>IF(Table4[[#This Row],[linear?]],Table4[[#This Row],[av]],10^(Table4[[#This Row],[av]]/10))</f>
        <v>558.22877876545476</v>
      </c>
      <c r="X458" s="2">
        <f>Table4[[#This Row],[av_lin]]-2*Table4[[#This Row],[std_lin]]</f>
        <v>-558.22877876545476</v>
      </c>
      <c r="Y458" s="2">
        <f>Table4[[#This Row],[av_lin]]+2*Table4[[#This Row],[std_lin]]</f>
        <v>1674.6863362963643</v>
      </c>
    </row>
    <row r="459" spans="1:25" x14ac:dyDescent="0.35">
      <c r="A459" s="1">
        <v>506</v>
      </c>
      <c r="B459" t="s">
        <v>75</v>
      </c>
      <c r="C459" t="s">
        <v>253</v>
      </c>
      <c r="D459" t="s">
        <v>483</v>
      </c>
      <c r="E459" s="2">
        <v>0</v>
      </c>
      <c r="F459" s="2">
        <v>0</v>
      </c>
      <c r="G459">
        <v>27</v>
      </c>
      <c r="H459" t="s">
        <v>58</v>
      </c>
      <c r="M459" s="2">
        <v>0</v>
      </c>
      <c r="N459" s="2">
        <v>0</v>
      </c>
      <c r="O459" s="2">
        <v>0</v>
      </c>
      <c r="R459" t="str">
        <f t="shared" si="21"/>
        <v>yes</v>
      </c>
      <c r="S459" t="str">
        <f t="shared" si="22"/>
        <v>no</v>
      </c>
      <c r="T4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9" s="2" t="b">
        <f t="shared" si="23"/>
        <v>0</v>
      </c>
      <c r="V459" s="2">
        <f>IF(Table4[[#This Row],[linear?]],Table4[[#This Row],[av]],10^(Table4[[#This Row],[av]]/10))</f>
        <v>1</v>
      </c>
      <c r="W459" s="2">
        <f>IF(Table4[[#This Row],[linear?]],Table4[[#This Row],[av]],10^(Table4[[#This Row],[av]]/10))</f>
        <v>1</v>
      </c>
      <c r="X459" s="2">
        <f>Table4[[#This Row],[av_lin]]-2*Table4[[#This Row],[std_lin]]</f>
        <v>-1</v>
      </c>
      <c r="Y459" s="2">
        <f>Table4[[#This Row],[av_lin]]+2*Table4[[#This Row],[std_lin]]</f>
        <v>3</v>
      </c>
    </row>
    <row r="460" spans="1:25" x14ac:dyDescent="0.35">
      <c r="A460" s="1">
        <v>507</v>
      </c>
      <c r="B460" t="s">
        <v>75</v>
      </c>
      <c r="C460" t="s">
        <v>253</v>
      </c>
      <c r="D460" t="s">
        <v>484</v>
      </c>
      <c r="E460" s="2">
        <v>0</v>
      </c>
      <c r="F460" s="2">
        <v>0</v>
      </c>
      <c r="G460">
        <v>27</v>
      </c>
      <c r="H460" t="s">
        <v>58</v>
      </c>
      <c r="M460" s="2">
        <v>0</v>
      </c>
      <c r="N460" s="2">
        <v>0</v>
      </c>
      <c r="O460" s="2">
        <v>0</v>
      </c>
      <c r="R460" t="str">
        <f t="shared" si="21"/>
        <v>yes</v>
      </c>
      <c r="S460" t="str">
        <f t="shared" si="22"/>
        <v>no</v>
      </c>
      <c r="T4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0" s="2" t="b">
        <f t="shared" si="23"/>
        <v>0</v>
      </c>
      <c r="V460" s="2">
        <f>IF(Table4[[#This Row],[linear?]],Table4[[#This Row],[av]],10^(Table4[[#This Row],[av]]/10))</f>
        <v>1</v>
      </c>
      <c r="W460" s="2">
        <f>IF(Table4[[#This Row],[linear?]],Table4[[#This Row],[av]],10^(Table4[[#This Row],[av]]/10))</f>
        <v>1</v>
      </c>
      <c r="X460" s="2">
        <f>Table4[[#This Row],[av_lin]]-2*Table4[[#This Row],[std_lin]]</f>
        <v>-1</v>
      </c>
      <c r="Y460" s="2">
        <f>Table4[[#This Row],[av_lin]]+2*Table4[[#This Row],[std_lin]]</f>
        <v>3</v>
      </c>
    </row>
    <row r="461" spans="1:25" x14ac:dyDescent="0.35">
      <c r="A461" s="1">
        <v>508</v>
      </c>
      <c r="B461" t="s">
        <v>75</v>
      </c>
      <c r="C461" t="s">
        <v>253</v>
      </c>
      <c r="D461" t="s">
        <v>485</v>
      </c>
      <c r="E461" s="2">
        <v>6.7397222222222224</v>
      </c>
      <c r="F461" s="2">
        <v>14.1589983156461</v>
      </c>
      <c r="G461">
        <v>27</v>
      </c>
      <c r="H461" t="s">
        <v>58</v>
      </c>
      <c r="M461" s="2">
        <v>35.057718853514423</v>
      </c>
      <c r="N461" s="2">
        <v>-21.57827440906998</v>
      </c>
      <c r="O461" s="2">
        <v>56.6359932625844</v>
      </c>
      <c r="P461" s="2">
        <v>0.47600275612538462</v>
      </c>
      <c r="R461" t="str">
        <f t="shared" si="21"/>
        <v>yes</v>
      </c>
      <c r="S461" t="str">
        <f t="shared" si="22"/>
        <v>no</v>
      </c>
      <c r="T4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1" s="2" t="b">
        <f t="shared" si="23"/>
        <v>1</v>
      </c>
      <c r="V461" s="2">
        <f>IF(Table4[[#This Row],[linear?]],Table4[[#This Row],[av]],10^(Table4[[#This Row],[av]]/10))</f>
        <v>6.7397222222222224</v>
      </c>
      <c r="W461" s="2">
        <f>IF(Table4[[#This Row],[linear?]],Table4[[#This Row],[av]],10^(Table4[[#This Row],[av]]/10))</f>
        <v>6.7397222222222224</v>
      </c>
      <c r="X461" s="2">
        <f>Table4[[#This Row],[av_lin]]-2*Table4[[#This Row],[std_lin]]</f>
        <v>-6.7397222222222224</v>
      </c>
      <c r="Y461" s="2">
        <f>Table4[[#This Row],[av_lin]]+2*Table4[[#This Row],[std_lin]]</f>
        <v>20.219166666666666</v>
      </c>
    </row>
    <row r="462" spans="1:25" x14ac:dyDescent="0.35">
      <c r="A462" s="1">
        <v>509</v>
      </c>
      <c r="B462" t="s">
        <v>75</v>
      </c>
      <c r="C462" t="s">
        <v>253</v>
      </c>
      <c r="D462" t="s">
        <v>486</v>
      </c>
      <c r="E462" s="2">
        <v>33.348981481481481</v>
      </c>
      <c r="F462" s="2">
        <v>69.953413710480604</v>
      </c>
      <c r="G462">
        <v>27</v>
      </c>
      <c r="H462" t="s">
        <v>58</v>
      </c>
      <c r="M462" s="2">
        <v>173.25580890244271</v>
      </c>
      <c r="N462" s="2">
        <v>-106.55784593947971</v>
      </c>
      <c r="O462" s="2">
        <v>279.81365484192241</v>
      </c>
      <c r="P462" s="2">
        <v>0.47673129462279618</v>
      </c>
      <c r="R462" t="str">
        <f t="shared" si="21"/>
        <v>yes</v>
      </c>
      <c r="S462" t="str">
        <f t="shared" si="22"/>
        <v>no</v>
      </c>
      <c r="T4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2" s="2" t="b">
        <f t="shared" si="23"/>
        <v>0</v>
      </c>
      <c r="V462" s="2">
        <f>IF(Table4[[#This Row],[linear?]],Table4[[#This Row],[av]],10^(Table4[[#This Row],[av]]/10))</f>
        <v>2162.2113769224356</v>
      </c>
      <c r="W462" s="2">
        <f>IF(Table4[[#This Row],[linear?]],Table4[[#This Row],[av]],10^(Table4[[#This Row],[av]]/10))</f>
        <v>2162.2113769224356</v>
      </c>
      <c r="X462" s="2">
        <f>Table4[[#This Row],[av_lin]]-2*Table4[[#This Row],[std_lin]]</f>
        <v>-2162.2113769224356</v>
      </c>
      <c r="Y462" s="2">
        <f>Table4[[#This Row],[av_lin]]+2*Table4[[#This Row],[std_lin]]</f>
        <v>6486.6341307673065</v>
      </c>
    </row>
    <row r="463" spans="1:25" x14ac:dyDescent="0.35">
      <c r="A463" s="1">
        <v>510</v>
      </c>
      <c r="B463" t="s">
        <v>75</v>
      </c>
      <c r="C463" t="s">
        <v>253</v>
      </c>
      <c r="D463" t="s">
        <v>487</v>
      </c>
      <c r="E463" s="2">
        <v>0</v>
      </c>
      <c r="F463" s="2">
        <v>0</v>
      </c>
      <c r="G463">
        <v>27</v>
      </c>
      <c r="H463" t="s">
        <v>58</v>
      </c>
      <c r="M463" s="2">
        <v>0</v>
      </c>
      <c r="N463" s="2">
        <v>0</v>
      </c>
      <c r="O463" s="2">
        <v>0</v>
      </c>
      <c r="R463" t="str">
        <f t="shared" si="21"/>
        <v>yes</v>
      </c>
      <c r="S463" t="str">
        <f t="shared" si="22"/>
        <v>no</v>
      </c>
      <c r="T4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3" s="2" t="b">
        <f t="shared" si="23"/>
        <v>0</v>
      </c>
      <c r="V463" s="2">
        <f>IF(Table4[[#This Row],[linear?]],Table4[[#This Row],[av]],10^(Table4[[#This Row],[av]]/10))</f>
        <v>1</v>
      </c>
      <c r="W463" s="2">
        <f>IF(Table4[[#This Row],[linear?]],Table4[[#This Row],[av]],10^(Table4[[#This Row],[av]]/10))</f>
        <v>1</v>
      </c>
      <c r="X463" s="2">
        <f>Table4[[#This Row],[av_lin]]-2*Table4[[#This Row],[std_lin]]</f>
        <v>-1</v>
      </c>
      <c r="Y463" s="2">
        <f>Table4[[#This Row],[av_lin]]+2*Table4[[#This Row],[std_lin]]</f>
        <v>3</v>
      </c>
    </row>
    <row r="464" spans="1:25" x14ac:dyDescent="0.35">
      <c r="A464" s="1">
        <v>511</v>
      </c>
      <c r="B464" t="s">
        <v>75</v>
      </c>
      <c r="C464" t="s">
        <v>253</v>
      </c>
      <c r="D464" t="s">
        <v>488</v>
      </c>
      <c r="E464" s="2">
        <v>0</v>
      </c>
      <c r="F464" s="2">
        <v>0</v>
      </c>
      <c r="G464">
        <v>27</v>
      </c>
      <c r="H464" t="s">
        <v>58</v>
      </c>
      <c r="M464" s="2">
        <v>0</v>
      </c>
      <c r="N464" s="2">
        <v>0</v>
      </c>
      <c r="O464" s="2">
        <v>0</v>
      </c>
      <c r="R464" t="str">
        <f t="shared" si="21"/>
        <v>yes</v>
      </c>
      <c r="S464" t="str">
        <f t="shared" si="22"/>
        <v>no</v>
      </c>
      <c r="T4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4" s="2" t="b">
        <f t="shared" si="23"/>
        <v>0</v>
      </c>
      <c r="V464" s="2">
        <f>IF(Table4[[#This Row],[linear?]],Table4[[#This Row],[av]],10^(Table4[[#This Row],[av]]/10))</f>
        <v>1</v>
      </c>
      <c r="W464" s="2">
        <f>IF(Table4[[#This Row],[linear?]],Table4[[#This Row],[av]],10^(Table4[[#This Row],[av]]/10))</f>
        <v>1</v>
      </c>
      <c r="X464" s="2">
        <f>Table4[[#This Row],[av_lin]]-2*Table4[[#This Row],[std_lin]]</f>
        <v>-1</v>
      </c>
      <c r="Y464" s="2">
        <f>Table4[[#This Row],[av_lin]]+2*Table4[[#This Row],[std_lin]]</f>
        <v>3</v>
      </c>
    </row>
    <row r="465" spans="1:25" x14ac:dyDescent="0.35">
      <c r="A465" s="1">
        <v>512</v>
      </c>
      <c r="B465" t="s">
        <v>75</v>
      </c>
      <c r="C465" t="s">
        <v>253</v>
      </c>
      <c r="D465" t="s">
        <v>489</v>
      </c>
      <c r="E465" s="2">
        <v>7.3786111111111108</v>
      </c>
      <c r="F465" s="2">
        <v>15.485414941003731</v>
      </c>
      <c r="G465">
        <v>27</v>
      </c>
      <c r="H465" t="s">
        <v>58</v>
      </c>
      <c r="M465" s="2">
        <v>38.34944099311857</v>
      </c>
      <c r="N465" s="2">
        <v>-23.592218770896348</v>
      </c>
      <c r="O465" s="2">
        <v>61.941659764014922</v>
      </c>
      <c r="P465" s="2">
        <v>0.476487787974821</v>
      </c>
      <c r="R465" t="str">
        <f t="shared" si="21"/>
        <v>yes</v>
      </c>
      <c r="S465" t="str">
        <f t="shared" si="22"/>
        <v>no</v>
      </c>
      <c r="T4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5" s="2" t="b">
        <f t="shared" si="23"/>
        <v>1</v>
      </c>
      <c r="V465" s="2">
        <f>IF(Table4[[#This Row],[linear?]],Table4[[#This Row],[av]],10^(Table4[[#This Row],[av]]/10))</f>
        <v>7.3786111111111108</v>
      </c>
      <c r="W465" s="2">
        <f>IF(Table4[[#This Row],[linear?]],Table4[[#This Row],[av]],10^(Table4[[#This Row],[av]]/10))</f>
        <v>7.3786111111111108</v>
      </c>
      <c r="X465" s="2">
        <f>Table4[[#This Row],[av_lin]]-2*Table4[[#This Row],[std_lin]]</f>
        <v>-7.3786111111111108</v>
      </c>
      <c r="Y465" s="2">
        <f>Table4[[#This Row],[av_lin]]+2*Table4[[#This Row],[std_lin]]</f>
        <v>22.135833333333331</v>
      </c>
    </row>
    <row r="466" spans="1:25" x14ac:dyDescent="0.35">
      <c r="A466" s="1">
        <v>513</v>
      </c>
      <c r="B466" t="s">
        <v>75</v>
      </c>
      <c r="C466" t="s">
        <v>253</v>
      </c>
      <c r="D466" t="s">
        <v>490</v>
      </c>
      <c r="E466" s="2">
        <v>26.04213703703704</v>
      </c>
      <c r="F466" s="2">
        <v>58.450898794300763</v>
      </c>
      <c r="G466">
        <v>27</v>
      </c>
      <c r="H466" t="s">
        <v>58</v>
      </c>
      <c r="M466" s="2">
        <v>142.9439346256386</v>
      </c>
      <c r="N466" s="2">
        <v>-90.859660551564488</v>
      </c>
      <c r="O466" s="2">
        <v>233.80359517720311</v>
      </c>
      <c r="P466" s="2">
        <v>0.44553869271855012</v>
      </c>
      <c r="R466" t="str">
        <f t="shared" si="21"/>
        <v>yes</v>
      </c>
      <c r="S466" t="str">
        <f t="shared" si="22"/>
        <v>no</v>
      </c>
      <c r="T4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6" s="2" t="b">
        <f t="shared" si="23"/>
        <v>0</v>
      </c>
      <c r="V466" s="2">
        <f>IF(Table4[[#This Row],[linear?]],Table4[[#This Row],[av]],10^(Table4[[#This Row],[av]]/10))</f>
        <v>401.98856909149868</v>
      </c>
      <c r="W466" s="2">
        <f>IF(Table4[[#This Row],[linear?]],Table4[[#This Row],[av]],10^(Table4[[#This Row],[av]]/10))</f>
        <v>401.98856909149868</v>
      </c>
      <c r="X466" s="2">
        <f>Table4[[#This Row],[av_lin]]-2*Table4[[#This Row],[std_lin]]</f>
        <v>-401.98856909149868</v>
      </c>
      <c r="Y466" s="2">
        <f>Table4[[#This Row],[av_lin]]+2*Table4[[#This Row],[std_lin]]</f>
        <v>1205.965707274496</v>
      </c>
    </row>
    <row r="467" spans="1:25" x14ac:dyDescent="0.35">
      <c r="A467" s="1">
        <v>514</v>
      </c>
      <c r="B467" t="s">
        <v>75</v>
      </c>
      <c r="C467" t="s">
        <v>253</v>
      </c>
      <c r="D467" t="s">
        <v>491</v>
      </c>
      <c r="E467" s="2">
        <v>0</v>
      </c>
      <c r="F467" s="2">
        <v>0</v>
      </c>
      <c r="G467">
        <v>27</v>
      </c>
      <c r="H467" t="s">
        <v>58</v>
      </c>
      <c r="M467" s="2">
        <v>0</v>
      </c>
      <c r="N467" s="2">
        <v>0</v>
      </c>
      <c r="O467" s="2">
        <v>0</v>
      </c>
      <c r="R467" t="str">
        <f t="shared" si="21"/>
        <v>yes</v>
      </c>
      <c r="S467" t="str">
        <f t="shared" si="22"/>
        <v>no</v>
      </c>
      <c r="T4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7" s="2" t="b">
        <f t="shared" si="23"/>
        <v>0</v>
      </c>
      <c r="V467" s="2">
        <f>IF(Table4[[#This Row],[linear?]],Table4[[#This Row],[av]],10^(Table4[[#This Row],[av]]/10))</f>
        <v>1</v>
      </c>
      <c r="W467" s="2">
        <f>IF(Table4[[#This Row],[linear?]],Table4[[#This Row],[av]],10^(Table4[[#This Row],[av]]/10))</f>
        <v>1</v>
      </c>
      <c r="X467" s="2">
        <f>Table4[[#This Row],[av_lin]]-2*Table4[[#This Row],[std_lin]]</f>
        <v>-1</v>
      </c>
      <c r="Y467" s="2">
        <f>Table4[[#This Row],[av_lin]]+2*Table4[[#This Row],[std_lin]]</f>
        <v>3</v>
      </c>
    </row>
    <row r="468" spans="1:25" x14ac:dyDescent="0.35">
      <c r="A468" s="1">
        <v>515</v>
      </c>
      <c r="B468" t="s">
        <v>75</v>
      </c>
      <c r="C468" t="s">
        <v>253</v>
      </c>
      <c r="D468" t="s">
        <v>492</v>
      </c>
      <c r="E468" s="2">
        <v>0</v>
      </c>
      <c r="F468" s="2">
        <v>0</v>
      </c>
      <c r="G468">
        <v>27</v>
      </c>
      <c r="H468" t="s">
        <v>58</v>
      </c>
      <c r="M468" s="2">
        <v>0</v>
      </c>
      <c r="N468" s="2">
        <v>0</v>
      </c>
      <c r="O468" s="2">
        <v>0</v>
      </c>
      <c r="R468" t="str">
        <f t="shared" si="21"/>
        <v>yes</v>
      </c>
      <c r="S468" t="str">
        <f t="shared" si="22"/>
        <v>no</v>
      </c>
      <c r="T4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8" s="2" t="b">
        <f t="shared" si="23"/>
        <v>0</v>
      </c>
      <c r="V468" s="2">
        <f>IF(Table4[[#This Row],[linear?]],Table4[[#This Row],[av]],10^(Table4[[#This Row],[av]]/10))</f>
        <v>1</v>
      </c>
      <c r="W468" s="2">
        <f>IF(Table4[[#This Row],[linear?]],Table4[[#This Row],[av]],10^(Table4[[#This Row],[av]]/10))</f>
        <v>1</v>
      </c>
      <c r="X468" s="2">
        <f>Table4[[#This Row],[av_lin]]-2*Table4[[#This Row],[std_lin]]</f>
        <v>-1</v>
      </c>
      <c r="Y468" s="2">
        <f>Table4[[#This Row],[av_lin]]+2*Table4[[#This Row],[std_lin]]</f>
        <v>3</v>
      </c>
    </row>
    <row r="469" spans="1:25" x14ac:dyDescent="0.35">
      <c r="A469" s="1">
        <v>516</v>
      </c>
      <c r="B469" t="s">
        <v>75</v>
      </c>
      <c r="C469" t="s">
        <v>253</v>
      </c>
      <c r="D469" t="s">
        <v>493</v>
      </c>
      <c r="E469" s="2">
        <v>6.5090111111111124</v>
      </c>
      <c r="F469" s="2">
        <v>13.66561879815705</v>
      </c>
      <c r="G469">
        <v>27</v>
      </c>
      <c r="H469" t="s">
        <v>58</v>
      </c>
      <c r="M469" s="2">
        <v>33.840248707425211</v>
      </c>
      <c r="N469" s="2">
        <v>-20.822226485202989</v>
      </c>
      <c r="O469" s="2">
        <v>54.6624751926282</v>
      </c>
      <c r="P469" s="2">
        <v>0.47630562561784029</v>
      </c>
      <c r="R469" t="str">
        <f t="shared" si="21"/>
        <v>yes</v>
      </c>
      <c r="S469" t="str">
        <f t="shared" si="22"/>
        <v>no</v>
      </c>
      <c r="T4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9" s="2" t="b">
        <f t="shared" si="23"/>
        <v>1</v>
      </c>
      <c r="V469" s="2">
        <f>IF(Table4[[#This Row],[linear?]],Table4[[#This Row],[av]],10^(Table4[[#This Row],[av]]/10))</f>
        <v>6.5090111111111124</v>
      </c>
      <c r="W469" s="2">
        <f>IF(Table4[[#This Row],[linear?]],Table4[[#This Row],[av]],10^(Table4[[#This Row],[av]]/10))</f>
        <v>6.5090111111111124</v>
      </c>
      <c r="X469" s="2">
        <f>Table4[[#This Row],[av_lin]]-2*Table4[[#This Row],[std_lin]]</f>
        <v>-6.5090111111111124</v>
      </c>
      <c r="Y469" s="2">
        <f>Table4[[#This Row],[av_lin]]+2*Table4[[#This Row],[std_lin]]</f>
        <v>19.527033333333335</v>
      </c>
    </row>
    <row r="470" spans="1:25" x14ac:dyDescent="0.35">
      <c r="A470" s="1">
        <v>517</v>
      </c>
      <c r="B470" t="s">
        <v>75</v>
      </c>
      <c r="C470" t="s">
        <v>253</v>
      </c>
      <c r="D470" t="s">
        <v>494</v>
      </c>
      <c r="E470" s="2">
        <v>0</v>
      </c>
      <c r="F470" s="2">
        <v>0</v>
      </c>
      <c r="G470">
        <v>27</v>
      </c>
      <c r="H470" t="s">
        <v>58</v>
      </c>
      <c r="M470" s="2">
        <v>0</v>
      </c>
      <c r="N470" s="2">
        <v>0</v>
      </c>
      <c r="O470" s="2">
        <v>0</v>
      </c>
      <c r="R470" t="str">
        <f t="shared" si="21"/>
        <v>yes</v>
      </c>
      <c r="S470" t="str">
        <f t="shared" si="22"/>
        <v>no</v>
      </c>
      <c r="T4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0" s="2" t="b">
        <f t="shared" si="23"/>
        <v>0</v>
      </c>
      <c r="V470" s="2">
        <f>IF(Table4[[#This Row],[linear?]],Table4[[#This Row],[av]],10^(Table4[[#This Row],[av]]/10))</f>
        <v>1</v>
      </c>
      <c r="W470" s="2">
        <f>IF(Table4[[#This Row],[linear?]],Table4[[#This Row],[av]],10^(Table4[[#This Row],[av]]/10))</f>
        <v>1</v>
      </c>
      <c r="X470" s="2">
        <f>Table4[[#This Row],[av_lin]]-2*Table4[[#This Row],[std_lin]]</f>
        <v>-1</v>
      </c>
      <c r="Y470" s="2">
        <f>Table4[[#This Row],[av_lin]]+2*Table4[[#This Row],[std_lin]]</f>
        <v>3</v>
      </c>
    </row>
    <row r="471" spans="1:25" x14ac:dyDescent="0.35">
      <c r="A471" s="1">
        <v>518</v>
      </c>
      <c r="B471" t="s">
        <v>75</v>
      </c>
      <c r="C471" t="s">
        <v>253</v>
      </c>
      <c r="D471" t="s">
        <v>495</v>
      </c>
      <c r="E471" s="2">
        <v>2.9957555555555562</v>
      </c>
      <c r="F471" s="2">
        <v>5.6045454517067581</v>
      </c>
      <c r="G471">
        <v>27</v>
      </c>
      <c r="H471" t="s">
        <v>58</v>
      </c>
      <c r="M471" s="2">
        <v>14.204846458969071</v>
      </c>
      <c r="N471" s="2">
        <v>-8.21333534785796</v>
      </c>
      <c r="O471" s="2">
        <v>22.418181806827029</v>
      </c>
      <c r="P471" s="2">
        <v>0.5345224838248489</v>
      </c>
      <c r="R471" t="str">
        <f t="shared" si="21"/>
        <v>yes</v>
      </c>
      <c r="S471" t="str">
        <f t="shared" si="22"/>
        <v>no</v>
      </c>
      <c r="T4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1" s="2" t="b">
        <f t="shared" si="23"/>
        <v>0</v>
      </c>
      <c r="V471" s="2">
        <f>IF(Table4[[#This Row],[linear?]],Table4[[#This Row],[av]],10^(Table4[[#This Row],[av]]/10))</f>
        <v>1.9933132588797982</v>
      </c>
      <c r="W471" s="2">
        <f>IF(Table4[[#This Row],[linear?]],Table4[[#This Row],[av]],10^(Table4[[#This Row],[av]]/10))</f>
        <v>1.9933132588797982</v>
      </c>
      <c r="X471" s="2">
        <f>Table4[[#This Row],[av_lin]]-2*Table4[[#This Row],[std_lin]]</f>
        <v>-1.9933132588797982</v>
      </c>
      <c r="Y471" s="2">
        <f>Table4[[#This Row],[av_lin]]+2*Table4[[#This Row],[std_lin]]</f>
        <v>5.9799397766393945</v>
      </c>
    </row>
    <row r="472" spans="1:25" x14ac:dyDescent="0.35">
      <c r="A472" s="1">
        <v>519</v>
      </c>
      <c r="B472" t="s">
        <v>75</v>
      </c>
      <c r="C472" t="s">
        <v>253</v>
      </c>
      <c r="D472" t="s">
        <v>496</v>
      </c>
      <c r="E472" s="2">
        <v>0</v>
      </c>
      <c r="F472" s="2">
        <v>0</v>
      </c>
      <c r="G472">
        <v>27</v>
      </c>
      <c r="H472" t="s">
        <v>58</v>
      </c>
      <c r="M472" s="2">
        <v>0</v>
      </c>
      <c r="N472" s="2">
        <v>0</v>
      </c>
      <c r="O472" s="2">
        <v>0</v>
      </c>
      <c r="R472" t="str">
        <f t="shared" si="21"/>
        <v>yes</v>
      </c>
      <c r="S472" t="str">
        <f t="shared" si="22"/>
        <v>no</v>
      </c>
      <c r="T4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2" s="2" t="b">
        <f t="shared" si="23"/>
        <v>0</v>
      </c>
      <c r="V472" s="2">
        <f>IF(Table4[[#This Row],[linear?]],Table4[[#This Row],[av]],10^(Table4[[#This Row],[av]]/10))</f>
        <v>1</v>
      </c>
      <c r="W472" s="2">
        <f>IF(Table4[[#This Row],[linear?]],Table4[[#This Row],[av]],10^(Table4[[#This Row],[av]]/10))</f>
        <v>1</v>
      </c>
      <c r="X472" s="2">
        <f>Table4[[#This Row],[av_lin]]-2*Table4[[#This Row],[std_lin]]</f>
        <v>-1</v>
      </c>
      <c r="Y472" s="2">
        <f>Table4[[#This Row],[av_lin]]+2*Table4[[#This Row],[std_lin]]</f>
        <v>3</v>
      </c>
    </row>
    <row r="473" spans="1:25" x14ac:dyDescent="0.35">
      <c r="A473" s="1">
        <v>520</v>
      </c>
      <c r="B473" t="s">
        <v>75</v>
      </c>
      <c r="C473" t="s">
        <v>253</v>
      </c>
      <c r="D473" t="s">
        <v>497</v>
      </c>
      <c r="E473" s="2">
        <v>9.8268814814814807</v>
      </c>
      <c r="F473" s="2">
        <v>18.48390085514934</v>
      </c>
      <c r="G473">
        <v>27</v>
      </c>
      <c r="H473" t="s">
        <v>58</v>
      </c>
      <c r="M473" s="2">
        <v>46.794683191780159</v>
      </c>
      <c r="N473" s="2">
        <v>-27.140920228817201</v>
      </c>
      <c r="O473" s="2">
        <v>73.93560342059736</v>
      </c>
      <c r="P473" s="2">
        <v>0.53164543342288362</v>
      </c>
      <c r="R473" t="str">
        <f t="shared" si="21"/>
        <v>yes</v>
      </c>
      <c r="S473" t="str">
        <f t="shared" si="22"/>
        <v>no</v>
      </c>
      <c r="T4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3" s="2" t="b">
        <f t="shared" si="23"/>
        <v>1</v>
      </c>
      <c r="V473" s="2">
        <f>IF(Table4[[#This Row],[linear?]],Table4[[#This Row],[av]],10^(Table4[[#This Row],[av]]/10))</f>
        <v>9.8268814814814807</v>
      </c>
      <c r="W473" s="2">
        <f>IF(Table4[[#This Row],[linear?]],Table4[[#This Row],[av]],10^(Table4[[#This Row],[av]]/10))</f>
        <v>9.8268814814814807</v>
      </c>
      <c r="X473" s="2">
        <f>Table4[[#This Row],[av_lin]]-2*Table4[[#This Row],[std_lin]]</f>
        <v>-9.8268814814814807</v>
      </c>
      <c r="Y473" s="2">
        <f>Table4[[#This Row],[av_lin]]+2*Table4[[#This Row],[std_lin]]</f>
        <v>29.480644444444444</v>
      </c>
    </row>
    <row r="474" spans="1:25" x14ac:dyDescent="0.35">
      <c r="A474" s="1">
        <v>521</v>
      </c>
      <c r="B474" t="s">
        <v>75</v>
      </c>
      <c r="C474" t="s">
        <v>253</v>
      </c>
      <c r="D474" t="s">
        <v>498</v>
      </c>
      <c r="E474" s="2">
        <v>0</v>
      </c>
      <c r="F474" s="2">
        <v>0</v>
      </c>
      <c r="G474">
        <v>27</v>
      </c>
      <c r="H474" t="s">
        <v>58</v>
      </c>
      <c r="M474" s="2">
        <v>0</v>
      </c>
      <c r="N474" s="2">
        <v>0</v>
      </c>
      <c r="O474" s="2">
        <v>0</v>
      </c>
      <c r="R474" t="str">
        <f t="shared" si="21"/>
        <v>yes</v>
      </c>
      <c r="S474" t="str">
        <f t="shared" si="22"/>
        <v>no</v>
      </c>
      <c r="T4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4" s="2" t="b">
        <f t="shared" si="23"/>
        <v>0</v>
      </c>
      <c r="V474" s="2">
        <f>IF(Table4[[#This Row],[linear?]],Table4[[#This Row],[av]],10^(Table4[[#This Row],[av]]/10))</f>
        <v>1</v>
      </c>
      <c r="W474" s="2">
        <f>IF(Table4[[#This Row],[linear?]],Table4[[#This Row],[av]],10^(Table4[[#This Row],[av]]/10))</f>
        <v>1</v>
      </c>
      <c r="X474" s="2">
        <f>Table4[[#This Row],[av_lin]]-2*Table4[[#This Row],[std_lin]]</f>
        <v>-1</v>
      </c>
      <c r="Y474" s="2">
        <f>Table4[[#This Row],[av_lin]]+2*Table4[[#This Row],[std_lin]]</f>
        <v>3</v>
      </c>
    </row>
    <row r="475" spans="1:25" x14ac:dyDescent="0.35">
      <c r="A475" s="1">
        <v>522</v>
      </c>
      <c r="B475" t="s">
        <v>75</v>
      </c>
      <c r="C475" t="s">
        <v>253</v>
      </c>
      <c r="D475" t="s">
        <v>499</v>
      </c>
      <c r="E475" s="2">
        <v>3.994340740740741</v>
      </c>
      <c r="F475" s="2">
        <v>6.1556924987129253</v>
      </c>
      <c r="G475">
        <v>27</v>
      </c>
      <c r="H475" t="s">
        <v>58</v>
      </c>
      <c r="M475" s="2">
        <v>16.30572573816659</v>
      </c>
      <c r="N475" s="2">
        <v>-8.3170442566851097</v>
      </c>
      <c r="O475" s="2">
        <v>24.622769994851701</v>
      </c>
      <c r="P475" s="2">
        <v>0.64888568452305007</v>
      </c>
      <c r="R475" t="str">
        <f t="shared" si="21"/>
        <v>yes</v>
      </c>
      <c r="S475" t="str">
        <f t="shared" si="22"/>
        <v>no</v>
      </c>
      <c r="T4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5" s="2" t="b">
        <f t="shared" si="23"/>
        <v>0</v>
      </c>
      <c r="V475" s="2">
        <f>IF(Table4[[#This Row],[linear?]],Table4[[#This Row],[av]],10^(Table4[[#This Row],[av]]/10))</f>
        <v>2.508615342615431</v>
      </c>
      <c r="W475" s="2">
        <f>IF(Table4[[#This Row],[linear?]],Table4[[#This Row],[av]],10^(Table4[[#This Row],[av]]/10))</f>
        <v>2.508615342615431</v>
      </c>
      <c r="X475" s="2">
        <f>Table4[[#This Row],[av_lin]]-2*Table4[[#This Row],[std_lin]]</f>
        <v>-2.508615342615431</v>
      </c>
      <c r="Y475" s="2">
        <f>Table4[[#This Row],[av_lin]]+2*Table4[[#This Row],[std_lin]]</f>
        <v>7.5258460278462929</v>
      </c>
    </row>
    <row r="476" spans="1:25" x14ac:dyDescent="0.35">
      <c r="A476" s="1">
        <v>523</v>
      </c>
      <c r="B476" t="s">
        <v>75</v>
      </c>
      <c r="C476" t="s">
        <v>253</v>
      </c>
      <c r="D476" t="s">
        <v>500</v>
      </c>
      <c r="E476" s="2">
        <v>0</v>
      </c>
      <c r="F476" s="2">
        <v>0</v>
      </c>
      <c r="G476">
        <v>27</v>
      </c>
      <c r="H476" t="s">
        <v>58</v>
      </c>
      <c r="M476" s="2">
        <v>0</v>
      </c>
      <c r="N476" s="2">
        <v>0</v>
      </c>
      <c r="O476" s="2">
        <v>0</v>
      </c>
      <c r="R476" t="str">
        <f t="shared" si="21"/>
        <v>yes</v>
      </c>
      <c r="S476" t="str">
        <f t="shared" si="22"/>
        <v>no</v>
      </c>
      <c r="T4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6" s="2" t="b">
        <f t="shared" si="23"/>
        <v>0</v>
      </c>
      <c r="V476" s="2">
        <f>IF(Table4[[#This Row],[linear?]],Table4[[#This Row],[av]],10^(Table4[[#This Row],[av]]/10))</f>
        <v>1</v>
      </c>
      <c r="W476" s="2">
        <f>IF(Table4[[#This Row],[linear?]],Table4[[#This Row],[av]],10^(Table4[[#This Row],[av]]/10))</f>
        <v>1</v>
      </c>
      <c r="X476" s="2">
        <f>Table4[[#This Row],[av_lin]]-2*Table4[[#This Row],[std_lin]]</f>
        <v>-1</v>
      </c>
      <c r="Y476" s="2">
        <f>Table4[[#This Row],[av_lin]]+2*Table4[[#This Row],[std_lin]]</f>
        <v>3</v>
      </c>
    </row>
    <row r="477" spans="1:25" x14ac:dyDescent="0.35">
      <c r="A477" s="1">
        <v>524</v>
      </c>
      <c r="B477" t="s">
        <v>75</v>
      </c>
      <c r="C477" t="s">
        <v>253</v>
      </c>
      <c r="D477" t="s">
        <v>501</v>
      </c>
      <c r="E477" s="2">
        <v>12.274311111111111</v>
      </c>
      <c r="F477" s="2">
        <v>19.193132126561679</v>
      </c>
      <c r="G477">
        <v>27</v>
      </c>
      <c r="H477" t="s">
        <v>58</v>
      </c>
      <c r="M477" s="2">
        <v>50.660575364234468</v>
      </c>
      <c r="N477" s="2">
        <v>-26.111953142012251</v>
      </c>
      <c r="O477" s="2">
        <v>76.772528506246715</v>
      </c>
      <c r="P477" s="2">
        <v>0.63951579294994265</v>
      </c>
      <c r="R477" t="str">
        <f t="shared" si="21"/>
        <v>yes</v>
      </c>
      <c r="S477" t="str">
        <f t="shared" si="22"/>
        <v>no</v>
      </c>
      <c r="T4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7" s="2" t="b">
        <f t="shared" si="23"/>
        <v>1</v>
      </c>
      <c r="V477" s="2">
        <f>IF(Table4[[#This Row],[linear?]],Table4[[#This Row],[av]],10^(Table4[[#This Row],[av]]/10))</f>
        <v>12.274311111111111</v>
      </c>
      <c r="W477" s="2">
        <f>IF(Table4[[#This Row],[linear?]],Table4[[#This Row],[av]],10^(Table4[[#This Row],[av]]/10))</f>
        <v>12.274311111111111</v>
      </c>
      <c r="X477" s="2">
        <f>Table4[[#This Row],[av_lin]]-2*Table4[[#This Row],[std_lin]]</f>
        <v>-12.274311111111111</v>
      </c>
      <c r="Y477" s="2">
        <f>Table4[[#This Row],[av_lin]]+2*Table4[[#This Row],[std_lin]]</f>
        <v>36.822933333333332</v>
      </c>
    </row>
    <row r="478" spans="1:25" x14ac:dyDescent="0.35">
      <c r="A478" s="1">
        <v>525</v>
      </c>
      <c r="B478" t="s">
        <v>75</v>
      </c>
      <c r="C478" t="s">
        <v>253</v>
      </c>
      <c r="D478" t="s">
        <v>502</v>
      </c>
      <c r="E478" s="2">
        <v>0</v>
      </c>
      <c r="F478" s="2">
        <v>0</v>
      </c>
      <c r="G478">
        <v>27</v>
      </c>
      <c r="H478" t="s">
        <v>58</v>
      </c>
      <c r="M478" s="2">
        <v>0</v>
      </c>
      <c r="N478" s="2">
        <v>0</v>
      </c>
      <c r="O478" s="2">
        <v>0</v>
      </c>
      <c r="R478" t="str">
        <f t="shared" si="21"/>
        <v>yes</v>
      </c>
      <c r="S478" t="str">
        <f t="shared" si="22"/>
        <v>no</v>
      </c>
      <c r="T4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8" s="2" t="b">
        <f t="shared" si="23"/>
        <v>0</v>
      </c>
      <c r="V478" s="2">
        <f>IF(Table4[[#This Row],[linear?]],Table4[[#This Row],[av]],10^(Table4[[#This Row],[av]]/10))</f>
        <v>1</v>
      </c>
      <c r="W478" s="2">
        <f>IF(Table4[[#This Row],[linear?]],Table4[[#This Row],[av]],10^(Table4[[#This Row],[av]]/10))</f>
        <v>1</v>
      </c>
      <c r="X478" s="2">
        <f>Table4[[#This Row],[av_lin]]-2*Table4[[#This Row],[std_lin]]</f>
        <v>-1</v>
      </c>
      <c r="Y478" s="2">
        <f>Table4[[#This Row],[av_lin]]+2*Table4[[#This Row],[std_lin]]</f>
        <v>3</v>
      </c>
    </row>
    <row r="479" spans="1:25" x14ac:dyDescent="0.35">
      <c r="A479" s="1">
        <v>526</v>
      </c>
      <c r="B479" t="s">
        <v>75</v>
      </c>
      <c r="C479" t="s">
        <v>253</v>
      </c>
      <c r="D479" t="s">
        <v>503</v>
      </c>
      <c r="E479" s="2">
        <v>2.9957555555555562</v>
      </c>
      <c r="F479" s="2">
        <v>5.6045454517067581</v>
      </c>
      <c r="G479">
        <v>27</v>
      </c>
      <c r="H479" t="s">
        <v>58</v>
      </c>
      <c r="M479" s="2">
        <v>14.204846458969071</v>
      </c>
      <c r="N479" s="2">
        <v>-8.21333534785796</v>
      </c>
      <c r="O479" s="2">
        <v>22.418181806827029</v>
      </c>
      <c r="P479" s="2">
        <v>0.5345224838248489</v>
      </c>
      <c r="R479" t="str">
        <f t="shared" si="21"/>
        <v>yes</v>
      </c>
      <c r="S479" t="str">
        <f t="shared" si="22"/>
        <v>no</v>
      </c>
      <c r="T4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9" s="2" t="b">
        <f t="shared" si="23"/>
        <v>0</v>
      </c>
      <c r="V479" s="2">
        <f>IF(Table4[[#This Row],[linear?]],Table4[[#This Row],[av]],10^(Table4[[#This Row],[av]]/10))</f>
        <v>1.9933132588797982</v>
      </c>
      <c r="W479" s="2">
        <f>IF(Table4[[#This Row],[linear?]],Table4[[#This Row],[av]],10^(Table4[[#This Row],[av]]/10))</f>
        <v>1.9933132588797982</v>
      </c>
      <c r="X479" s="2">
        <f>Table4[[#This Row],[av_lin]]-2*Table4[[#This Row],[std_lin]]</f>
        <v>-1.9933132588797982</v>
      </c>
      <c r="Y479" s="2">
        <f>Table4[[#This Row],[av_lin]]+2*Table4[[#This Row],[std_lin]]</f>
        <v>5.9799397766393945</v>
      </c>
    </row>
    <row r="480" spans="1:25" x14ac:dyDescent="0.35">
      <c r="A480" s="1">
        <v>527</v>
      </c>
      <c r="B480" t="s">
        <v>75</v>
      </c>
      <c r="C480" t="s">
        <v>253</v>
      </c>
      <c r="D480" t="s">
        <v>504</v>
      </c>
      <c r="E480" s="2">
        <v>0</v>
      </c>
      <c r="F480" s="2">
        <v>0</v>
      </c>
      <c r="G480">
        <v>27</v>
      </c>
      <c r="H480" t="s">
        <v>58</v>
      </c>
      <c r="M480" s="2">
        <v>0</v>
      </c>
      <c r="N480" s="2">
        <v>0</v>
      </c>
      <c r="O480" s="2">
        <v>0</v>
      </c>
      <c r="R480" t="str">
        <f t="shared" si="21"/>
        <v>yes</v>
      </c>
      <c r="S480" t="str">
        <f t="shared" si="22"/>
        <v>no</v>
      </c>
      <c r="T4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0" s="2" t="b">
        <f t="shared" si="23"/>
        <v>0</v>
      </c>
      <c r="V480" s="2">
        <f>IF(Table4[[#This Row],[linear?]],Table4[[#This Row],[av]],10^(Table4[[#This Row],[av]]/10))</f>
        <v>1</v>
      </c>
      <c r="W480" s="2">
        <f>IF(Table4[[#This Row],[linear?]],Table4[[#This Row],[av]],10^(Table4[[#This Row],[av]]/10))</f>
        <v>1</v>
      </c>
      <c r="X480" s="2">
        <f>Table4[[#This Row],[av_lin]]-2*Table4[[#This Row],[std_lin]]</f>
        <v>-1</v>
      </c>
      <c r="Y480" s="2">
        <f>Table4[[#This Row],[av_lin]]+2*Table4[[#This Row],[std_lin]]</f>
        <v>3</v>
      </c>
    </row>
    <row r="481" spans="1:25" x14ac:dyDescent="0.35">
      <c r="A481" s="1">
        <v>528</v>
      </c>
      <c r="B481" t="s">
        <v>75</v>
      </c>
      <c r="C481" t="s">
        <v>253</v>
      </c>
      <c r="D481" t="s">
        <v>505</v>
      </c>
      <c r="E481" s="2">
        <v>8.8330481481481478</v>
      </c>
      <c r="F481" s="2">
        <v>16.592909238997471</v>
      </c>
      <c r="G481">
        <v>27</v>
      </c>
      <c r="H481" t="s">
        <v>58</v>
      </c>
      <c r="M481" s="2">
        <v>42.018866626143087</v>
      </c>
      <c r="N481" s="2">
        <v>-24.352770329846791</v>
      </c>
      <c r="O481" s="2">
        <v>66.371636955989885</v>
      </c>
      <c r="P481" s="2">
        <v>0.53233872498912271</v>
      </c>
      <c r="R481" t="str">
        <f t="shared" si="21"/>
        <v>yes</v>
      </c>
      <c r="S481" t="str">
        <f t="shared" si="22"/>
        <v>no</v>
      </c>
      <c r="T4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1" s="2" t="b">
        <f t="shared" si="23"/>
        <v>1</v>
      </c>
      <c r="V481" s="2">
        <f>IF(Table4[[#This Row],[linear?]],Table4[[#This Row],[av]],10^(Table4[[#This Row],[av]]/10))</f>
        <v>8.8330481481481478</v>
      </c>
      <c r="W481" s="2">
        <f>IF(Table4[[#This Row],[linear?]],Table4[[#This Row],[av]],10^(Table4[[#This Row],[av]]/10))</f>
        <v>8.8330481481481478</v>
      </c>
      <c r="X481" s="2">
        <f>Table4[[#This Row],[av_lin]]-2*Table4[[#This Row],[std_lin]]</f>
        <v>-8.8330481481481478</v>
      </c>
      <c r="Y481" s="2">
        <f>Table4[[#This Row],[av_lin]]+2*Table4[[#This Row],[std_lin]]</f>
        <v>26.499144444444443</v>
      </c>
    </row>
    <row r="482" spans="1:25" x14ac:dyDescent="0.35">
      <c r="A482" s="1">
        <v>529</v>
      </c>
      <c r="B482" t="s">
        <v>75</v>
      </c>
      <c r="C482" t="s">
        <v>253</v>
      </c>
      <c r="D482" t="s">
        <v>506</v>
      </c>
      <c r="E482" s="2">
        <v>0</v>
      </c>
      <c r="F482" s="2">
        <v>0</v>
      </c>
      <c r="G482">
        <v>27</v>
      </c>
      <c r="H482" t="s">
        <v>58</v>
      </c>
      <c r="M482" s="2">
        <v>0</v>
      </c>
      <c r="N482" s="2">
        <v>0</v>
      </c>
      <c r="O482" s="2">
        <v>0</v>
      </c>
      <c r="R482" t="str">
        <f t="shared" si="21"/>
        <v>yes</v>
      </c>
      <c r="S482" t="str">
        <f t="shared" si="22"/>
        <v>no</v>
      </c>
      <c r="T4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2" s="2" t="b">
        <f t="shared" si="23"/>
        <v>0</v>
      </c>
      <c r="V482" s="2">
        <f>IF(Table4[[#This Row],[linear?]],Table4[[#This Row],[av]],10^(Table4[[#This Row],[av]]/10))</f>
        <v>1</v>
      </c>
      <c r="W482" s="2">
        <f>IF(Table4[[#This Row],[linear?]],Table4[[#This Row],[av]],10^(Table4[[#This Row],[av]]/10))</f>
        <v>1</v>
      </c>
      <c r="X482" s="2">
        <f>Table4[[#This Row],[av_lin]]-2*Table4[[#This Row],[std_lin]]</f>
        <v>-1</v>
      </c>
      <c r="Y482" s="2">
        <f>Table4[[#This Row],[av_lin]]+2*Table4[[#This Row],[std_lin]]</f>
        <v>3</v>
      </c>
    </row>
    <row r="483" spans="1:25" x14ac:dyDescent="0.35">
      <c r="A483" s="1">
        <v>530</v>
      </c>
      <c r="B483" t="s">
        <v>75</v>
      </c>
      <c r="C483" t="s">
        <v>253</v>
      </c>
      <c r="D483" t="s">
        <v>507</v>
      </c>
      <c r="E483" s="2">
        <v>3.994340740740741</v>
      </c>
      <c r="F483" s="2">
        <v>6.1556924987129253</v>
      </c>
      <c r="G483">
        <v>27</v>
      </c>
      <c r="H483" t="s">
        <v>58</v>
      </c>
      <c r="M483" s="2">
        <v>16.30572573816659</v>
      </c>
      <c r="N483" s="2">
        <v>-8.3170442566851097</v>
      </c>
      <c r="O483" s="2">
        <v>24.622769994851701</v>
      </c>
      <c r="P483" s="2">
        <v>0.64888568452305007</v>
      </c>
      <c r="R483" t="str">
        <f t="shared" si="21"/>
        <v>yes</v>
      </c>
      <c r="S483" t="str">
        <f t="shared" si="22"/>
        <v>no</v>
      </c>
      <c r="T4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3" s="2" t="b">
        <f t="shared" si="23"/>
        <v>0</v>
      </c>
      <c r="V483" s="2">
        <f>IF(Table4[[#This Row],[linear?]],Table4[[#This Row],[av]],10^(Table4[[#This Row],[av]]/10))</f>
        <v>2.508615342615431</v>
      </c>
      <c r="W483" s="2">
        <f>IF(Table4[[#This Row],[linear?]],Table4[[#This Row],[av]],10^(Table4[[#This Row],[av]]/10))</f>
        <v>2.508615342615431</v>
      </c>
      <c r="X483" s="2">
        <f>Table4[[#This Row],[av_lin]]-2*Table4[[#This Row],[std_lin]]</f>
        <v>-2.508615342615431</v>
      </c>
      <c r="Y483" s="2">
        <f>Table4[[#This Row],[av_lin]]+2*Table4[[#This Row],[std_lin]]</f>
        <v>7.5258460278462929</v>
      </c>
    </row>
    <row r="484" spans="1:25" x14ac:dyDescent="0.35">
      <c r="A484" s="1">
        <v>531</v>
      </c>
      <c r="B484" t="s">
        <v>75</v>
      </c>
      <c r="C484" t="s">
        <v>253</v>
      </c>
      <c r="D484" t="s">
        <v>508</v>
      </c>
      <c r="E484" s="2">
        <v>0</v>
      </c>
      <c r="F484" s="2">
        <v>0</v>
      </c>
      <c r="G484">
        <v>27</v>
      </c>
      <c r="H484" t="s">
        <v>58</v>
      </c>
      <c r="M484" s="2">
        <v>0</v>
      </c>
      <c r="N484" s="2">
        <v>0</v>
      </c>
      <c r="O484" s="2">
        <v>0</v>
      </c>
      <c r="R484" t="str">
        <f t="shared" si="21"/>
        <v>yes</v>
      </c>
      <c r="S484" t="str">
        <f t="shared" si="22"/>
        <v>no</v>
      </c>
      <c r="T4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4" s="2" t="b">
        <f t="shared" si="23"/>
        <v>0</v>
      </c>
      <c r="V484" s="2">
        <f>IF(Table4[[#This Row],[linear?]],Table4[[#This Row],[av]],10^(Table4[[#This Row],[av]]/10))</f>
        <v>1</v>
      </c>
      <c r="W484" s="2">
        <f>IF(Table4[[#This Row],[linear?]],Table4[[#This Row],[av]],10^(Table4[[#This Row],[av]]/10))</f>
        <v>1</v>
      </c>
      <c r="X484" s="2">
        <f>Table4[[#This Row],[av_lin]]-2*Table4[[#This Row],[std_lin]]</f>
        <v>-1</v>
      </c>
      <c r="Y484" s="2">
        <f>Table4[[#This Row],[av_lin]]+2*Table4[[#This Row],[std_lin]]</f>
        <v>3</v>
      </c>
    </row>
    <row r="485" spans="1:25" x14ac:dyDescent="0.35">
      <c r="A485" s="1">
        <v>532</v>
      </c>
      <c r="B485" t="s">
        <v>75</v>
      </c>
      <c r="C485" t="s">
        <v>253</v>
      </c>
      <c r="D485" t="s">
        <v>509</v>
      </c>
      <c r="E485" s="2">
        <v>10.517344444444451</v>
      </c>
      <c r="F485" s="2">
        <v>16.325647163267561</v>
      </c>
      <c r="G485">
        <v>27</v>
      </c>
      <c r="H485" t="s">
        <v>58</v>
      </c>
      <c r="M485" s="2">
        <v>43.16863877097957</v>
      </c>
      <c r="N485" s="2">
        <v>-22.133949882090668</v>
      </c>
      <c r="O485" s="2">
        <v>65.302588653070245</v>
      </c>
      <c r="P485" s="2">
        <v>0.64422220689102627</v>
      </c>
      <c r="R485" t="str">
        <f t="shared" si="21"/>
        <v>yes</v>
      </c>
      <c r="S485" t="str">
        <f t="shared" si="22"/>
        <v>no</v>
      </c>
      <c r="T4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5" s="2" t="b">
        <f t="shared" si="23"/>
        <v>1</v>
      </c>
      <c r="V485" s="2">
        <f>IF(Table4[[#This Row],[linear?]],Table4[[#This Row],[av]],10^(Table4[[#This Row],[av]]/10))</f>
        <v>10.517344444444451</v>
      </c>
      <c r="W485" s="2">
        <f>IF(Table4[[#This Row],[linear?]],Table4[[#This Row],[av]],10^(Table4[[#This Row],[av]]/10))</f>
        <v>10.517344444444451</v>
      </c>
      <c r="X485" s="2">
        <f>Table4[[#This Row],[av_lin]]-2*Table4[[#This Row],[std_lin]]</f>
        <v>-10.517344444444451</v>
      </c>
      <c r="Y485" s="2">
        <f>Table4[[#This Row],[av_lin]]+2*Table4[[#This Row],[std_lin]]</f>
        <v>31.552033333333352</v>
      </c>
    </row>
    <row r="486" spans="1:25" x14ac:dyDescent="0.35">
      <c r="A486" s="1">
        <v>533</v>
      </c>
      <c r="B486" t="s">
        <v>75</v>
      </c>
      <c r="C486" t="s">
        <v>253</v>
      </c>
      <c r="D486" t="s">
        <v>510</v>
      </c>
      <c r="E486" s="2">
        <v>0</v>
      </c>
      <c r="F486" s="2">
        <v>0</v>
      </c>
      <c r="G486">
        <v>27</v>
      </c>
      <c r="H486" t="s">
        <v>58</v>
      </c>
      <c r="M486" s="2">
        <v>0</v>
      </c>
      <c r="N486" s="2">
        <v>0</v>
      </c>
      <c r="O486" s="2">
        <v>0</v>
      </c>
      <c r="R486" t="str">
        <f t="shared" si="21"/>
        <v>yes</v>
      </c>
      <c r="S486" t="str">
        <f t="shared" si="22"/>
        <v>no</v>
      </c>
      <c r="T4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6" s="2" t="b">
        <f t="shared" si="23"/>
        <v>0</v>
      </c>
      <c r="V486" s="2">
        <f>IF(Table4[[#This Row],[linear?]],Table4[[#This Row],[av]],10^(Table4[[#This Row],[av]]/10))</f>
        <v>1</v>
      </c>
      <c r="W486" s="2">
        <f>IF(Table4[[#This Row],[linear?]],Table4[[#This Row],[av]],10^(Table4[[#This Row],[av]]/10))</f>
        <v>1</v>
      </c>
      <c r="X486" s="2">
        <f>Table4[[#This Row],[av_lin]]-2*Table4[[#This Row],[std_lin]]</f>
        <v>-1</v>
      </c>
      <c r="Y486" s="2">
        <f>Table4[[#This Row],[av_lin]]+2*Table4[[#This Row],[std_lin]]</f>
        <v>3</v>
      </c>
    </row>
    <row r="487" spans="1:25" x14ac:dyDescent="0.35">
      <c r="A487" s="1">
        <v>534</v>
      </c>
      <c r="B487" t="s">
        <v>75</v>
      </c>
      <c r="C487" t="s">
        <v>253</v>
      </c>
      <c r="D487" t="s">
        <v>511</v>
      </c>
      <c r="E487" s="2">
        <v>2.9957555555555562</v>
      </c>
      <c r="F487" s="2">
        <v>5.6045454517067581</v>
      </c>
      <c r="G487">
        <v>27</v>
      </c>
      <c r="H487" t="s">
        <v>58</v>
      </c>
      <c r="M487" s="2">
        <v>14.204846458969071</v>
      </c>
      <c r="N487" s="2">
        <v>-8.21333534785796</v>
      </c>
      <c r="O487" s="2">
        <v>22.418181806827029</v>
      </c>
      <c r="P487" s="2">
        <v>0.5345224838248489</v>
      </c>
      <c r="R487" t="str">
        <f t="shared" si="21"/>
        <v>yes</v>
      </c>
      <c r="S487" t="str">
        <f t="shared" si="22"/>
        <v>no</v>
      </c>
      <c r="T4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7" s="2" t="b">
        <f t="shared" si="23"/>
        <v>0</v>
      </c>
      <c r="V487" s="2">
        <f>IF(Table4[[#This Row],[linear?]],Table4[[#This Row],[av]],10^(Table4[[#This Row],[av]]/10))</f>
        <v>1.9933132588797982</v>
      </c>
      <c r="W487" s="2">
        <f>IF(Table4[[#This Row],[linear?]],Table4[[#This Row],[av]],10^(Table4[[#This Row],[av]]/10))</f>
        <v>1.9933132588797982</v>
      </c>
      <c r="X487" s="2">
        <f>Table4[[#This Row],[av_lin]]-2*Table4[[#This Row],[std_lin]]</f>
        <v>-1.9933132588797982</v>
      </c>
      <c r="Y487" s="2">
        <f>Table4[[#This Row],[av_lin]]+2*Table4[[#This Row],[std_lin]]</f>
        <v>5.9799397766393945</v>
      </c>
    </row>
    <row r="488" spans="1:25" x14ac:dyDescent="0.35">
      <c r="A488" s="1">
        <v>535</v>
      </c>
      <c r="B488" t="s">
        <v>75</v>
      </c>
      <c r="C488" t="s">
        <v>253</v>
      </c>
      <c r="D488" t="s">
        <v>512</v>
      </c>
      <c r="E488" s="2">
        <v>0</v>
      </c>
      <c r="F488" s="2">
        <v>0</v>
      </c>
      <c r="G488">
        <v>27</v>
      </c>
      <c r="H488" t="s">
        <v>58</v>
      </c>
      <c r="M488" s="2">
        <v>0</v>
      </c>
      <c r="N488" s="2">
        <v>0</v>
      </c>
      <c r="O488" s="2">
        <v>0</v>
      </c>
      <c r="R488" t="str">
        <f t="shared" si="21"/>
        <v>yes</v>
      </c>
      <c r="S488" t="str">
        <f t="shared" si="22"/>
        <v>no</v>
      </c>
      <c r="T4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8" s="2" t="b">
        <f t="shared" si="23"/>
        <v>0</v>
      </c>
      <c r="V488" s="2">
        <f>IF(Table4[[#This Row],[linear?]],Table4[[#This Row],[av]],10^(Table4[[#This Row],[av]]/10))</f>
        <v>1</v>
      </c>
      <c r="W488" s="2">
        <f>IF(Table4[[#This Row],[linear?]],Table4[[#This Row],[av]],10^(Table4[[#This Row],[av]]/10))</f>
        <v>1</v>
      </c>
      <c r="X488" s="2">
        <f>Table4[[#This Row],[av_lin]]-2*Table4[[#This Row],[std_lin]]</f>
        <v>-1</v>
      </c>
      <c r="Y488" s="2">
        <f>Table4[[#This Row],[av_lin]]+2*Table4[[#This Row],[std_lin]]</f>
        <v>3</v>
      </c>
    </row>
    <row r="489" spans="1:25" x14ac:dyDescent="0.35">
      <c r="A489" s="1">
        <v>536</v>
      </c>
      <c r="B489" t="s">
        <v>75</v>
      </c>
      <c r="C489" t="s">
        <v>253</v>
      </c>
      <c r="D489" t="s">
        <v>513</v>
      </c>
      <c r="E489" s="2">
        <v>8.9750185185185192</v>
      </c>
      <c r="F489" s="2">
        <v>16.859798228792151</v>
      </c>
      <c r="G489">
        <v>27</v>
      </c>
      <c r="H489" t="s">
        <v>58</v>
      </c>
      <c r="M489" s="2">
        <v>42.69461497610282</v>
      </c>
      <c r="N489" s="2">
        <v>-24.744577939065781</v>
      </c>
      <c r="O489" s="2">
        <v>67.439192915168604</v>
      </c>
      <c r="P489" s="2">
        <v>0.53233249868859767</v>
      </c>
      <c r="R489" t="str">
        <f t="shared" si="21"/>
        <v>yes</v>
      </c>
      <c r="S489" t="str">
        <f t="shared" si="22"/>
        <v>no</v>
      </c>
      <c r="T4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9" s="2" t="b">
        <f t="shared" si="23"/>
        <v>1</v>
      </c>
      <c r="V489" s="2">
        <f>IF(Table4[[#This Row],[linear?]],Table4[[#This Row],[av]],10^(Table4[[#This Row],[av]]/10))</f>
        <v>8.9750185185185192</v>
      </c>
      <c r="W489" s="2">
        <f>IF(Table4[[#This Row],[linear?]],Table4[[#This Row],[av]],10^(Table4[[#This Row],[av]]/10))</f>
        <v>8.9750185185185192</v>
      </c>
      <c r="X489" s="2">
        <f>Table4[[#This Row],[av_lin]]-2*Table4[[#This Row],[std_lin]]</f>
        <v>-8.9750185185185192</v>
      </c>
      <c r="Y489" s="2">
        <f>Table4[[#This Row],[av_lin]]+2*Table4[[#This Row],[std_lin]]</f>
        <v>26.925055555555559</v>
      </c>
    </row>
    <row r="490" spans="1:25" x14ac:dyDescent="0.35">
      <c r="A490" s="1">
        <v>537</v>
      </c>
      <c r="B490" t="s">
        <v>75</v>
      </c>
      <c r="C490" t="s">
        <v>253</v>
      </c>
      <c r="D490" t="s">
        <v>514</v>
      </c>
      <c r="E490" s="2">
        <v>0</v>
      </c>
      <c r="F490" s="2">
        <v>0</v>
      </c>
      <c r="G490">
        <v>27</v>
      </c>
      <c r="H490" t="s">
        <v>58</v>
      </c>
      <c r="M490" s="2">
        <v>0</v>
      </c>
      <c r="N490" s="2">
        <v>0</v>
      </c>
      <c r="O490" s="2">
        <v>0</v>
      </c>
      <c r="R490" t="str">
        <f t="shared" si="21"/>
        <v>yes</v>
      </c>
      <c r="S490" t="str">
        <f t="shared" si="22"/>
        <v>no</v>
      </c>
      <c r="T4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0" s="2" t="b">
        <f t="shared" si="23"/>
        <v>0</v>
      </c>
      <c r="V490" s="2">
        <f>IF(Table4[[#This Row],[linear?]],Table4[[#This Row],[av]],10^(Table4[[#This Row],[av]]/10))</f>
        <v>1</v>
      </c>
      <c r="W490" s="2">
        <f>IF(Table4[[#This Row],[linear?]],Table4[[#This Row],[av]],10^(Table4[[#This Row],[av]]/10))</f>
        <v>1</v>
      </c>
      <c r="X490" s="2">
        <f>Table4[[#This Row],[av_lin]]-2*Table4[[#This Row],[std_lin]]</f>
        <v>-1</v>
      </c>
      <c r="Y490" s="2">
        <f>Table4[[#This Row],[av_lin]]+2*Table4[[#This Row],[std_lin]]</f>
        <v>3</v>
      </c>
    </row>
    <row r="491" spans="1:25" x14ac:dyDescent="0.35">
      <c r="A491" s="1">
        <v>538</v>
      </c>
      <c r="B491" t="s">
        <v>75</v>
      </c>
      <c r="C491" t="s">
        <v>253</v>
      </c>
      <c r="D491" t="s">
        <v>515</v>
      </c>
      <c r="E491" s="2">
        <v>3.994340740740741</v>
      </c>
      <c r="F491" s="2">
        <v>6.1556924987129253</v>
      </c>
      <c r="G491">
        <v>27</v>
      </c>
      <c r="H491" t="s">
        <v>58</v>
      </c>
      <c r="M491" s="2">
        <v>16.30572573816659</v>
      </c>
      <c r="N491" s="2">
        <v>-8.3170442566851097</v>
      </c>
      <c r="O491" s="2">
        <v>24.622769994851701</v>
      </c>
      <c r="P491" s="2">
        <v>0.64888568452305007</v>
      </c>
      <c r="R491" t="str">
        <f t="shared" si="21"/>
        <v>yes</v>
      </c>
      <c r="S491" t="str">
        <f t="shared" si="22"/>
        <v>no</v>
      </c>
      <c r="T4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1" s="2" t="b">
        <f t="shared" si="23"/>
        <v>0</v>
      </c>
      <c r="V491" s="2">
        <f>IF(Table4[[#This Row],[linear?]],Table4[[#This Row],[av]],10^(Table4[[#This Row],[av]]/10))</f>
        <v>2.508615342615431</v>
      </c>
      <c r="W491" s="2">
        <f>IF(Table4[[#This Row],[linear?]],Table4[[#This Row],[av]],10^(Table4[[#This Row],[av]]/10))</f>
        <v>2.508615342615431</v>
      </c>
      <c r="X491" s="2">
        <f>Table4[[#This Row],[av_lin]]-2*Table4[[#This Row],[std_lin]]</f>
        <v>-2.508615342615431</v>
      </c>
      <c r="Y491" s="2">
        <f>Table4[[#This Row],[av_lin]]+2*Table4[[#This Row],[std_lin]]</f>
        <v>7.5258460278462929</v>
      </c>
    </row>
    <row r="492" spans="1:25" x14ac:dyDescent="0.35">
      <c r="A492" s="1">
        <v>539</v>
      </c>
      <c r="B492" t="s">
        <v>75</v>
      </c>
      <c r="C492" t="s">
        <v>253</v>
      </c>
      <c r="D492" t="s">
        <v>516</v>
      </c>
      <c r="E492" s="2">
        <v>0</v>
      </c>
      <c r="F492" s="2">
        <v>0</v>
      </c>
      <c r="G492">
        <v>27</v>
      </c>
      <c r="H492" t="s">
        <v>58</v>
      </c>
      <c r="M492" s="2">
        <v>0</v>
      </c>
      <c r="N492" s="2">
        <v>0</v>
      </c>
      <c r="O492" s="2">
        <v>0</v>
      </c>
      <c r="R492" t="str">
        <f t="shared" si="21"/>
        <v>yes</v>
      </c>
      <c r="S492" t="str">
        <f t="shared" si="22"/>
        <v>no</v>
      </c>
      <c r="T4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2" s="2" t="b">
        <f t="shared" si="23"/>
        <v>0</v>
      </c>
      <c r="V492" s="2">
        <f>IF(Table4[[#This Row],[linear?]],Table4[[#This Row],[av]],10^(Table4[[#This Row],[av]]/10))</f>
        <v>1</v>
      </c>
      <c r="W492" s="2">
        <f>IF(Table4[[#This Row],[linear?]],Table4[[#This Row],[av]],10^(Table4[[#This Row],[av]]/10))</f>
        <v>1</v>
      </c>
      <c r="X492" s="2">
        <f>Table4[[#This Row],[av_lin]]-2*Table4[[#This Row],[std_lin]]</f>
        <v>-1</v>
      </c>
      <c r="Y492" s="2">
        <f>Table4[[#This Row],[av_lin]]+2*Table4[[#This Row],[std_lin]]</f>
        <v>3</v>
      </c>
    </row>
    <row r="493" spans="1:25" x14ac:dyDescent="0.35">
      <c r="A493" s="1">
        <v>540</v>
      </c>
      <c r="B493" t="s">
        <v>75</v>
      </c>
      <c r="C493" t="s">
        <v>253</v>
      </c>
      <c r="D493" t="s">
        <v>517</v>
      </c>
      <c r="E493" s="2">
        <v>11.475688888888889</v>
      </c>
      <c r="F493" s="2">
        <v>17.900032867119279</v>
      </c>
      <c r="G493">
        <v>27</v>
      </c>
      <c r="H493" t="s">
        <v>58</v>
      </c>
      <c r="M493" s="2">
        <v>47.275754623127447</v>
      </c>
      <c r="N493" s="2">
        <v>-24.324376845349668</v>
      </c>
      <c r="O493" s="2">
        <v>71.600131468477116</v>
      </c>
      <c r="P493" s="2">
        <v>0.64109876077203631</v>
      </c>
      <c r="R493" t="str">
        <f t="shared" si="21"/>
        <v>yes</v>
      </c>
      <c r="S493" t="str">
        <f t="shared" si="22"/>
        <v>no</v>
      </c>
      <c r="T4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3" s="2" t="b">
        <f t="shared" si="23"/>
        <v>1</v>
      </c>
      <c r="V493" s="2">
        <f>IF(Table4[[#This Row],[linear?]],Table4[[#This Row],[av]],10^(Table4[[#This Row],[av]]/10))</f>
        <v>11.475688888888889</v>
      </c>
      <c r="W493" s="2">
        <f>IF(Table4[[#This Row],[linear?]],Table4[[#This Row],[av]],10^(Table4[[#This Row],[av]]/10))</f>
        <v>11.475688888888889</v>
      </c>
      <c r="X493" s="2">
        <f>Table4[[#This Row],[av_lin]]-2*Table4[[#This Row],[std_lin]]</f>
        <v>-11.475688888888889</v>
      </c>
      <c r="Y493" s="2">
        <f>Table4[[#This Row],[av_lin]]+2*Table4[[#This Row],[std_lin]]</f>
        <v>34.427066666666668</v>
      </c>
    </row>
    <row r="494" spans="1:25" x14ac:dyDescent="0.35">
      <c r="A494" s="1">
        <v>541</v>
      </c>
      <c r="B494" t="s">
        <v>75</v>
      </c>
      <c r="C494" t="s">
        <v>253</v>
      </c>
      <c r="D494" t="s">
        <v>518</v>
      </c>
      <c r="E494" s="2">
        <v>25.486829629629629</v>
      </c>
      <c r="F494" s="2">
        <v>61.154450554155098</v>
      </c>
      <c r="G494">
        <v>27</v>
      </c>
      <c r="H494" t="s">
        <v>58</v>
      </c>
      <c r="M494" s="2">
        <v>147.79573073793981</v>
      </c>
      <c r="N494" s="2">
        <v>-96.82207147868057</v>
      </c>
      <c r="O494" s="2">
        <v>244.61780221662039</v>
      </c>
      <c r="P494" s="2">
        <v>0.41676164855834752</v>
      </c>
      <c r="R494" t="str">
        <f t="shared" si="21"/>
        <v>yes</v>
      </c>
      <c r="S494" t="str">
        <f t="shared" si="22"/>
        <v>no</v>
      </c>
      <c r="T4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4" s="2" t="b">
        <f t="shared" si="23"/>
        <v>0</v>
      </c>
      <c r="V494" s="2">
        <f>IF(Table4[[#This Row],[linear?]],Table4[[#This Row],[av]],10^(Table4[[#This Row],[av]]/10))</f>
        <v>353.73901564191442</v>
      </c>
      <c r="W494" s="2">
        <f>IF(Table4[[#This Row],[linear?]],Table4[[#This Row],[av]],10^(Table4[[#This Row],[av]]/10))</f>
        <v>353.73901564191442</v>
      </c>
      <c r="X494" s="2">
        <f>Table4[[#This Row],[av_lin]]-2*Table4[[#This Row],[std_lin]]</f>
        <v>-353.73901564191442</v>
      </c>
      <c r="Y494" s="2">
        <f>Table4[[#This Row],[av_lin]]+2*Table4[[#This Row],[std_lin]]</f>
        <v>1061.2170469257433</v>
      </c>
    </row>
    <row r="495" spans="1:25" x14ac:dyDescent="0.35">
      <c r="A495" s="1">
        <v>542</v>
      </c>
      <c r="B495" t="s">
        <v>75</v>
      </c>
      <c r="C495" t="s">
        <v>253</v>
      </c>
      <c r="D495" t="s">
        <v>519</v>
      </c>
      <c r="E495" s="2">
        <v>0</v>
      </c>
      <c r="F495" s="2">
        <v>0</v>
      </c>
      <c r="G495">
        <v>27</v>
      </c>
      <c r="H495" t="s">
        <v>58</v>
      </c>
      <c r="M495" s="2">
        <v>0</v>
      </c>
      <c r="N495" s="2">
        <v>0</v>
      </c>
      <c r="O495" s="2">
        <v>0</v>
      </c>
      <c r="R495" t="str">
        <f t="shared" si="21"/>
        <v>yes</v>
      </c>
      <c r="S495" t="str">
        <f t="shared" si="22"/>
        <v>no</v>
      </c>
      <c r="T4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5" s="2" t="b">
        <f t="shared" si="23"/>
        <v>0</v>
      </c>
      <c r="V495" s="2">
        <f>IF(Table4[[#This Row],[linear?]],Table4[[#This Row],[av]],10^(Table4[[#This Row],[av]]/10))</f>
        <v>1</v>
      </c>
      <c r="W495" s="2">
        <f>IF(Table4[[#This Row],[linear?]],Table4[[#This Row],[av]],10^(Table4[[#This Row],[av]]/10))</f>
        <v>1</v>
      </c>
      <c r="X495" s="2">
        <f>Table4[[#This Row],[av_lin]]-2*Table4[[#This Row],[std_lin]]</f>
        <v>-1</v>
      </c>
      <c r="Y495" s="2">
        <f>Table4[[#This Row],[av_lin]]+2*Table4[[#This Row],[std_lin]]</f>
        <v>3</v>
      </c>
    </row>
    <row r="496" spans="1:25" x14ac:dyDescent="0.35">
      <c r="A496" s="1">
        <v>543</v>
      </c>
      <c r="B496" t="s">
        <v>75</v>
      </c>
      <c r="C496" t="s">
        <v>253</v>
      </c>
      <c r="D496" t="s">
        <v>520</v>
      </c>
      <c r="E496" s="2">
        <v>0</v>
      </c>
      <c r="F496" s="2">
        <v>0</v>
      </c>
      <c r="G496">
        <v>27</v>
      </c>
      <c r="H496" t="s">
        <v>58</v>
      </c>
      <c r="M496" s="2">
        <v>0</v>
      </c>
      <c r="N496" s="2">
        <v>0</v>
      </c>
      <c r="O496" s="2">
        <v>0</v>
      </c>
      <c r="R496" t="str">
        <f t="shared" si="21"/>
        <v>yes</v>
      </c>
      <c r="S496" t="str">
        <f t="shared" si="22"/>
        <v>no</v>
      </c>
      <c r="T4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6" s="2" t="b">
        <f t="shared" si="23"/>
        <v>0</v>
      </c>
      <c r="V496" s="2">
        <f>IF(Table4[[#This Row],[linear?]],Table4[[#This Row],[av]],10^(Table4[[#This Row],[av]]/10))</f>
        <v>1</v>
      </c>
      <c r="W496" s="2">
        <f>IF(Table4[[#This Row],[linear?]],Table4[[#This Row],[av]],10^(Table4[[#This Row],[av]]/10))</f>
        <v>1</v>
      </c>
      <c r="X496" s="2">
        <f>Table4[[#This Row],[av_lin]]-2*Table4[[#This Row],[std_lin]]</f>
        <v>-1</v>
      </c>
      <c r="Y496" s="2">
        <f>Table4[[#This Row],[av_lin]]+2*Table4[[#This Row],[std_lin]]</f>
        <v>3</v>
      </c>
    </row>
    <row r="497" spans="1:25" x14ac:dyDescent="0.35">
      <c r="A497" s="1">
        <v>544</v>
      </c>
      <c r="B497" t="s">
        <v>75</v>
      </c>
      <c r="C497" t="s">
        <v>253</v>
      </c>
      <c r="D497" t="s">
        <v>521</v>
      </c>
      <c r="E497" s="2">
        <v>5.4450185185185189</v>
      </c>
      <c r="F497" s="2">
        <v>13.064752988041761</v>
      </c>
      <c r="G497">
        <v>27</v>
      </c>
      <c r="H497" t="s">
        <v>58</v>
      </c>
      <c r="M497" s="2">
        <v>31.574524494602041</v>
      </c>
      <c r="N497" s="2">
        <v>-20.684487457565002</v>
      </c>
      <c r="O497" s="2">
        <v>52.259011952167043</v>
      </c>
      <c r="P497" s="2">
        <v>0.41677163919611598</v>
      </c>
      <c r="R497" t="str">
        <f t="shared" si="21"/>
        <v>yes</v>
      </c>
      <c r="S497" t="str">
        <f t="shared" si="22"/>
        <v>no</v>
      </c>
      <c r="T4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7" s="2" t="b">
        <f t="shared" si="23"/>
        <v>1</v>
      </c>
      <c r="V497" s="2">
        <f>IF(Table4[[#This Row],[linear?]],Table4[[#This Row],[av]],10^(Table4[[#This Row],[av]]/10))</f>
        <v>5.4450185185185189</v>
      </c>
      <c r="W497" s="2">
        <f>IF(Table4[[#This Row],[linear?]],Table4[[#This Row],[av]],10^(Table4[[#This Row],[av]]/10))</f>
        <v>5.4450185185185189</v>
      </c>
      <c r="X497" s="2">
        <f>Table4[[#This Row],[av_lin]]-2*Table4[[#This Row],[std_lin]]</f>
        <v>-5.4450185185185189</v>
      </c>
      <c r="Y497" s="2">
        <f>Table4[[#This Row],[av_lin]]+2*Table4[[#This Row],[std_lin]]</f>
        <v>16.335055555555556</v>
      </c>
    </row>
    <row r="498" spans="1:25" x14ac:dyDescent="0.35">
      <c r="A498" s="1">
        <v>545</v>
      </c>
      <c r="B498" t="s">
        <v>75</v>
      </c>
      <c r="C498" t="s">
        <v>253</v>
      </c>
      <c r="D498" t="s">
        <v>522</v>
      </c>
      <c r="E498" s="2">
        <v>22.87661111111111</v>
      </c>
      <c r="F498" s="2">
        <v>57.463096555662837</v>
      </c>
      <c r="G498">
        <v>27</v>
      </c>
      <c r="H498" t="s">
        <v>58</v>
      </c>
      <c r="M498" s="2">
        <v>137.80280422243681</v>
      </c>
      <c r="N498" s="2">
        <v>-92.049582000214571</v>
      </c>
      <c r="O498" s="2">
        <v>229.85238622265129</v>
      </c>
      <c r="P498" s="2">
        <v>0.39810961264419847</v>
      </c>
      <c r="R498" t="str">
        <f t="shared" si="21"/>
        <v>yes</v>
      </c>
      <c r="S498" t="str">
        <f t="shared" si="22"/>
        <v>no</v>
      </c>
      <c r="T4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8" s="2" t="b">
        <f t="shared" si="23"/>
        <v>0</v>
      </c>
      <c r="V498" s="2">
        <f>IF(Table4[[#This Row],[linear?]],Table4[[#This Row],[av]],10^(Table4[[#This Row],[av]]/10))</f>
        <v>193.93719552962037</v>
      </c>
      <c r="W498" s="2">
        <f>IF(Table4[[#This Row],[linear?]],Table4[[#This Row],[av]],10^(Table4[[#This Row],[av]]/10))</f>
        <v>193.93719552962037</v>
      </c>
      <c r="X498" s="2">
        <f>Table4[[#This Row],[av_lin]]-2*Table4[[#This Row],[std_lin]]</f>
        <v>-193.93719552962037</v>
      </c>
      <c r="Y498" s="2">
        <f>Table4[[#This Row],[av_lin]]+2*Table4[[#This Row],[std_lin]]</f>
        <v>581.81158658886113</v>
      </c>
    </row>
    <row r="499" spans="1:25" x14ac:dyDescent="0.35">
      <c r="A499" s="1">
        <v>546</v>
      </c>
      <c r="B499" t="s">
        <v>75</v>
      </c>
      <c r="C499" t="s">
        <v>253</v>
      </c>
      <c r="D499" t="s">
        <v>523</v>
      </c>
      <c r="E499" s="2">
        <v>0</v>
      </c>
      <c r="F499" s="2">
        <v>0</v>
      </c>
      <c r="G499">
        <v>27</v>
      </c>
      <c r="H499" t="s">
        <v>58</v>
      </c>
      <c r="M499" s="2">
        <v>0</v>
      </c>
      <c r="N499" s="2">
        <v>0</v>
      </c>
      <c r="O499" s="2">
        <v>0</v>
      </c>
      <c r="R499" t="str">
        <f t="shared" si="21"/>
        <v>yes</v>
      </c>
      <c r="S499" t="str">
        <f t="shared" si="22"/>
        <v>no</v>
      </c>
      <c r="T4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9" s="2" t="b">
        <f t="shared" si="23"/>
        <v>0</v>
      </c>
      <c r="V499" s="2">
        <f>IF(Table4[[#This Row],[linear?]],Table4[[#This Row],[av]],10^(Table4[[#This Row],[av]]/10))</f>
        <v>1</v>
      </c>
      <c r="W499" s="2">
        <f>IF(Table4[[#This Row],[linear?]],Table4[[#This Row],[av]],10^(Table4[[#This Row],[av]]/10))</f>
        <v>1</v>
      </c>
      <c r="X499" s="2">
        <f>Table4[[#This Row],[av_lin]]-2*Table4[[#This Row],[std_lin]]</f>
        <v>-1</v>
      </c>
      <c r="Y499" s="2">
        <f>Table4[[#This Row],[av_lin]]+2*Table4[[#This Row],[std_lin]]</f>
        <v>3</v>
      </c>
    </row>
    <row r="500" spans="1:25" x14ac:dyDescent="0.35">
      <c r="A500" s="1">
        <v>547</v>
      </c>
      <c r="B500" t="s">
        <v>75</v>
      </c>
      <c r="C500" t="s">
        <v>253</v>
      </c>
      <c r="D500" t="s">
        <v>524</v>
      </c>
      <c r="E500" s="2">
        <v>0</v>
      </c>
      <c r="F500" s="2">
        <v>0</v>
      </c>
      <c r="G500">
        <v>27</v>
      </c>
      <c r="H500" t="s">
        <v>58</v>
      </c>
      <c r="M500" s="2">
        <v>0</v>
      </c>
      <c r="N500" s="2">
        <v>0</v>
      </c>
      <c r="O500" s="2">
        <v>0</v>
      </c>
      <c r="R500" t="str">
        <f t="shared" si="21"/>
        <v>yes</v>
      </c>
      <c r="S500" t="str">
        <f t="shared" si="22"/>
        <v>no</v>
      </c>
      <c r="T5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0" s="2" t="b">
        <f t="shared" si="23"/>
        <v>0</v>
      </c>
      <c r="V500" s="2">
        <f>IF(Table4[[#This Row],[linear?]],Table4[[#This Row],[av]],10^(Table4[[#This Row],[av]]/10))</f>
        <v>1</v>
      </c>
      <c r="W500" s="2">
        <f>IF(Table4[[#This Row],[linear?]],Table4[[#This Row],[av]],10^(Table4[[#This Row],[av]]/10))</f>
        <v>1</v>
      </c>
      <c r="X500" s="2">
        <f>Table4[[#This Row],[av_lin]]-2*Table4[[#This Row],[std_lin]]</f>
        <v>-1</v>
      </c>
      <c r="Y500" s="2">
        <f>Table4[[#This Row],[av_lin]]+2*Table4[[#This Row],[std_lin]]</f>
        <v>3</v>
      </c>
    </row>
    <row r="501" spans="1:25" x14ac:dyDescent="0.35">
      <c r="A501" s="1">
        <v>548</v>
      </c>
      <c r="B501" t="s">
        <v>75</v>
      </c>
      <c r="C501" t="s">
        <v>253</v>
      </c>
      <c r="D501" t="s">
        <v>525</v>
      </c>
      <c r="E501" s="2">
        <v>5.2852962962962966</v>
      </c>
      <c r="F501" s="2">
        <v>12.68878324454411</v>
      </c>
      <c r="G501">
        <v>27</v>
      </c>
      <c r="H501" t="s">
        <v>58</v>
      </c>
      <c r="M501" s="2">
        <v>30.662862785384519</v>
      </c>
      <c r="N501" s="2">
        <v>-20.092270192791919</v>
      </c>
      <c r="O501" s="2">
        <v>50.755132978176441</v>
      </c>
      <c r="P501" s="2">
        <v>0.41653294838721872</v>
      </c>
      <c r="R501" t="str">
        <f t="shared" si="21"/>
        <v>yes</v>
      </c>
      <c r="S501" t="str">
        <f t="shared" si="22"/>
        <v>no</v>
      </c>
      <c r="T5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1" s="2" t="b">
        <f t="shared" si="23"/>
        <v>1</v>
      </c>
      <c r="V501" s="2">
        <f>IF(Table4[[#This Row],[linear?]],Table4[[#This Row],[av]],10^(Table4[[#This Row],[av]]/10))</f>
        <v>5.2852962962962966</v>
      </c>
      <c r="W501" s="2">
        <f>IF(Table4[[#This Row],[linear?]],Table4[[#This Row],[av]],10^(Table4[[#This Row],[av]]/10))</f>
        <v>5.2852962962962966</v>
      </c>
      <c r="X501" s="2">
        <f>Table4[[#This Row],[av_lin]]-2*Table4[[#This Row],[std_lin]]</f>
        <v>-5.2852962962962966</v>
      </c>
      <c r="Y501" s="2">
        <f>Table4[[#This Row],[av_lin]]+2*Table4[[#This Row],[std_lin]]</f>
        <v>15.85588888888889</v>
      </c>
    </row>
    <row r="502" spans="1:25" x14ac:dyDescent="0.35">
      <c r="A502" s="1">
        <v>549</v>
      </c>
      <c r="B502" t="s">
        <v>75</v>
      </c>
      <c r="C502" t="s">
        <v>253</v>
      </c>
      <c r="D502" t="s">
        <v>526</v>
      </c>
      <c r="E502" s="2">
        <v>31.976118518518511</v>
      </c>
      <c r="F502" s="2">
        <v>67.194963591180169</v>
      </c>
      <c r="G502">
        <v>27</v>
      </c>
      <c r="H502" t="s">
        <v>58</v>
      </c>
      <c r="M502" s="2">
        <v>166.36604570087891</v>
      </c>
      <c r="N502" s="2">
        <v>-102.41380866384181</v>
      </c>
      <c r="O502" s="2">
        <v>268.77985436472068</v>
      </c>
      <c r="P502" s="2">
        <v>0.47587076187828481</v>
      </c>
      <c r="R502" t="str">
        <f t="shared" si="21"/>
        <v>yes</v>
      </c>
      <c r="S502" t="str">
        <f t="shared" si="22"/>
        <v>no</v>
      </c>
      <c r="T5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2" s="2" t="b">
        <f t="shared" si="23"/>
        <v>0</v>
      </c>
      <c r="V502" s="2">
        <f>IF(Table4[[#This Row],[linear?]],Table4[[#This Row],[av]],10^(Table4[[#This Row],[av]]/10))</f>
        <v>1576.2019187655546</v>
      </c>
      <c r="W502" s="2">
        <f>IF(Table4[[#This Row],[linear?]],Table4[[#This Row],[av]],10^(Table4[[#This Row],[av]]/10))</f>
        <v>1576.2019187655546</v>
      </c>
      <c r="X502" s="2">
        <f>Table4[[#This Row],[av_lin]]-2*Table4[[#This Row],[std_lin]]</f>
        <v>-1576.2019187655546</v>
      </c>
      <c r="Y502" s="2">
        <f>Table4[[#This Row],[av_lin]]+2*Table4[[#This Row],[std_lin]]</f>
        <v>4728.6057562966635</v>
      </c>
    </row>
    <row r="503" spans="1:25" x14ac:dyDescent="0.35">
      <c r="A503" s="1">
        <v>550</v>
      </c>
      <c r="B503" t="s">
        <v>75</v>
      </c>
      <c r="C503" t="s">
        <v>253</v>
      </c>
      <c r="D503" t="s">
        <v>527</v>
      </c>
      <c r="E503" s="2">
        <v>0</v>
      </c>
      <c r="F503" s="2">
        <v>0</v>
      </c>
      <c r="G503">
        <v>27</v>
      </c>
      <c r="H503" t="s">
        <v>58</v>
      </c>
      <c r="M503" s="2">
        <v>0</v>
      </c>
      <c r="N503" s="2">
        <v>0</v>
      </c>
      <c r="O503" s="2">
        <v>0</v>
      </c>
      <c r="R503" t="str">
        <f t="shared" si="21"/>
        <v>yes</v>
      </c>
      <c r="S503" t="str">
        <f t="shared" si="22"/>
        <v>no</v>
      </c>
      <c r="T5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3" s="2" t="b">
        <f t="shared" si="23"/>
        <v>0</v>
      </c>
      <c r="V503" s="2">
        <f>IF(Table4[[#This Row],[linear?]],Table4[[#This Row],[av]],10^(Table4[[#This Row],[av]]/10))</f>
        <v>1</v>
      </c>
      <c r="W503" s="2">
        <f>IF(Table4[[#This Row],[linear?]],Table4[[#This Row],[av]],10^(Table4[[#This Row],[av]]/10))</f>
        <v>1</v>
      </c>
      <c r="X503" s="2">
        <f>Table4[[#This Row],[av_lin]]-2*Table4[[#This Row],[std_lin]]</f>
        <v>-1</v>
      </c>
      <c r="Y503" s="2">
        <f>Table4[[#This Row],[av_lin]]+2*Table4[[#This Row],[std_lin]]</f>
        <v>3</v>
      </c>
    </row>
    <row r="504" spans="1:25" x14ac:dyDescent="0.35">
      <c r="A504" s="1">
        <v>551</v>
      </c>
      <c r="B504" t="s">
        <v>75</v>
      </c>
      <c r="C504" t="s">
        <v>253</v>
      </c>
      <c r="D504" t="s">
        <v>528</v>
      </c>
      <c r="E504" s="2">
        <v>0</v>
      </c>
      <c r="F504" s="2">
        <v>0</v>
      </c>
      <c r="G504">
        <v>27</v>
      </c>
      <c r="H504" t="s">
        <v>58</v>
      </c>
      <c r="M504" s="2">
        <v>0</v>
      </c>
      <c r="N504" s="2">
        <v>0</v>
      </c>
      <c r="O504" s="2">
        <v>0</v>
      </c>
      <c r="R504" t="str">
        <f t="shared" si="21"/>
        <v>yes</v>
      </c>
      <c r="S504" t="str">
        <f t="shared" si="22"/>
        <v>no</v>
      </c>
      <c r="T5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4" s="2" t="b">
        <f t="shared" si="23"/>
        <v>0</v>
      </c>
      <c r="V504" s="2">
        <f>IF(Table4[[#This Row],[linear?]],Table4[[#This Row],[av]],10^(Table4[[#This Row],[av]]/10))</f>
        <v>1</v>
      </c>
      <c r="W504" s="2">
        <f>IF(Table4[[#This Row],[linear?]],Table4[[#This Row],[av]],10^(Table4[[#This Row],[av]]/10))</f>
        <v>1</v>
      </c>
      <c r="X504" s="2">
        <f>Table4[[#This Row],[av_lin]]-2*Table4[[#This Row],[std_lin]]</f>
        <v>-1</v>
      </c>
      <c r="Y504" s="2">
        <f>Table4[[#This Row],[av_lin]]+2*Table4[[#This Row],[std_lin]]</f>
        <v>3</v>
      </c>
    </row>
    <row r="505" spans="1:25" x14ac:dyDescent="0.35">
      <c r="A505" s="1">
        <v>552</v>
      </c>
      <c r="B505" t="s">
        <v>75</v>
      </c>
      <c r="C505" t="s">
        <v>253</v>
      </c>
      <c r="D505" t="s">
        <v>529</v>
      </c>
      <c r="E505" s="2">
        <v>6.420274074074074</v>
      </c>
      <c r="F505" s="2">
        <v>13.48091334804419</v>
      </c>
      <c r="G505">
        <v>27</v>
      </c>
      <c r="H505" t="s">
        <v>58</v>
      </c>
      <c r="M505" s="2">
        <v>33.382100770162452</v>
      </c>
      <c r="N505" s="2">
        <v>-20.541552622014311</v>
      </c>
      <c r="O505" s="2">
        <v>53.92365339217676</v>
      </c>
      <c r="P505" s="2">
        <v>0.47624919086105738</v>
      </c>
      <c r="R505" t="str">
        <f t="shared" si="21"/>
        <v>yes</v>
      </c>
      <c r="S505" t="str">
        <f t="shared" si="22"/>
        <v>no</v>
      </c>
      <c r="T5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5" s="2" t="b">
        <f t="shared" si="23"/>
        <v>1</v>
      </c>
      <c r="V505" s="2">
        <f>IF(Table4[[#This Row],[linear?]],Table4[[#This Row],[av]],10^(Table4[[#This Row],[av]]/10))</f>
        <v>6.420274074074074</v>
      </c>
      <c r="W505" s="2">
        <f>IF(Table4[[#This Row],[linear?]],Table4[[#This Row],[av]],10^(Table4[[#This Row],[av]]/10))</f>
        <v>6.420274074074074</v>
      </c>
      <c r="X505" s="2">
        <f>Table4[[#This Row],[av_lin]]-2*Table4[[#This Row],[std_lin]]</f>
        <v>-6.420274074074074</v>
      </c>
      <c r="Y505" s="2">
        <f>Table4[[#This Row],[av_lin]]+2*Table4[[#This Row],[std_lin]]</f>
        <v>19.260822222222224</v>
      </c>
    </row>
    <row r="506" spans="1:25" x14ac:dyDescent="0.35">
      <c r="A506" s="1">
        <v>553</v>
      </c>
      <c r="B506" t="s">
        <v>75</v>
      </c>
      <c r="C506" t="s">
        <v>253</v>
      </c>
      <c r="D506" t="s">
        <v>530</v>
      </c>
      <c r="E506" s="2">
        <v>25.697714814814809</v>
      </c>
      <c r="F506" s="2">
        <v>58.136291991247887</v>
      </c>
      <c r="G506">
        <v>27</v>
      </c>
      <c r="H506" t="s">
        <v>58</v>
      </c>
      <c r="M506" s="2">
        <v>141.97029879731059</v>
      </c>
      <c r="N506" s="2">
        <v>-90.574869167680959</v>
      </c>
      <c r="O506" s="2">
        <v>232.54516796499149</v>
      </c>
      <c r="P506" s="2">
        <v>0.44202534999451742</v>
      </c>
      <c r="R506" t="str">
        <f t="shared" si="21"/>
        <v>yes</v>
      </c>
      <c r="S506" t="str">
        <f t="shared" si="22"/>
        <v>no</v>
      </c>
      <c r="T5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6" s="2" t="b">
        <f t="shared" si="23"/>
        <v>0</v>
      </c>
      <c r="V506" s="2">
        <f>IF(Table4[[#This Row],[linear?]],Table4[[#This Row],[av]],10^(Table4[[#This Row],[av]]/10))</f>
        <v>371.33978487580333</v>
      </c>
      <c r="W506" s="2">
        <f>IF(Table4[[#This Row],[linear?]],Table4[[#This Row],[av]],10^(Table4[[#This Row],[av]]/10))</f>
        <v>371.33978487580333</v>
      </c>
      <c r="X506" s="2">
        <f>Table4[[#This Row],[av_lin]]-2*Table4[[#This Row],[std_lin]]</f>
        <v>-371.33978487580333</v>
      </c>
      <c r="Y506" s="2">
        <f>Table4[[#This Row],[av_lin]]+2*Table4[[#This Row],[std_lin]]</f>
        <v>1114.0193546274099</v>
      </c>
    </row>
    <row r="507" spans="1:25" x14ac:dyDescent="0.35">
      <c r="A507" s="1">
        <v>554</v>
      </c>
      <c r="B507" t="s">
        <v>75</v>
      </c>
      <c r="C507" t="s">
        <v>253</v>
      </c>
      <c r="D507" t="s">
        <v>531</v>
      </c>
      <c r="E507" s="2">
        <v>0</v>
      </c>
      <c r="F507" s="2">
        <v>0</v>
      </c>
      <c r="G507">
        <v>27</v>
      </c>
      <c r="H507" t="s">
        <v>58</v>
      </c>
      <c r="M507" s="2">
        <v>0</v>
      </c>
      <c r="N507" s="2">
        <v>0</v>
      </c>
      <c r="O507" s="2">
        <v>0</v>
      </c>
      <c r="R507" t="str">
        <f t="shared" si="21"/>
        <v>yes</v>
      </c>
      <c r="S507" t="str">
        <f t="shared" si="22"/>
        <v>no</v>
      </c>
      <c r="T5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7" s="2" t="b">
        <f t="shared" si="23"/>
        <v>0</v>
      </c>
      <c r="V507" s="2">
        <f>IF(Table4[[#This Row],[linear?]],Table4[[#This Row],[av]],10^(Table4[[#This Row],[av]]/10))</f>
        <v>1</v>
      </c>
      <c r="W507" s="2">
        <f>IF(Table4[[#This Row],[linear?]],Table4[[#This Row],[av]],10^(Table4[[#This Row],[av]]/10))</f>
        <v>1</v>
      </c>
      <c r="X507" s="2">
        <f>Table4[[#This Row],[av_lin]]-2*Table4[[#This Row],[std_lin]]</f>
        <v>-1</v>
      </c>
      <c r="Y507" s="2">
        <f>Table4[[#This Row],[av_lin]]+2*Table4[[#This Row],[std_lin]]</f>
        <v>3</v>
      </c>
    </row>
    <row r="508" spans="1:25" x14ac:dyDescent="0.35">
      <c r="A508" s="1">
        <v>555</v>
      </c>
      <c r="B508" t="s">
        <v>75</v>
      </c>
      <c r="C508" t="s">
        <v>253</v>
      </c>
      <c r="D508" t="s">
        <v>532</v>
      </c>
      <c r="E508" s="2">
        <v>0</v>
      </c>
      <c r="F508" s="2">
        <v>0</v>
      </c>
      <c r="G508">
        <v>27</v>
      </c>
      <c r="H508" t="s">
        <v>58</v>
      </c>
      <c r="M508" s="2">
        <v>0</v>
      </c>
      <c r="N508" s="2">
        <v>0</v>
      </c>
      <c r="O508" s="2">
        <v>0</v>
      </c>
      <c r="R508" t="str">
        <f t="shared" si="21"/>
        <v>yes</v>
      </c>
      <c r="S508" t="str">
        <f t="shared" si="22"/>
        <v>no</v>
      </c>
      <c r="T5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8" s="2" t="b">
        <f t="shared" si="23"/>
        <v>0</v>
      </c>
      <c r="V508" s="2">
        <f>IF(Table4[[#This Row],[linear?]],Table4[[#This Row],[av]],10^(Table4[[#This Row],[av]]/10))</f>
        <v>1</v>
      </c>
      <c r="W508" s="2">
        <f>IF(Table4[[#This Row],[linear?]],Table4[[#This Row],[av]],10^(Table4[[#This Row],[av]]/10))</f>
        <v>1</v>
      </c>
      <c r="X508" s="2">
        <f>Table4[[#This Row],[av_lin]]-2*Table4[[#This Row],[std_lin]]</f>
        <v>-1</v>
      </c>
      <c r="Y508" s="2">
        <f>Table4[[#This Row],[av_lin]]+2*Table4[[#This Row],[std_lin]]</f>
        <v>3</v>
      </c>
    </row>
    <row r="509" spans="1:25" x14ac:dyDescent="0.35">
      <c r="A509" s="1">
        <v>556</v>
      </c>
      <c r="B509" t="s">
        <v>75</v>
      </c>
      <c r="C509" t="s">
        <v>253</v>
      </c>
      <c r="D509" t="s">
        <v>533</v>
      </c>
      <c r="E509" s="2">
        <v>6.0475777777777768</v>
      </c>
      <c r="F509" s="2">
        <v>12.785266130903359</v>
      </c>
      <c r="G509">
        <v>27</v>
      </c>
      <c r="H509" t="s">
        <v>58</v>
      </c>
      <c r="M509" s="2">
        <v>31.61811003958449</v>
      </c>
      <c r="N509" s="2">
        <v>-19.52295448402894</v>
      </c>
      <c r="O509" s="2">
        <v>51.141064523613437</v>
      </c>
      <c r="P509" s="2">
        <v>0.47301148962086392</v>
      </c>
      <c r="R509" t="str">
        <f t="shared" si="21"/>
        <v>yes</v>
      </c>
      <c r="S509" t="str">
        <f t="shared" si="22"/>
        <v>no</v>
      </c>
      <c r="T5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9" s="2" t="b">
        <f t="shared" si="23"/>
        <v>1</v>
      </c>
      <c r="V509" s="2">
        <f>IF(Table4[[#This Row],[linear?]],Table4[[#This Row],[av]],10^(Table4[[#This Row],[av]]/10))</f>
        <v>6.0475777777777768</v>
      </c>
      <c r="W509" s="2">
        <f>IF(Table4[[#This Row],[linear?]],Table4[[#This Row],[av]],10^(Table4[[#This Row],[av]]/10))</f>
        <v>6.0475777777777768</v>
      </c>
      <c r="X509" s="2">
        <f>Table4[[#This Row],[av_lin]]-2*Table4[[#This Row],[std_lin]]</f>
        <v>-6.0475777777777768</v>
      </c>
      <c r="Y509" s="2">
        <f>Table4[[#This Row],[av_lin]]+2*Table4[[#This Row],[std_lin]]</f>
        <v>18.142733333333332</v>
      </c>
    </row>
    <row r="510" spans="1:25" x14ac:dyDescent="0.35">
      <c r="A510" s="1">
        <v>557</v>
      </c>
      <c r="B510" t="s">
        <v>75</v>
      </c>
      <c r="C510" t="s">
        <v>253</v>
      </c>
      <c r="D510" t="s">
        <v>534</v>
      </c>
      <c r="E510" s="2">
        <v>32.000933333333329</v>
      </c>
      <c r="F510" s="2">
        <v>67.216216624782092</v>
      </c>
      <c r="G510">
        <v>27</v>
      </c>
      <c r="H510" t="s">
        <v>58</v>
      </c>
      <c r="M510" s="2">
        <v>166.43336658289749</v>
      </c>
      <c r="N510" s="2">
        <v>-102.43149991623081</v>
      </c>
      <c r="O510" s="2">
        <v>268.86486649912842</v>
      </c>
      <c r="P510" s="2">
        <v>0.47608947572831462</v>
      </c>
      <c r="R510" t="str">
        <f t="shared" si="21"/>
        <v>yes</v>
      </c>
      <c r="S510" t="str">
        <f t="shared" si="22"/>
        <v>no</v>
      </c>
      <c r="T5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0" s="2" t="b">
        <f t="shared" si="23"/>
        <v>0</v>
      </c>
      <c r="V510" s="2">
        <f>IF(Table4[[#This Row],[linear?]],Table4[[#This Row],[av]],10^(Table4[[#This Row],[av]]/10))</f>
        <v>1585.2338351975186</v>
      </c>
      <c r="W510" s="2">
        <f>IF(Table4[[#This Row],[linear?]],Table4[[#This Row],[av]],10^(Table4[[#This Row],[av]]/10))</f>
        <v>1585.2338351975186</v>
      </c>
      <c r="X510" s="2">
        <f>Table4[[#This Row],[av_lin]]-2*Table4[[#This Row],[std_lin]]</f>
        <v>-1585.2338351975186</v>
      </c>
      <c r="Y510" s="2">
        <f>Table4[[#This Row],[av_lin]]+2*Table4[[#This Row],[std_lin]]</f>
        <v>4755.7015055925558</v>
      </c>
    </row>
    <row r="511" spans="1:25" x14ac:dyDescent="0.35">
      <c r="A511" s="1">
        <v>558</v>
      </c>
      <c r="B511" t="s">
        <v>75</v>
      </c>
      <c r="C511" t="s">
        <v>253</v>
      </c>
      <c r="D511" t="s">
        <v>535</v>
      </c>
      <c r="E511" s="2">
        <v>0</v>
      </c>
      <c r="F511" s="2">
        <v>0</v>
      </c>
      <c r="G511">
        <v>27</v>
      </c>
      <c r="H511" t="s">
        <v>58</v>
      </c>
      <c r="M511" s="2">
        <v>0</v>
      </c>
      <c r="N511" s="2">
        <v>0</v>
      </c>
      <c r="O511" s="2">
        <v>0</v>
      </c>
      <c r="R511" t="str">
        <f t="shared" si="21"/>
        <v>yes</v>
      </c>
      <c r="S511" t="str">
        <f t="shared" si="22"/>
        <v>no</v>
      </c>
      <c r="T5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1" s="2" t="b">
        <f t="shared" si="23"/>
        <v>0</v>
      </c>
      <c r="V511" s="2">
        <f>IF(Table4[[#This Row],[linear?]],Table4[[#This Row],[av]],10^(Table4[[#This Row],[av]]/10))</f>
        <v>1</v>
      </c>
      <c r="W511" s="2">
        <f>IF(Table4[[#This Row],[linear?]],Table4[[#This Row],[av]],10^(Table4[[#This Row],[av]]/10))</f>
        <v>1</v>
      </c>
      <c r="X511" s="2">
        <f>Table4[[#This Row],[av_lin]]-2*Table4[[#This Row],[std_lin]]</f>
        <v>-1</v>
      </c>
      <c r="Y511" s="2">
        <f>Table4[[#This Row],[av_lin]]+2*Table4[[#This Row],[std_lin]]</f>
        <v>3</v>
      </c>
    </row>
    <row r="512" spans="1:25" x14ac:dyDescent="0.35">
      <c r="A512" s="1">
        <v>559</v>
      </c>
      <c r="B512" t="s">
        <v>75</v>
      </c>
      <c r="C512" t="s">
        <v>253</v>
      </c>
      <c r="D512" t="s">
        <v>536</v>
      </c>
      <c r="E512" s="2">
        <v>0</v>
      </c>
      <c r="F512" s="2">
        <v>0</v>
      </c>
      <c r="G512">
        <v>27</v>
      </c>
      <c r="H512" t="s">
        <v>58</v>
      </c>
      <c r="M512" s="2">
        <v>0</v>
      </c>
      <c r="N512" s="2">
        <v>0</v>
      </c>
      <c r="O512" s="2">
        <v>0</v>
      </c>
      <c r="R512" t="str">
        <f t="shared" si="21"/>
        <v>yes</v>
      </c>
      <c r="S512" t="str">
        <f t="shared" si="22"/>
        <v>no</v>
      </c>
      <c r="T5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2" s="2" t="b">
        <f t="shared" si="23"/>
        <v>0</v>
      </c>
      <c r="V512" s="2">
        <f>IF(Table4[[#This Row],[linear?]],Table4[[#This Row],[av]],10^(Table4[[#This Row],[av]]/10))</f>
        <v>1</v>
      </c>
      <c r="W512" s="2">
        <f>IF(Table4[[#This Row],[linear?]],Table4[[#This Row],[av]],10^(Table4[[#This Row],[av]]/10))</f>
        <v>1</v>
      </c>
      <c r="X512" s="2">
        <f>Table4[[#This Row],[av_lin]]-2*Table4[[#This Row],[std_lin]]</f>
        <v>-1</v>
      </c>
      <c r="Y512" s="2">
        <f>Table4[[#This Row],[av_lin]]+2*Table4[[#This Row],[std_lin]]</f>
        <v>3</v>
      </c>
    </row>
    <row r="513" spans="1:25" x14ac:dyDescent="0.35">
      <c r="A513" s="1">
        <v>560</v>
      </c>
      <c r="B513" t="s">
        <v>75</v>
      </c>
      <c r="C513" t="s">
        <v>253</v>
      </c>
      <c r="D513" t="s">
        <v>537</v>
      </c>
      <c r="E513" s="2">
        <v>5.6039037037037032</v>
      </c>
      <c r="F513" s="2">
        <v>11.84162933400891</v>
      </c>
      <c r="G513">
        <v>27</v>
      </c>
      <c r="H513" t="s">
        <v>58</v>
      </c>
      <c r="M513" s="2">
        <v>29.287162371721529</v>
      </c>
      <c r="N513" s="2">
        <v>-18.07935496431412</v>
      </c>
      <c r="O513" s="2">
        <v>47.366517336035642</v>
      </c>
      <c r="P513" s="2">
        <v>0.47323755419445612</v>
      </c>
      <c r="R513" t="str">
        <f t="shared" si="21"/>
        <v>yes</v>
      </c>
      <c r="S513" t="str">
        <f t="shared" si="22"/>
        <v>no</v>
      </c>
      <c r="T5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3" s="2" t="b">
        <f t="shared" si="23"/>
        <v>1</v>
      </c>
      <c r="V513" s="2">
        <f>IF(Table4[[#This Row],[linear?]],Table4[[#This Row],[av]],10^(Table4[[#This Row],[av]]/10))</f>
        <v>5.6039037037037032</v>
      </c>
      <c r="W513" s="2">
        <f>IF(Table4[[#This Row],[linear?]],Table4[[#This Row],[av]],10^(Table4[[#This Row],[av]]/10))</f>
        <v>5.6039037037037032</v>
      </c>
      <c r="X513" s="2">
        <f>Table4[[#This Row],[av_lin]]-2*Table4[[#This Row],[std_lin]]</f>
        <v>-5.6039037037037032</v>
      </c>
      <c r="Y513" s="2">
        <f>Table4[[#This Row],[av_lin]]+2*Table4[[#This Row],[std_lin]]</f>
        <v>16.811711111111109</v>
      </c>
    </row>
    <row r="514" spans="1:25" x14ac:dyDescent="0.35">
      <c r="A514" s="1">
        <v>561</v>
      </c>
      <c r="B514" t="s">
        <v>75</v>
      </c>
      <c r="C514" t="s">
        <v>253</v>
      </c>
      <c r="D514" t="s">
        <v>538</v>
      </c>
      <c r="E514" s="2">
        <v>24.256166666666669</v>
      </c>
      <c r="F514" s="2">
        <v>56.157718622894087</v>
      </c>
      <c r="G514">
        <v>27</v>
      </c>
      <c r="H514" t="s">
        <v>58</v>
      </c>
      <c r="M514" s="2">
        <v>136.5716039124548</v>
      </c>
      <c r="N514" s="2">
        <v>-88.059270579121502</v>
      </c>
      <c r="O514" s="2">
        <v>224.63087449157629</v>
      </c>
      <c r="P514" s="2">
        <v>0.43192934580462178</v>
      </c>
      <c r="R514" t="str">
        <f t="shared" ref="R514:R577" si="24">IF(H514="yes","yes","no")</f>
        <v>yes</v>
      </c>
      <c r="S514" t="str">
        <f t="shared" ref="S514:S577" si="25">IF(I514,"yes","no")</f>
        <v>no</v>
      </c>
      <c r="T5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4" s="2" t="b">
        <f t="shared" ref="U514:U577" si="26">NOT(ISNUMBER(SEARCH("RFIC*POWER", D514)))</f>
        <v>0</v>
      </c>
      <c r="V514" s="2">
        <f>IF(Table4[[#This Row],[linear?]],Table4[[#This Row],[av]],10^(Table4[[#This Row],[av]]/10))</f>
        <v>266.45057799510016</v>
      </c>
      <c r="W514" s="2">
        <f>IF(Table4[[#This Row],[linear?]],Table4[[#This Row],[av]],10^(Table4[[#This Row],[av]]/10))</f>
        <v>266.45057799510016</v>
      </c>
      <c r="X514" s="2">
        <f>Table4[[#This Row],[av_lin]]-2*Table4[[#This Row],[std_lin]]</f>
        <v>-266.45057799510016</v>
      </c>
      <c r="Y514" s="2">
        <f>Table4[[#This Row],[av_lin]]+2*Table4[[#This Row],[std_lin]]</f>
        <v>799.35173398530048</v>
      </c>
    </row>
    <row r="515" spans="1:25" x14ac:dyDescent="0.35">
      <c r="A515" s="1">
        <v>562</v>
      </c>
      <c r="B515" t="s">
        <v>75</v>
      </c>
      <c r="C515" t="s">
        <v>253</v>
      </c>
      <c r="D515" t="s">
        <v>539</v>
      </c>
      <c r="E515" s="2">
        <v>0</v>
      </c>
      <c r="F515" s="2">
        <v>0</v>
      </c>
      <c r="G515">
        <v>27</v>
      </c>
      <c r="H515" t="s">
        <v>58</v>
      </c>
      <c r="M515" s="2">
        <v>0</v>
      </c>
      <c r="N515" s="2">
        <v>0</v>
      </c>
      <c r="O515" s="2">
        <v>0</v>
      </c>
      <c r="R515" t="str">
        <f t="shared" si="24"/>
        <v>yes</v>
      </c>
      <c r="S515" t="str">
        <f t="shared" si="25"/>
        <v>no</v>
      </c>
      <c r="T5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5" s="2" t="b">
        <f t="shared" si="26"/>
        <v>0</v>
      </c>
      <c r="V515" s="2">
        <f>IF(Table4[[#This Row],[linear?]],Table4[[#This Row],[av]],10^(Table4[[#This Row],[av]]/10))</f>
        <v>1</v>
      </c>
      <c r="W515" s="2">
        <f>IF(Table4[[#This Row],[linear?]],Table4[[#This Row],[av]],10^(Table4[[#This Row],[av]]/10))</f>
        <v>1</v>
      </c>
      <c r="X515" s="2">
        <f>Table4[[#This Row],[av_lin]]-2*Table4[[#This Row],[std_lin]]</f>
        <v>-1</v>
      </c>
      <c r="Y515" s="2">
        <f>Table4[[#This Row],[av_lin]]+2*Table4[[#This Row],[std_lin]]</f>
        <v>3</v>
      </c>
    </row>
    <row r="516" spans="1:25" x14ac:dyDescent="0.35">
      <c r="A516" s="1">
        <v>563</v>
      </c>
      <c r="B516" t="s">
        <v>75</v>
      </c>
      <c r="C516" t="s">
        <v>253</v>
      </c>
      <c r="D516" t="s">
        <v>540</v>
      </c>
      <c r="E516" s="2">
        <v>0</v>
      </c>
      <c r="F516" s="2">
        <v>0</v>
      </c>
      <c r="G516">
        <v>27</v>
      </c>
      <c r="H516" t="s">
        <v>58</v>
      </c>
      <c r="M516" s="2">
        <v>0</v>
      </c>
      <c r="N516" s="2">
        <v>0</v>
      </c>
      <c r="O516" s="2">
        <v>0</v>
      </c>
      <c r="R516" t="str">
        <f t="shared" si="24"/>
        <v>yes</v>
      </c>
      <c r="S516" t="str">
        <f t="shared" si="25"/>
        <v>no</v>
      </c>
      <c r="T5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6" s="2" t="b">
        <f t="shared" si="26"/>
        <v>0</v>
      </c>
      <c r="V516" s="2">
        <f>IF(Table4[[#This Row],[linear?]],Table4[[#This Row],[av]],10^(Table4[[#This Row],[av]]/10))</f>
        <v>1</v>
      </c>
      <c r="W516" s="2">
        <f>IF(Table4[[#This Row],[linear?]],Table4[[#This Row],[av]],10^(Table4[[#This Row],[av]]/10))</f>
        <v>1</v>
      </c>
      <c r="X516" s="2">
        <f>Table4[[#This Row],[av_lin]]-2*Table4[[#This Row],[std_lin]]</f>
        <v>-1</v>
      </c>
      <c r="Y516" s="2">
        <f>Table4[[#This Row],[av_lin]]+2*Table4[[#This Row],[std_lin]]</f>
        <v>3</v>
      </c>
    </row>
    <row r="517" spans="1:25" x14ac:dyDescent="0.35">
      <c r="A517" s="1">
        <v>564</v>
      </c>
      <c r="B517" t="s">
        <v>75</v>
      </c>
      <c r="C517" t="s">
        <v>253</v>
      </c>
      <c r="D517" t="s">
        <v>541</v>
      </c>
      <c r="E517" s="2">
        <v>7.2188888888888876</v>
      </c>
      <c r="F517" s="2">
        <v>15.17478169550299</v>
      </c>
      <c r="G517">
        <v>27</v>
      </c>
      <c r="H517" t="s">
        <v>58</v>
      </c>
      <c r="M517" s="2">
        <v>37.568452279894871</v>
      </c>
      <c r="N517" s="2">
        <v>-23.130674502117088</v>
      </c>
      <c r="O517" s="2">
        <v>60.699126782011959</v>
      </c>
      <c r="P517" s="2">
        <v>0.47571616078194973</v>
      </c>
      <c r="R517" t="str">
        <f t="shared" si="24"/>
        <v>yes</v>
      </c>
      <c r="S517" t="str">
        <f t="shared" si="25"/>
        <v>no</v>
      </c>
      <c r="T5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7" s="2" t="b">
        <f t="shared" si="26"/>
        <v>1</v>
      </c>
      <c r="V517" s="2">
        <f>IF(Table4[[#This Row],[linear?]],Table4[[#This Row],[av]],10^(Table4[[#This Row],[av]]/10))</f>
        <v>7.2188888888888876</v>
      </c>
      <c r="W517" s="2">
        <f>IF(Table4[[#This Row],[linear?]],Table4[[#This Row],[av]],10^(Table4[[#This Row],[av]]/10))</f>
        <v>7.2188888888888876</v>
      </c>
      <c r="X517" s="2">
        <f>Table4[[#This Row],[av_lin]]-2*Table4[[#This Row],[std_lin]]</f>
        <v>-7.2188888888888876</v>
      </c>
      <c r="Y517" s="2">
        <f>Table4[[#This Row],[av_lin]]+2*Table4[[#This Row],[std_lin]]</f>
        <v>21.656666666666663</v>
      </c>
    </row>
    <row r="518" spans="1:25" x14ac:dyDescent="0.35">
      <c r="A518" s="1">
        <v>566</v>
      </c>
      <c r="B518" t="s">
        <v>75</v>
      </c>
      <c r="C518" t="s">
        <v>542</v>
      </c>
      <c r="D518" t="s">
        <v>544</v>
      </c>
      <c r="E518" s="2">
        <v>2</v>
      </c>
      <c r="F518" s="2">
        <v>0</v>
      </c>
      <c r="G518">
        <v>27</v>
      </c>
      <c r="H518" t="s">
        <v>58</v>
      </c>
      <c r="M518" s="2">
        <v>2</v>
      </c>
      <c r="N518" s="2">
        <v>2</v>
      </c>
      <c r="O518" s="2">
        <v>0</v>
      </c>
      <c r="P518" s="2" t="s">
        <v>21</v>
      </c>
      <c r="R518" t="str">
        <f t="shared" si="24"/>
        <v>yes</v>
      </c>
      <c r="S518" t="str">
        <f t="shared" si="25"/>
        <v>no</v>
      </c>
      <c r="T5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8" s="2" t="b">
        <f t="shared" si="26"/>
        <v>1</v>
      </c>
      <c r="V518" s="2">
        <f>IF(Table4[[#This Row],[linear?]],Table4[[#This Row],[av]],10^(Table4[[#This Row],[av]]/10))</f>
        <v>2</v>
      </c>
      <c r="W518" s="2">
        <f>IF(Table4[[#This Row],[linear?]],Table4[[#This Row],[av]],10^(Table4[[#This Row],[av]]/10))</f>
        <v>2</v>
      </c>
      <c r="X518" s="2">
        <f>Table4[[#This Row],[av_lin]]-2*Table4[[#This Row],[std_lin]]</f>
        <v>-2</v>
      </c>
      <c r="Y518" s="2">
        <f>Table4[[#This Row],[av_lin]]+2*Table4[[#This Row],[std_lin]]</f>
        <v>6</v>
      </c>
    </row>
    <row r="519" spans="1:25" x14ac:dyDescent="0.35">
      <c r="A519" s="1">
        <v>568</v>
      </c>
      <c r="B519" t="s">
        <v>75</v>
      </c>
      <c r="C519" t="s">
        <v>542</v>
      </c>
      <c r="D519" t="s">
        <v>546</v>
      </c>
      <c r="E519" s="2">
        <v>1</v>
      </c>
      <c r="F519" s="2">
        <v>0</v>
      </c>
      <c r="G519">
        <v>27</v>
      </c>
      <c r="H519" t="s">
        <v>58</v>
      </c>
      <c r="M519" s="2">
        <v>1</v>
      </c>
      <c r="N519" s="2">
        <v>1</v>
      </c>
      <c r="O519" s="2">
        <v>0</v>
      </c>
      <c r="P519" s="2" t="s">
        <v>21</v>
      </c>
      <c r="R519" t="str">
        <f t="shared" si="24"/>
        <v>yes</v>
      </c>
      <c r="S519" t="str">
        <f t="shared" si="25"/>
        <v>no</v>
      </c>
      <c r="T5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9" s="2" t="b">
        <f t="shared" si="26"/>
        <v>1</v>
      </c>
      <c r="V519" s="2">
        <f>IF(Table4[[#This Row],[linear?]],Table4[[#This Row],[av]],10^(Table4[[#This Row],[av]]/10))</f>
        <v>1</v>
      </c>
      <c r="W519" s="2">
        <f>IF(Table4[[#This Row],[linear?]],Table4[[#This Row],[av]],10^(Table4[[#This Row],[av]]/10))</f>
        <v>1</v>
      </c>
      <c r="X519" s="2">
        <f>Table4[[#This Row],[av_lin]]-2*Table4[[#This Row],[std_lin]]</f>
        <v>-1</v>
      </c>
      <c r="Y519" s="2">
        <f>Table4[[#This Row],[av_lin]]+2*Table4[[#This Row],[std_lin]]</f>
        <v>3</v>
      </c>
    </row>
    <row r="520" spans="1:25" x14ac:dyDescent="0.35">
      <c r="A520" s="1">
        <v>571</v>
      </c>
      <c r="B520" t="s">
        <v>75</v>
      </c>
      <c r="C520" t="s">
        <v>549</v>
      </c>
      <c r="D520" t="s">
        <v>550</v>
      </c>
      <c r="E520" s="2">
        <v>4.6775308641975304E-3</v>
      </c>
      <c r="F520" s="2">
        <v>1.3966631255037359E-3</v>
      </c>
      <c r="G520">
        <v>27</v>
      </c>
      <c r="H520" t="s">
        <v>58</v>
      </c>
      <c r="M520" s="2">
        <v>7.4708571152050027E-3</v>
      </c>
      <c r="N520" s="2">
        <v>1.8842046131900591E-3</v>
      </c>
      <c r="O520" s="2">
        <v>5.5866525020149436E-3</v>
      </c>
      <c r="P520" s="2">
        <v>3.3490759359100859</v>
      </c>
      <c r="R520" t="str">
        <f t="shared" si="24"/>
        <v>yes</v>
      </c>
      <c r="S520" t="str">
        <f t="shared" si="25"/>
        <v>no</v>
      </c>
      <c r="T5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0" s="2" t="b">
        <f t="shared" si="26"/>
        <v>1</v>
      </c>
      <c r="V520" s="2">
        <f>IF(Table4[[#This Row],[linear?]],Table4[[#This Row],[av]],10^(Table4[[#This Row],[av]]/10))</f>
        <v>4.6775308641975304E-3</v>
      </c>
      <c r="W520" s="2">
        <f>IF(Table4[[#This Row],[linear?]],Table4[[#This Row],[av]],10^(Table4[[#This Row],[av]]/10))</f>
        <v>4.6775308641975304E-3</v>
      </c>
      <c r="X520" s="2">
        <f>Table4[[#This Row],[av_lin]]-2*Table4[[#This Row],[std_lin]]</f>
        <v>-4.6775308641975304E-3</v>
      </c>
      <c r="Y520" s="2">
        <f>Table4[[#This Row],[av_lin]]+2*Table4[[#This Row],[std_lin]]</f>
        <v>1.4032592592592591E-2</v>
      </c>
    </row>
    <row r="521" spans="1:25" x14ac:dyDescent="0.35">
      <c r="A521" s="1">
        <v>573</v>
      </c>
      <c r="B521" t="s">
        <v>75</v>
      </c>
      <c r="C521" t="s">
        <v>549</v>
      </c>
      <c r="D521" t="s">
        <v>552</v>
      </c>
      <c r="E521" s="2">
        <v>1.8481481481481489E-3</v>
      </c>
      <c r="F521" s="2">
        <v>1.27750025110093E-3</v>
      </c>
      <c r="G521">
        <v>27</v>
      </c>
      <c r="H521" t="s">
        <v>58</v>
      </c>
      <c r="M521" s="2">
        <v>4.403148650350009E-3</v>
      </c>
      <c r="N521" s="2">
        <v>-7.0685235405371105E-4</v>
      </c>
      <c r="O521" s="2">
        <v>5.1100010044037199E-3</v>
      </c>
      <c r="P521" s="2">
        <v>1.446691025348483</v>
      </c>
      <c r="R521" t="str">
        <f t="shared" si="24"/>
        <v>yes</v>
      </c>
      <c r="S521" t="str">
        <f t="shared" si="25"/>
        <v>no</v>
      </c>
      <c r="T5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1" s="2" t="b">
        <f t="shared" si="26"/>
        <v>1</v>
      </c>
      <c r="V521" s="2">
        <f>IF(Table4[[#This Row],[linear?]],Table4[[#This Row],[av]],10^(Table4[[#This Row],[av]]/10))</f>
        <v>1.8481481481481489E-3</v>
      </c>
      <c r="W521" s="2">
        <f>IF(Table4[[#This Row],[linear?]],Table4[[#This Row],[av]],10^(Table4[[#This Row],[av]]/10))</f>
        <v>1.8481481481481489E-3</v>
      </c>
      <c r="X521" s="2">
        <f>Table4[[#This Row],[av_lin]]-2*Table4[[#This Row],[std_lin]]</f>
        <v>-1.8481481481481489E-3</v>
      </c>
      <c r="Y521" s="2">
        <f>Table4[[#This Row],[av_lin]]+2*Table4[[#This Row],[std_lin]]</f>
        <v>5.5444444444444465E-3</v>
      </c>
    </row>
    <row r="522" spans="1:25" x14ac:dyDescent="0.35">
      <c r="A522" s="1">
        <v>575</v>
      </c>
      <c r="B522" t="s">
        <v>75</v>
      </c>
      <c r="C522" t="s">
        <v>549</v>
      </c>
      <c r="D522" t="s">
        <v>554</v>
      </c>
      <c r="E522" s="2">
        <v>2.1720370370370369E-2</v>
      </c>
      <c r="F522" s="2">
        <v>3.193214390002432E-3</v>
      </c>
      <c r="G522">
        <v>27</v>
      </c>
      <c r="H522" t="s">
        <v>58</v>
      </c>
      <c r="M522" s="2">
        <v>2.8106799150375231E-2</v>
      </c>
      <c r="N522" s="2">
        <v>1.53339415903655E-2</v>
      </c>
      <c r="O522" s="2">
        <v>1.277285756000973E-2</v>
      </c>
      <c r="P522" s="2">
        <v>6.8020394867235412</v>
      </c>
      <c r="R522" t="str">
        <f t="shared" si="24"/>
        <v>yes</v>
      </c>
      <c r="S522" t="str">
        <f t="shared" si="25"/>
        <v>no</v>
      </c>
      <c r="T5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2" s="2" t="b">
        <f t="shared" si="26"/>
        <v>1</v>
      </c>
      <c r="V522" s="2">
        <f>IF(Table4[[#This Row],[linear?]],Table4[[#This Row],[av]],10^(Table4[[#This Row],[av]]/10))</f>
        <v>2.1720370370370369E-2</v>
      </c>
      <c r="W522" s="2">
        <f>IF(Table4[[#This Row],[linear?]],Table4[[#This Row],[av]],10^(Table4[[#This Row],[av]]/10))</f>
        <v>2.1720370370370369E-2</v>
      </c>
      <c r="X522" s="2">
        <f>Table4[[#This Row],[av_lin]]-2*Table4[[#This Row],[std_lin]]</f>
        <v>-2.1720370370370369E-2</v>
      </c>
      <c r="Y522" s="2">
        <f>Table4[[#This Row],[av_lin]]+2*Table4[[#This Row],[std_lin]]</f>
        <v>6.5161111111111114E-2</v>
      </c>
    </row>
    <row r="523" spans="1:25" x14ac:dyDescent="0.35">
      <c r="A523" s="1">
        <v>577</v>
      </c>
      <c r="B523" t="s">
        <v>75</v>
      </c>
      <c r="C523" t="s">
        <v>549</v>
      </c>
      <c r="D523" t="s">
        <v>556</v>
      </c>
      <c r="E523" s="2">
        <v>4.5845679012345682E-3</v>
      </c>
      <c r="F523" s="2">
        <v>2.3699709057824368E-3</v>
      </c>
      <c r="G523">
        <v>27</v>
      </c>
      <c r="H523" t="s">
        <v>58</v>
      </c>
      <c r="M523" s="2">
        <v>9.3245097127994427E-3</v>
      </c>
      <c r="N523" s="2">
        <v>-1.553739103303054E-4</v>
      </c>
      <c r="O523" s="2">
        <v>9.4798836231297472E-3</v>
      </c>
      <c r="P523" s="2">
        <v>1.934440583236186</v>
      </c>
      <c r="R523" t="str">
        <f t="shared" si="24"/>
        <v>yes</v>
      </c>
      <c r="S523" t="str">
        <f t="shared" si="25"/>
        <v>no</v>
      </c>
      <c r="T5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3" s="2" t="b">
        <f t="shared" si="26"/>
        <v>1</v>
      </c>
      <c r="V523" s="2">
        <f>IF(Table4[[#This Row],[linear?]],Table4[[#This Row],[av]],10^(Table4[[#This Row],[av]]/10))</f>
        <v>4.5845679012345682E-3</v>
      </c>
      <c r="W523" s="2">
        <f>IF(Table4[[#This Row],[linear?]],Table4[[#This Row],[av]],10^(Table4[[#This Row],[av]]/10))</f>
        <v>4.5845679012345682E-3</v>
      </c>
      <c r="X523" s="2">
        <f>Table4[[#This Row],[av_lin]]-2*Table4[[#This Row],[std_lin]]</f>
        <v>-4.5845679012345682E-3</v>
      </c>
      <c r="Y523" s="2">
        <f>Table4[[#This Row],[av_lin]]+2*Table4[[#This Row],[std_lin]]</f>
        <v>1.3753703703703705E-2</v>
      </c>
    </row>
    <row r="524" spans="1:25" x14ac:dyDescent="0.35">
      <c r="A524" s="1">
        <v>579</v>
      </c>
      <c r="B524" t="s">
        <v>75</v>
      </c>
      <c r="C524" t="s">
        <v>549</v>
      </c>
      <c r="D524" t="s">
        <v>558</v>
      </c>
      <c r="E524" s="2">
        <v>2.643703703703705E-3</v>
      </c>
      <c r="F524" s="2">
        <v>1.3299016780139641E-3</v>
      </c>
      <c r="G524">
        <v>27</v>
      </c>
      <c r="H524" t="s">
        <v>58</v>
      </c>
      <c r="M524" s="2">
        <v>5.3035070597316344E-3</v>
      </c>
      <c r="N524" s="2">
        <v>-1.6099652324223172E-5</v>
      </c>
      <c r="O524" s="2">
        <v>5.3196067120558563E-3</v>
      </c>
      <c r="P524" s="2">
        <v>1.9878941033082489</v>
      </c>
      <c r="R524" t="str">
        <f t="shared" si="24"/>
        <v>yes</v>
      </c>
      <c r="S524" t="str">
        <f t="shared" si="25"/>
        <v>no</v>
      </c>
      <c r="T5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4" s="2" t="b">
        <f t="shared" si="26"/>
        <v>1</v>
      </c>
      <c r="V524" s="2">
        <f>IF(Table4[[#This Row],[linear?]],Table4[[#This Row],[av]],10^(Table4[[#This Row],[av]]/10))</f>
        <v>2.643703703703705E-3</v>
      </c>
      <c r="W524" s="2">
        <f>IF(Table4[[#This Row],[linear?]],Table4[[#This Row],[av]],10^(Table4[[#This Row],[av]]/10))</f>
        <v>2.643703703703705E-3</v>
      </c>
      <c r="X524" s="2">
        <f>Table4[[#This Row],[av_lin]]-2*Table4[[#This Row],[std_lin]]</f>
        <v>-2.643703703703705E-3</v>
      </c>
      <c r="Y524" s="2">
        <f>Table4[[#This Row],[av_lin]]+2*Table4[[#This Row],[std_lin]]</f>
        <v>7.9311111111111145E-3</v>
      </c>
    </row>
    <row r="525" spans="1:25" x14ac:dyDescent="0.35">
      <c r="A525" s="1">
        <v>581</v>
      </c>
      <c r="B525" t="s">
        <v>75</v>
      </c>
      <c r="C525" t="s">
        <v>549</v>
      </c>
      <c r="D525" t="s">
        <v>560</v>
      </c>
      <c r="E525" s="2">
        <v>2.1917654320987651E-2</v>
      </c>
      <c r="F525" s="2">
        <v>3.9155160672609112E-3</v>
      </c>
      <c r="G525">
        <v>27</v>
      </c>
      <c r="H525" t="s">
        <v>58</v>
      </c>
      <c r="M525" s="2">
        <v>2.974868645550947E-2</v>
      </c>
      <c r="N525" s="2">
        <v>1.4086622186465831E-2</v>
      </c>
      <c r="O525" s="2">
        <v>1.5662064269043641E-2</v>
      </c>
      <c r="P525" s="2">
        <v>5.5976412673285463</v>
      </c>
      <c r="R525" t="str">
        <f t="shared" si="24"/>
        <v>yes</v>
      </c>
      <c r="S525" t="str">
        <f t="shared" si="25"/>
        <v>no</v>
      </c>
      <c r="T5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5" s="2" t="b">
        <f t="shared" si="26"/>
        <v>1</v>
      </c>
      <c r="V525" s="2">
        <f>IF(Table4[[#This Row],[linear?]],Table4[[#This Row],[av]],10^(Table4[[#This Row],[av]]/10))</f>
        <v>2.1917654320987651E-2</v>
      </c>
      <c r="W525" s="2">
        <f>IF(Table4[[#This Row],[linear?]],Table4[[#This Row],[av]],10^(Table4[[#This Row],[av]]/10))</f>
        <v>2.1917654320987651E-2</v>
      </c>
      <c r="X525" s="2">
        <f>Table4[[#This Row],[av_lin]]-2*Table4[[#This Row],[std_lin]]</f>
        <v>-2.1917654320987651E-2</v>
      </c>
      <c r="Y525" s="2">
        <f>Table4[[#This Row],[av_lin]]+2*Table4[[#This Row],[std_lin]]</f>
        <v>6.5752962962962958E-2</v>
      </c>
    </row>
    <row r="526" spans="1:25" x14ac:dyDescent="0.35">
      <c r="A526" s="1">
        <v>583</v>
      </c>
      <c r="B526" t="s">
        <v>75</v>
      </c>
      <c r="C526" t="s">
        <v>549</v>
      </c>
      <c r="D526" t="s">
        <v>562</v>
      </c>
      <c r="E526" s="2">
        <v>5.8138271604938263E-3</v>
      </c>
      <c r="F526" s="2">
        <v>3.5205127361423549E-3</v>
      </c>
      <c r="G526">
        <v>27</v>
      </c>
      <c r="H526" t="s">
        <v>58</v>
      </c>
      <c r="M526" s="2">
        <v>1.285485263277854E-2</v>
      </c>
      <c r="N526" s="2">
        <v>-1.227198311790884E-3</v>
      </c>
      <c r="O526" s="2">
        <v>1.408205094456942E-2</v>
      </c>
      <c r="P526" s="2">
        <v>1.6514148921569869</v>
      </c>
      <c r="R526" t="str">
        <f t="shared" si="24"/>
        <v>yes</v>
      </c>
      <c r="S526" t="str">
        <f t="shared" si="25"/>
        <v>no</v>
      </c>
      <c r="T5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6" s="2" t="b">
        <f t="shared" si="26"/>
        <v>1</v>
      </c>
      <c r="V526" s="2">
        <f>IF(Table4[[#This Row],[linear?]],Table4[[#This Row],[av]],10^(Table4[[#This Row],[av]]/10))</f>
        <v>5.8138271604938263E-3</v>
      </c>
      <c r="W526" s="2">
        <f>IF(Table4[[#This Row],[linear?]],Table4[[#This Row],[av]],10^(Table4[[#This Row],[av]]/10))</f>
        <v>5.8138271604938263E-3</v>
      </c>
      <c r="X526" s="2">
        <f>Table4[[#This Row],[av_lin]]-2*Table4[[#This Row],[std_lin]]</f>
        <v>-5.8138271604938263E-3</v>
      </c>
      <c r="Y526" s="2">
        <f>Table4[[#This Row],[av_lin]]+2*Table4[[#This Row],[std_lin]]</f>
        <v>1.7441481481481478E-2</v>
      </c>
    </row>
    <row r="527" spans="1:25" x14ac:dyDescent="0.35">
      <c r="A527" s="1">
        <v>585</v>
      </c>
      <c r="B527" t="s">
        <v>75</v>
      </c>
      <c r="C527" t="s">
        <v>549</v>
      </c>
      <c r="D527" t="s">
        <v>564</v>
      </c>
      <c r="E527" s="2">
        <v>2.6119753086419769E-3</v>
      </c>
      <c r="F527" s="2">
        <v>1.6350463303674569E-3</v>
      </c>
      <c r="G527">
        <v>27</v>
      </c>
      <c r="H527" t="s">
        <v>58</v>
      </c>
      <c r="M527" s="2">
        <v>5.8820679693768908E-3</v>
      </c>
      <c r="N527" s="2">
        <v>-6.58117352092937E-4</v>
      </c>
      <c r="O527" s="2">
        <v>6.5401853214698278E-3</v>
      </c>
      <c r="P527" s="2">
        <v>1.5974931475213709</v>
      </c>
      <c r="R527" t="str">
        <f t="shared" si="24"/>
        <v>yes</v>
      </c>
      <c r="S527" t="str">
        <f t="shared" si="25"/>
        <v>no</v>
      </c>
      <c r="T5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7" s="2" t="b">
        <f t="shared" si="26"/>
        <v>1</v>
      </c>
      <c r="V527" s="2">
        <f>IF(Table4[[#This Row],[linear?]],Table4[[#This Row],[av]],10^(Table4[[#This Row],[av]]/10))</f>
        <v>2.6119753086419769E-3</v>
      </c>
      <c r="W527" s="2">
        <f>IF(Table4[[#This Row],[linear?]],Table4[[#This Row],[av]],10^(Table4[[#This Row],[av]]/10))</f>
        <v>2.6119753086419769E-3</v>
      </c>
      <c r="X527" s="2">
        <f>Table4[[#This Row],[av_lin]]-2*Table4[[#This Row],[std_lin]]</f>
        <v>-2.6119753086419769E-3</v>
      </c>
      <c r="Y527" s="2">
        <f>Table4[[#This Row],[av_lin]]+2*Table4[[#This Row],[std_lin]]</f>
        <v>7.8359259259259302E-3</v>
      </c>
    </row>
    <row r="528" spans="1:25" x14ac:dyDescent="0.35">
      <c r="A528" s="1">
        <v>587</v>
      </c>
      <c r="B528" t="s">
        <v>75</v>
      </c>
      <c r="C528" t="s">
        <v>549</v>
      </c>
      <c r="D528" t="s">
        <v>566</v>
      </c>
      <c r="E528" s="2">
        <v>2.2630123456790129E-2</v>
      </c>
      <c r="F528" s="2">
        <v>3.513420596591421E-3</v>
      </c>
      <c r="G528">
        <v>27</v>
      </c>
      <c r="H528" t="s">
        <v>58</v>
      </c>
      <c r="M528" s="2">
        <v>2.9656964649972969E-2</v>
      </c>
      <c r="N528" s="2">
        <v>1.560328226360729E-2</v>
      </c>
      <c r="O528" s="2">
        <v>1.4053682386365691E-2</v>
      </c>
      <c r="P528" s="2">
        <v>6.4410516289296416</v>
      </c>
      <c r="R528" t="str">
        <f t="shared" si="24"/>
        <v>yes</v>
      </c>
      <c r="S528" t="str">
        <f t="shared" si="25"/>
        <v>no</v>
      </c>
      <c r="T5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8" s="2" t="b">
        <f t="shared" si="26"/>
        <v>1</v>
      </c>
      <c r="V528" s="2">
        <f>IF(Table4[[#This Row],[linear?]],Table4[[#This Row],[av]],10^(Table4[[#This Row],[av]]/10))</f>
        <v>2.2630123456790129E-2</v>
      </c>
      <c r="W528" s="2">
        <f>IF(Table4[[#This Row],[linear?]],Table4[[#This Row],[av]],10^(Table4[[#This Row],[av]]/10))</f>
        <v>2.2630123456790129E-2</v>
      </c>
      <c r="X528" s="2">
        <f>Table4[[#This Row],[av_lin]]-2*Table4[[#This Row],[std_lin]]</f>
        <v>-2.2630123456790129E-2</v>
      </c>
      <c r="Y528" s="2">
        <f>Table4[[#This Row],[av_lin]]+2*Table4[[#This Row],[std_lin]]</f>
        <v>6.7890370370370379E-2</v>
      </c>
    </row>
    <row r="529" spans="1:25" x14ac:dyDescent="0.35">
      <c r="A529" s="1">
        <v>590</v>
      </c>
      <c r="B529" t="s">
        <v>75</v>
      </c>
      <c r="C529" t="s">
        <v>549</v>
      </c>
      <c r="D529" t="s">
        <v>569</v>
      </c>
      <c r="E529" s="2">
        <v>3.2916172839506173E-2</v>
      </c>
      <c r="F529" s="2">
        <v>7.9352712462982516E-3</v>
      </c>
      <c r="G529">
        <v>27</v>
      </c>
      <c r="H529" t="s">
        <v>58</v>
      </c>
      <c r="M529" s="2">
        <v>4.8786715332102673E-2</v>
      </c>
      <c r="N529" s="2">
        <v>1.704563034690967E-2</v>
      </c>
      <c r="O529" s="2">
        <v>3.1741084985192999E-2</v>
      </c>
      <c r="P529" s="2">
        <v>4.1480841445541436</v>
      </c>
      <c r="R529" t="str">
        <f t="shared" si="24"/>
        <v>yes</v>
      </c>
      <c r="S529" t="str">
        <f t="shared" si="25"/>
        <v>no</v>
      </c>
      <c r="T5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9" s="2" t="b">
        <f t="shared" si="26"/>
        <v>1</v>
      </c>
      <c r="V529" s="2">
        <f>IF(Table4[[#This Row],[linear?]],Table4[[#This Row],[av]],10^(Table4[[#This Row],[av]]/10))</f>
        <v>3.2916172839506173E-2</v>
      </c>
      <c r="W529" s="2">
        <f>IF(Table4[[#This Row],[linear?]],Table4[[#This Row],[av]],10^(Table4[[#This Row],[av]]/10))</f>
        <v>3.2916172839506173E-2</v>
      </c>
      <c r="X529" s="2">
        <f>Table4[[#This Row],[av_lin]]-2*Table4[[#This Row],[std_lin]]</f>
        <v>-3.2916172839506173E-2</v>
      </c>
      <c r="Y529" s="2">
        <f>Table4[[#This Row],[av_lin]]+2*Table4[[#This Row],[std_lin]]</f>
        <v>9.8748518518518513E-2</v>
      </c>
    </row>
    <row r="530" spans="1:25" x14ac:dyDescent="0.35">
      <c r="A530" s="1">
        <v>591</v>
      </c>
      <c r="B530" t="s">
        <v>75</v>
      </c>
      <c r="C530" t="s">
        <v>549</v>
      </c>
      <c r="D530" t="s">
        <v>570</v>
      </c>
      <c r="E530" s="2">
        <v>3.5999506172839507E-2</v>
      </c>
      <c r="F530" s="2">
        <v>1.0422607635500351E-2</v>
      </c>
      <c r="G530">
        <v>27</v>
      </c>
      <c r="H530" t="s">
        <v>58</v>
      </c>
      <c r="M530" s="2">
        <v>5.6844721443840208E-2</v>
      </c>
      <c r="N530" s="2">
        <v>1.5154290901838809E-2</v>
      </c>
      <c r="O530" s="2">
        <v>4.1690430542001403E-2</v>
      </c>
      <c r="P530" s="2">
        <v>3.4539826722654232</v>
      </c>
      <c r="R530" t="str">
        <f t="shared" si="24"/>
        <v>yes</v>
      </c>
      <c r="S530" t="str">
        <f t="shared" si="25"/>
        <v>no</v>
      </c>
      <c r="T5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0" s="2" t="b">
        <f t="shared" si="26"/>
        <v>1</v>
      </c>
      <c r="V530" s="2">
        <f>IF(Table4[[#This Row],[linear?]],Table4[[#This Row],[av]],10^(Table4[[#This Row],[av]]/10))</f>
        <v>3.5999506172839507E-2</v>
      </c>
      <c r="W530" s="2">
        <f>IF(Table4[[#This Row],[linear?]],Table4[[#This Row],[av]],10^(Table4[[#This Row],[av]]/10))</f>
        <v>3.5999506172839507E-2</v>
      </c>
      <c r="X530" s="2">
        <f>Table4[[#This Row],[av_lin]]-2*Table4[[#This Row],[std_lin]]</f>
        <v>-3.5999506172839507E-2</v>
      </c>
      <c r="Y530" s="2">
        <f>Table4[[#This Row],[av_lin]]+2*Table4[[#This Row],[std_lin]]</f>
        <v>0.10799851851851852</v>
      </c>
    </row>
    <row r="531" spans="1:25" x14ac:dyDescent="0.35">
      <c r="A531" s="1">
        <v>592</v>
      </c>
      <c r="B531" t="s">
        <v>75</v>
      </c>
      <c r="C531" t="s">
        <v>549</v>
      </c>
      <c r="D531" t="s">
        <v>571</v>
      </c>
      <c r="E531" s="2">
        <v>3.3334691358024693E-2</v>
      </c>
      <c r="F531" s="2">
        <v>9.0997187580994267E-3</v>
      </c>
      <c r="G531">
        <v>27</v>
      </c>
      <c r="H531" t="s">
        <v>58</v>
      </c>
      <c r="M531" s="2">
        <v>5.1534128874223553E-2</v>
      </c>
      <c r="N531" s="2">
        <v>1.5135253841825839E-2</v>
      </c>
      <c r="O531" s="2">
        <v>3.6398875032397707E-2</v>
      </c>
      <c r="P531" s="2">
        <v>3.6632661123020238</v>
      </c>
      <c r="R531" t="str">
        <f t="shared" si="24"/>
        <v>yes</v>
      </c>
      <c r="S531" t="str">
        <f t="shared" si="25"/>
        <v>no</v>
      </c>
      <c r="T5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1" s="2" t="b">
        <f t="shared" si="26"/>
        <v>1</v>
      </c>
      <c r="V531" s="2">
        <f>IF(Table4[[#This Row],[linear?]],Table4[[#This Row],[av]],10^(Table4[[#This Row],[av]]/10))</f>
        <v>3.3334691358024693E-2</v>
      </c>
      <c r="W531" s="2">
        <f>IF(Table4[[#This Row],[linear?]],Table4[[#This Row],[av]],10^(Table4[[#This Row],[av]]/10))</f>
        <v>3.3334691358024693E-2</v>
      </c>
      <c r="X531" s="2">
        <f>Table4[[#This Row],[av_lin]]-2*Table4[[#This Row],[std_lin]]</f>
        <v>-3.3334691358024693E-2</v>
      </c>
      <c r="Y531" s="2">
        <f>Table4[[#This Row],[av_lin]]+2*Table4[[#This Row],[std_lin]]</f>
        <v>0.10000407407407408</v>
      </c>
    </row>
    <row r="532" spans="1:25" x14ac:dyDescent="0.35">
      <c r="A532" s="1">
        <v>593</v>
      </c>
      <c r="B532" t="s">
        <v>75</v>
      </c>
      <c r="C532" t="s">
        <v>549</v>
      </c>
      <c r="D532" t="s">
        <v>572</v>
      </c>
      <c r="E532" s="2">
        <v>7.6275308641975306E-2</v>
      </c>
      <c r="F532" s="2">
        <v>8.0004822248534169E-3</v>
      </c>
      <c r="G532">
        <v>27</v>
      </c>
      <c r="H532" t="s">
        <v>58</v>
      </c>
      <c r="M532" s="2">
        <v>9.227627309168214E-2</v>
      </c>
      <c r="N532" s="2">
        <v>6.0274344192268473E-2</v>
      </c>
      <c r="O532" s="2">
        <v>3.2001928899413667E-2</v>
      </c>
      <c r="P532" s="2">
        <v>9.5338388984887477</v>
      </c>
      <c r="R532" t="str">
        <f t="shared" si="24"/>
        <v>yes</v>
      </c>
      <c r="S532" t="str">
        <f t="shared" si="25"/>
        <v>no</v>
      </c>
      <c r="T5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2" s="2" t="b">
        <f t="shared" si="26"/>
        <v>1</v>
      </c>
      <c r="V532" s="2">
        <f>IF(Table4[[#This Row],[linear?]],Table4[[#This Row],[av]],10^(Table4[[#This Row],[av]]/10))</f>
        <v>7.6275308641975306E-2</v>
      </c>
      <c r="W532" s="2">
        <f>IF(Table4[[#This Row],[linear?]],Table4[[#This Row],[av]],10^(Table4[[#This Row],[av]]/10))</f>
        <v>7.6275308641975306E-2</v>
      </c>
      <c r="X532" s="2">
        <f>Table4[[#This Row],[av_lin]]-2*Table4[[#This Row],[std_lin]]</f>
        <v>-7.6275308641975306E-2</v>
      </c>
      <c r="Y532" s="2">
        <f>Table4[[#This Row],[av_lin]]+2*Table4[[#This Row],[std_lin]]</f>
        <v>0.22882592592592593</v>
      </c>
    </row>
    <row r="533" spans="1:25" x14ac:dyDescent="0.35">
      <c r="A533" s="1">
        <v>595</v>
      </c>
      <c r="B533" t="s">
        <v>75</v>
      </c>
      <c r="C533" t="s">
        <v>549</v>
      </c>
      <c r="D533" t="s">
        <v>574</v>
      </c>
      <c r="E533" s="2">
        <v>4.2539259259259263E-2</v>
      </c>
      <c r="F533" s="2">
        <v>1.071307583398415E-2</v>
      </c>
      <c r="G533">
        <v>27</v>
      </c>
      <c r="H533" t="s">
        <v>58</v>
      </c>
      <c r="M533" s="2">
        <v>6.3965410927227559E-2</v>
      </c>
      <c r="N533" s="2">
        <v>2.111310759129096E-2</v>
      </c>
      <c r="O533" s="2">
        <v>4.2852303335936592E-2</v>
      </c>
      <c r="P533" s="2">
        <v>3.9707792531735571</v>
      </c>
      <c r="R533" t="str">
        <f t="shared" si="24"/>
        <v>yes</v>
      </c>
      <c r="S533" t="str">
        <f t="shared" si="25"/>
        <v>no</v>
      </c>
      <c r="T5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3" s="2" t="b">
        <f t="shared" si="26"/>
        <v>1</v>
      </c>
      <c r="V533" s="2">
        <f>IF(Table4[[#This Row],[linear?]],Table4[[#This Row],[av]],10^(Table4[[#This Row],[av]]/10))</f>
        <v>4.2539259259259263E-2</v>
      </c>
      <c r="W533" s="2">
        <f>IF(Table4[[#This Row],[linear?]],Table4[[#This Row],[av]],10^(Table4[[#This Row],[av]]/10))</f>
        <v>4.2539259259259263E-2</v>
      </c>
      <c r="X533" s="2">
        <f>Table4[[#This Row],[av_lin]]-2*Table4[[#This Row],[std_lin]]</f>
        <v>-4.2539259259259263E-2</v>
      </c>
      <c r="Y533" s="2">
        <f>Table4[[#This Row],[av_lin]]+2*Table4[[#This Row],[std_lin]]</f>
        <v>0.12761777777777777</v>
      </c>
    </row>
    <row r="534" spans="1:25" x14ac:dyDescent="0.35">
      <c r="A534" s="1">
        <v>596</v>
      </c>
      <c r="B534" t="s">
        <v>75</v>
      </c>
      <c r="C534" t="s">
        <v>549</v>
      </c>
      <c r="D534" t="s">
        <v>575</v>
      </c>
      <c r="E534" s="2">
        <v>4.718098765432098E-2</v>
      </c>
      <c r="F534" s="2">
        <v>7.2231946549665754E-3</v>
      </c>
      <c r="G534">
        <v>27</v>
      </c>
      <c r="H534" t="s">
        <v>58</v>
      </c>
      <c r="M534" s="2">
        <v>6.1627376964254132E-2</v>
      </c>
      <c r="N534" s="2">
        <v>3.2734598344387827E-2</v>
      </c>
      <c r="O534" s="2">
        <v>2.8892778619866308E-2</v>
      </c>
      <c r="P534" s="2">
        <v>6.5318726558033351</v>
      </c>
      <c r="R534" t="str">
        <f t="shared" si="24"/>
        <v>yes</v>
      </c>
      <c r="S534" t="str">
        <f t="shared" si="25"/>
        <v>no</v>
      </c>
      <c r="T5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4" s="2" t="b">
        <f t="shared" si="26"/>
        <v>1</v>
      </c>
      <c r="V534" s="2">
        <f>IF(Table4[[#This Row],[linear?]],Table4[[#This Row],[av]],10^(Table4[[#This Row],[av]]/10))</f>
        <v>4.718098765432098E-2</v>
      </c>
      <c r="W534" s="2">
        <f>IF(Table4[[#This Row],[linear?]],Table4[[#This Row],[av]],10^(Table4[[#This Row],[av]]/10))</f>
        <v>4.718098765432098E-2</v>
      </c>
      <c r="X534" s="2">
        <f>Table4[[#This Row],[av_lin]]-2*Table4[[#This Row],[std_lin]]</f>
        <v>-4.718098765432098E-2</v>
      </c>
      <c r="Y534" s="2">
        <f>Table4[[#This Row],[av_lin]]+2*Table4[[#This Row],[std_lin]]</f>
        <v>0.14154296296296293</v>
      </c>
    </row>
    <row r="535" spans="1:25" x14ac:dyDescent="0.35">
      <c r="A535" s="1">
        <v>597</v>
      </c>
      <c r="B535" t="s">
        <v>75</v>
      </c>
      <c r="C535" t="s">
        <v>549</v>
      </c>
      <c r="D535" t="s">
        <v>576</v>
      </c>
      <c r="E535" s="2">
        <v>4.69479012345679E-2</v>
      </c>
      <c r="F535" s="2">
        <v>1.268446751835093E-2</v>
      </c>
      <c r="G535">
        <v>27</v>
      </c>
      <c r="H535" t="s">
        <v>58</v>
      </c>
      <c r="M535" s="2">
        <v>7.2316836271269752E-2</v>
      </c>
      <c r="N535" s="2">
        <v>2.1578966197866041E-2</v>
      </c>
      <c r="O535" s="2">
        <v>5.0737870073403711E-2</v>
      </c>
      <c r="P535" s="2">
        <v>3.7012118298736012</v>
      </c>
      <c r="R535" t="str">
        <f t="shared" si="24"/>
        <v>yes</v>
      </c>
      <c r="S535" t="str">
        <f t="shared" si="25"/>
        <v>no</v>
      </c>
      <c r="T5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5" s="2" t="b">
        <f t="shared" si="26"/>
        <v>1</v>
      </c>
      <c r="V535" s="2">
        <f>IF(Table4[[#This Row],[linear?]],Table4[[#This Row],[av]],10^(Table4[[#This Row],[av]]/10))</f>
        <v>4.69479012345679E-2</v>
      </c>
      <c r="W535" s="2">
        <f>IF(Table4[[#This Row],[linear?]],Table4[[#This Row],[av]],10^(Table4[[#This Row],[av]]/10))</f>
        <v>4.69479012345679E-2</v>
      </c>
      <c r="X535" s="2">
        <f>Table4[[#This Row],[av_lin]]-2*Table4[[#This Row],[std_lin]]</f>
        <v>-4.69479012345679E-2</v>
      </c>
      <c r="Y535" s="2">
        <f>Table4[[#This Row],[av_lin]]+2*Table4[[#This Row],[std_lin]]</f>
        <v>0.14084370370370369</v>
      </c>
    </row>
    <row r="536" spans="1:25" x14ac:dyDescent="0.35">
      <c r="A536" s="1">
        <v>599</v>
      </c>
      <c r="B536" t="s">
        <v>75</v>
      </c>
      <c r="C536" t="s">
        <v>549</v>
      </c>
      <c r="D536" t="s">
        <v>578</v>
      </c>
      <c r="E536" s="2">
        <v>3.3527901234567913E-2</v>
      </c>
      <c r="F536" s="2">
        <v>1.24538252054601E-2</v>
      </c>
      <c r="G536">
        <v>27</v>
      </c>
      <c r="H536" t="s">
        <v>58</v>
      </c>
      <c r="M536" s="2">
        <v>5.843555164548811E-2</v>
      </c>
      <c r="N536" s="2">
        <v>8.620250823647712E-3</v>
      </c>
      <c r="O536" s="2">
        <v>4.9815300821840387E-2</v>
      </c>
      <c r="P536" s="2">
        <v>2.692176956190806</v>
      </c>
      <c r="R536" t="str">
        <f t="shared" si="24"/>
        <v>yes</v>
      </c>
      <c r="S536" t="str">
        <f t="shared" si="25"/>
        <v>no</v>
      </c>
      <c r="T5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6" s="2" t="b">
        <f t="shared" si="26"/>
        <v>1</v>
      </c>
      <c r="V536" s="2">
        <f>IF(Table4[[#This Row],[linear?]],Table4[[#This Row],[av]],10^(Table4[[#This Row],[av]]/10))</f>
        <v>3.3527901234567913E-2</v>
      </c>
      <c r="W536" s="2">
        <f>IF(Table4[[#This Row],[linear?]],Table4[[#This Row],[av]],10^(Table4[[#This Row],[av]]/10))</f>
        <v>3.3527901234567913E-2</v>
      </c>
      <c r="X536" s="2">
        <f>Table4[[#This Row],[av_lin]]-2*Table4[[#This Row],[std_lin]]</f>
        <v>-3.3527901234567913E-2</v>
      </c>
      <c r="Y536" s="2">
        <f>Table4[[#This Row],[av_lin]]+2*Table4[[#This Row],[std_lin]]</f>
        <v>0.10058370370370373</v>
      </c>
    </row>
    <row r="537" spans="1:25" x14ac:dyDescent="0.35">
      <c r="A537" s="1">
        <v>600</v>
      </c>
      <c r="B537" t="s">
        <v>75</v>
      </c>
      <c r="C537" t="s">
        <v>549</v>
      </c>
      <c r="D537" t="s">
        <v>579</v>
      </c>
      <c r="E537" s="2">
        <v>3.1515185185185188E-2</v>
      </c>
      <c r="F537" s="2">
        <v>1.1393995823694479E-2</v>
      </c>
      <c r="G537">
        <v>27</v>
      </c>
      <c r="H537" t="s">
        <v>58</v>
      </c>
      <c r="M537" s="2">
        <v>5.4303176832574143E-2</v>
      </c>
      <c r="N537" s="2">
        <v>8.7271935377962288E-3</v>
      </c>
      <c r="O537" s="2">
        <v>4.5575983294777911E-2</v>
      </c>
      <c r="P537" s="2">
        <v>2.7659467032318479</v>
      </c>
      <c r="R537" t="str">
        <f t="shared" si="24"/>
        <v>yes</v>
      </c>
      <c r="S537" t="str">
        <f t="shared" si="25"/>
        <v>no</v>
      </c>
      <c r="T5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7" s="2" t="b">
        <f t="shared" si="26"/>
        <v>1</v>
      </c>
      <c r="V537" s="2">
        <f>IF(Table4[[#This Row],[linear?]],Table4[[#This Row],[av]],10^(Table4[[#This Row],[av]]/10))</f>
        <v>3.1515185185185188E-2</v>
      </c>
      <c r="W537" s="2">
        <f>IF(Table4[[#This Row],[linear?]],Table4[[#This Row],[av]],10^(Table4[[#This Row],[av]]/10))</f>
        <v>3.1515185185185188E-2</v>
      </c>
      <c r="X537" s="2">
        <f>Table4[[#This Row],[av_lin]]-2*Table4[[#This Row],[std_lin]]</f>
        <v>-3.1515185185185188E-2</v>
      </c>
      <c r="Y537" s="2">
        <f>Table4[[#This Row],[av_lin]]+2*Table4[[#This Row],[std_lin]]</f>
        <v>9.4545555555555563E-2</v>
      </c>
    </row>
    <row r="538" spans="1:25" x14ac:dyDescent="0.35">
      <c r="A538" s="1">
        <v>601</v>
      </c>
      <c r="B538" t="s">
        <v>75</v>
      </c>
      <c r="C538" t="s">
        <v>549</v>
      </c>
      <c r="D538" t="s">
        <v>580</v>
      </c>
      <c r="E538" s="2">
        <v>3.0126543209876538E-2</v>
      </c>
      <c r="F538" s="2">
        <v>9.2910335750879605E-3</v>
      </c>
      <c r="G538">
        <v>27</v>
      </c>
      <c r="H538" t="s">
        <v>58</v>
      </c>
      <c r="M538" s="2">
        <v>4.8708610360052459E-2</v>
      </c>
      <c r="N538" s="2">
        <v>1.1544476059700619E-2</v>
      </c>
      <c r="O538" s="2">
        <v>3.7164134300351842E-2</v>
      </c>
      <c r="P538" s="2">
        <v>3.2425394835139558</v>
      </c>
      <c r="R538" t="str">
        <f t="shared" si="24"/>
        <v>yes</v>
      </c>
      <c r="S538" t="str">
        <f t="shared" si="25"/>
        <v>no</v>
      </c>
      <c r="T5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8" s="2" t="b">
        <f t="shared" si="26"/>
        <v>1</v>
      </c>
      <c r="V538" s="2">
        <f>IF(Table4[[#This Row],[linear?]],Table4[[#This Row],[av]],10^(Table4[[#This Row],[av]]/10))</f>
        <v>3.0126543209876538E-2</v>
      </c>
      <c r="W538" s="2">
        <f>IF(Table4[[#This Row],[linear?]],Table4[[#This Row],[av]],10^(Table4[[#This Row],[av]]/10))</f>
        <v>3.0126543209876538E-2</v>
      </c>
      <c r="X538" s="2">
        <f>Table4[[#This Row],[av_lin]]-2*Table4[[#This Row],[std_lin]]</f>
        <v>-3.0126543209876538E-2</v>
      </c>
      <c r="Y538" s="2">
        <f>Table4[[#This Row],[av_lin]]+2*Table4[[#This Row],[std_lin]]</f>
        <v>9.0379629629629615E-2</v>
      </c>
    </row>
    <row r="539" spans="1:25" x14ac:dyDescent="0.35">
      <c r="A539" s="1">
        <v>602</v>
      </c>
      <c r="B539" t="s">
        <v>75</v>
      </c>
      <c r="C539" t="s">
        <v>549</v>
      </c>
      <c r="D539" t="s">
        <v>581</v>
      </c>
      <c r="E539" s="2">
        <v>7.5663456790123457E-2</v>
      </c>
      <c r="F539" s="2">
        <v>5.2286315280903424E-3</v>
      </c>
      <c r="G539">
        <v>27</v>
      </c>
      <c r="H539" t="s">
        <v>58</v>
      </c>
      <c r="M539" s="2">
        <v>8.6120719846304136E-2</v>
      </c>
      <c r="N539" s="2">
        <v>6.5206193733942777E-2</v>
      </c>
      <c r="O539" s="2">
        <v>2.0914526112361359E-2</v>
      </c>
      <c r="P539" s="2">
        <v>14.47098660206375</v>
      </c>
      <c r="R539" t="str">
        <f t="shared" si="24"/>
        <v>yes</v>
      </c>
      <c r="S539" t="str">
        <f t="shared" si="25"/>
        <v>no</v>
      </c>
      <c r="T5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9" s="2" t="b">
        <f t="shared" si="26"/>
        <v>1</v>
      </c>
      <c r="V539" s="2">
        <f>IF(Table4[[#This Row],[linear?]],Table4[[#This Row],[av]],10^(Table4[[#This Row],[av]]/10))</f>
        <v>7.5663456790123457E-2</v>
      </c>
      <c r="W539" s="2">
        <f>IF(Table4[[#This Row],[linear?]],Table4[[#This Row],[av]],10^(Table4[[#This Row],[av]]/10))</f>
        <v>7.5663456790123457E-2</v>
      </c>
      <c r="X539" s="2">
        <f>Table4[[#This Row],[av_lin]]-2*Table4[[#This Row],[std_lin]]</f>
        <v>-7.5663456790123457E-2</v>
      </c>
      <c r="Y539" s="2">
        <f>Table4[[#This Row],[av_lin]]+2*Table4[[#This Row],[std_lin]]</f>
        <v>0.22699037037037037</v>
      </c>
    </row>
    <row r="540" spans="1:25" x14ac:dyDescent="0.35">
      <c r="A540" s="1">
        <v>604</v>
      </c>
      <c r="B540" t="s">
        <v>75</v>
      </c>
      <c r="C540" t="s">
        <v>549</v>
      </c>
      <c r="D540" t="s">
        <v>583</v>
      </c>
      <c r="E540" s="2">
        <v>4.2634567901234557E-2</v>
      </c>
      <c r="F540" s="2">
        <v>4.8514371210962217E-3</v>
      </c>
      <c r="G540">
        <v>27</v>
      </c>
      <c r="H540" t="s">
        <v>58</v>
      </c>
      <c r="M540" s="2">
        <v>5.2337442143426997E-2</v>
      </c>
      <c r="N540" s="2">
        <v>3.2931693659042111E-2</v>
      </c>
      <c r="O540" s="2">
        <v>1.940574848438489E-2</v>
      </c>
      <c r="P540" s="2">
        <v>8.7880285443338764</v>
      </c>
      <c r="R540" t="str">
        <f t="shared" si="24"/>
        <v>yes</v>
      </c>
      <c r="S540" t="str">
        <f t="shared" si="25"/>
        <v>no</v>
      </c>
      <c r="T5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0" s="2" t="b">
        <f t="shared" si="26"/>
        <v>1</v>
      </c>
      <c r="V540" s="2">
        <f>IF(Table4[[#This Row],[linear?]],Table4[[#This Row],[av]],10^(Table4[[#This Row],[av]]/10))</f>
        <v>4.2634567901234557E-2</v>
      </c>
      <c r="W540" s="2">
        <f>IF(Table4[[#This Row],[linear?]],Table4[[#This Row],[av]],10^(Table4[[#This Row],[av]]/10))</f>
        <v>4.2634567901234557E-2</v>
      </c>
      <c r="X540" s="2">
        <f>Table4[[#This Row],[av_lin]]-2*Table4[[#This Row],[std_lin]]</f>
        <v>-4.2634567901234557E-2</v>
      </c>
      <c r="Y540" s="2">
        <f>Table4[[#This Row],[av_lin]]+2*Table4[[#This Row],[std_lin]]</f>
        <v>0.12790370370370369</v>
      </c>
    </row>
    <row r="541" spans="1:25" x14ac:dyDescent="0.35">
      <c r="A541" s="1">
        <v>605</v>
      </c>
      <c r="B541" t="s">
        <v>75</v>
      </c>
      <c r="C541" t="s">
        <v>549</v>
      </c>
      <c r="D541" t="s">
        <v>584</v>
      </c>
      <c r="E541" s="2">
        <v>4.7647654320987658E-2</v>
      </c>
      <c r="F541" s="2">
        <v>5.466649162595409E-3</v>
      </c>
      <c r="G541">
        <v>27</v>
      </c>
      <c r="H541" t="s">
        <v>58</v>
      </c>
      <c r="M541" s="2">
        <v>5.8580952646178477E-2</v>
      </c>
      <c r="N541" s="2">
        <v>3.6714355995796838E-2</v>
      </c>
      <c r="O541" s="2">
        <v>2.1866596650381639E-2</v>
      </c>
      <c r="P541" s="2">
        <v>8.7160622355296553</v>
      </c>
      <c r="R541" t="str">
        <f t="shared" si="24"/>
        <v>yes</v>
      </c>
      <c r="S541" t="str">
        <f t="shared" si="25"/>
        <v>no</v>
      </c>
      <c r="T5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1" s="2" t="b">
        <f t="shared" si="26"/>
        <v>1</v>
      </c>
      <c r="V541" s="2">
        <f>IF(Table4[[#This Row],[linear?]],Table4[[#This Row],[av]],10^(Table4[[#This Row],[av]]/10))</f>
        <v>4.7647654320987658E-2</v>
      </c>
      <c r="W541" s="2">
        <f>IF(Table4[[#This Row],[linear?]],Table4[[#This Row],[av]],10^(Table4[[#This Row],[av]]/10))</f>
        <v>4.7647654320987658E-2</v>
      </c>
      <c r="X541" s="2">
        <f>Table4[[#This Row],[av_lin]]-2*Table4[[#This Row],[std_lin]]</f>
        <v>-4.7647654320987658E-2</v>
      </c>
      <c r="Y541" s="2">
        <f>Table4[[#This Row],[av_lin]]+2*Table4[[#This Row],[std_lin]]</f>
        <v>0.14294296296296297</v>
      </c>
    </row>
    <row r="542" spans="1:25" x14ac:dyDescent="0.35">
      <c r="A542" s="1">
        <v>606</v>
      </c>
      <c r="B542" t="s">
        <v>75</v>
      </c>
      <c r="C542" t="s">
        <v>549</v>
      </c>
      <c r="D542" t="s">
        <v>585</v>
      </c>
      <c r="E542" s="2">
        <v>4.2801604938271599E-2</v>
      </c>
      <c r="F542" s="2">
        <v>6.0145914059739217E-3</v>
      </c>
      <c r="G542">
        <v>27</v>
      </c>
      <c r="H542" t="s">
        <v>58</v>
      </c>
      <c r="M542" s="2">
        <v>5.4830787750219441E-2</v>
      </c>
      <c r="N542" s="2">
        <v>3.0772422126323761E-2</v>
      </c>
      <c r="O542" s="2">
        <v>2.405836562389568E-2</v>
      </c>
      <c r="P542" s="2">
        <v>7.116294698881692</v>
      </c>
      <c r="R542" t="str">
        <f t="shared" si="24"/>
        <v>yes</v>
      </c>
      <c r="S542" t="str">
        <f t="shared" si="25"/>
        <v>no</v>
      </c>
      <c r="T5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2" s="2" t="b">
        <f t="shared" si="26"/>
        <v>1</v>
      </c>
      <c r="V542" s="2">
        <f>IF(Table4[[#This Row],[linear?]],Table4[[#This Row],[av]],10^(Table4[[#This Row],[av]]/10))</f>
        <v>4.2801604938271599E-2</v>
      </c>
      <c r="W542" s="2">
        <f>IF(Table4[[#This Row],[linear?]],Table4[[#This Row],[av]],10^(Table4[[#This Row],[av]]/10))</f>
        <v>4.2801604938271599E-2</v>
      </c>
      <c r="X542" s="2">
        <f>Table4[[#This Row],[av_lin]]-2*Table4[[#This Row],[std_lin]]</f>
        <v>-4.2801604938271599E-2</v>
      </c>
      <c r="Y542" s="2">
        <f>Table4[[#This Row],[av_lin]]+2*Table4[[#This Row],[std_lin]]</f>
        <v>0.1284048148148148</v>
      </c>
    </row>
    <row r="543" spans="1:25" x14ac:dyDescent="0.35">
      <c r="A543" s="1">
        <v>608</v>
      </c>
      <c r="B543" t="s">
        <v>75</v>
      </c>
      <c r="C543" t="s">
        <v>549</v>
      </c>
      <c r="D543" t="s">
        <v>587</v>
      </c>
      <c r="E543" s="2">
        <v>3.667666666666667E-2</v>
      </c>
      <c r="F543" s="2">
        <v>8.2122493212115552E-3</v>
      </c>
      <c r="G543">
        <v>27</v>
      </c>
      <c r="H543" t="s">
        <v>58</v>
      </c>
      <c r="M543" s="2">
        <v>5.310116530908978E-2</v>
      </c>
      <c r="N543" s="2">
        <v>2.0252168024243559E-2</v>
      </c>
      <c r="O543" s="2">
        <v>3.2848997284846221E-2</v>
      </c>
      <c r="P543" s="2">
        <v>4.466092690577951</v>
      </c>
      <c r="R543" t="str">
        <f t="shared" si="24"/>
        <v>yes</v>
      </c>
      <c r="S543" t="str">
        <f t="shared" si="25"/>
        <v>no</v>
      </c>
      <c r="T5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3" s="2" t="b">
        <f t="shared" si="26"/>
        <v>1</v>
      </c>
      <c r="V543" s="2">
        <f>IF(Table4[[#This Row],[linear?]],Table4[[#This Row],[av]],10^(Table4[[#This Row],[av]]/10))</f>
        <v>3.667666666666667E-2</v>
      </c>
      <c r="W543" s="2">
        <f>IF(Table4[[#This Row],[linear?]],Table4[[#This Row],[av]],10^(Table4[[#This Row],[av]]/10))</f>
        <v>3.667666666666667E-2</v>
      </c>
      <c r="X543" s="2">
        <f>Table4[[#This Row],[av_lin]]-2*Table4[[#This Row],[std_lin]]</f>
        <v>-3.667666666666667E-2</v>
      </c>
      <c r="Y543" s="2">
        <f>Table4[[#This Row],[av_lin]]+2*Table4[[#This Row],[std_lin]]</f>
        <v>0.11003000000000002</v>
      </c>
    </row>
    <row r="544" spans="1:25" x14ac:dyDescent="0.35">
      <c r="A544" s="1">
        <v>609</v>
      </c>
      <c r="B544" t="s">
        <v>75</v>
      </c>
      <c r="C544" t="s">
        <v>549</v>
      </c>
      <c r="D544" t="s">
        <v>588</v>
      </c>
      <c r="E544" s="2">
        <v>4.0724938271604942E-2</v>
      </c>
      <c r="F544" s="2">
        <v>9.0419752243955931E-3</v>
      </c>
      <c r="G544">
        <v>27</v>
      </c>
      <c r="H544" t="s">
        <v>58</v>
      </c>
      <c r="M544" s="2">
        <v>5.8808888720396128E-2</v>
      </c>
      <c r="N544" s="2">
        <v>2.2640987822813759E-2</v>
      </c>
      <c r="O544" s="2">
        <v>3.6167900897582372E-2</v>
      </c>
      <c r="P544" s="2">
        <v>4.5039869343733114</v>
      </c>
      <c r="R544" t="str">
        <f t="shared" si="24"/>
        <v>yes</v>
      </c>
      <c r="S544" t="str">
        <f t="shared" si="25"/>
        <v>no</v>
      </c>
      <c r="T5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4" s="2" t="b">
        <f t="shared" si="26"/>
        <v>1</v>
      </c>
      <c r="V544" s="2">
        <f>IF(Table4[[#This Row],[linear?]],Table4[[#This Row],[av]],10^(Table4[[#This Row],[av]]/10))</f>
        <v>4.0724938271604942E-2</v>
      </c>
      <c r="W544" s="2">
        <f>IF(Table4[[#This Row],[linear?]],Table4[[#This Row],[av]],10^(Table4[[#This Row],[av]]/10))</f>
        <v>4.0724938271604942E-2</v>
      </c>
      <c r="X544" s="2">
        <f>Table4[[#This Row],[av_lin]]-2*Table4[[#This Row],[std_lin]]</f>
        <v>-4.0724938271604942E-2</v>
      </c>
      <c r="Y544" s="2">
        <f>Table4[[#This Row],[av_lin]]+2*Table4[[#This Row],[std_lin]]</f>
        <v>0.12217481481481482</v>
      </c>
    </row>
    <row r="545" spans="1:25" x14ac:dyDescent="0.35">
      <c r="A545" s="1">
        <v>610</v>
      </c>
      <c r="B545" t="s">
        <v>75</v>
      </c>
      <c r="C545" t="s">
        <v>549</v>
      </c>
      <c r="D545" t="s">
        <v>589</v>
      </c>
      <c r="E545" s="2">
        <v>3.5900987654320989E-2</v>
      </c>
      <c r="F545" s="2">
        <v>8.110308071633994E-3</v>
      </c>
      <c r="G545">
        <v>27</v>
      </c>
      <c r="H545" t="s">
        <v>58</v>
      </c>
      <c r="M545" s="2">
        <v>5.2121603797588983E-2</v>
      </c>
      <c r="N545" s="2">
        <v>1.9680371511053001E-2</v>
      </c>
      <c r="O545" s="2">
        <v>3.2441232286535983E-2</v>
      </c>
      <c r="P545" s="2">
        <v>4.4265874165601176</v>
      </c>
      <c r="R545" t="str">
        <f t="shared" si="24"/>
        <v>yes</v>
      </c>
      <c r="S545" t="str">
        <f t="shared" si="25"/>
        <v>no</v>
      </c>
      <c r="T5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5" s="2" t="b">
        <f t="shared" si="26"/>
        <v>1</v>
      </c>
      <c r="V545" s="2">
        <f>IF(Table4[[#This Row],[linear?]],Table4[[#This Row],[av]],10^(Table4[[#This Row],[av]]/10))</f>
        <v>3.5900987654320989E-2</v>
      </c>
      <c r="W545" s="2">
        <f>IF(Table4[[#This Row],[linear?]],Table4[[#This Row],[av]],10^(Table4[[#This Row],[av]]/10))</f>
        <v>3.5900987654320989E-2</v>
      </c>
      <c r="X545" s="2">
        <f>Table4[[#This Row],[av_lin]]-2*Table4[[#This Row],[std_lin]]</f>
        <v>-3.5900987654320989E-2</v>
      </c>
      <c r="Y545" s="2">
        <f>Table4[[#This Row],[av_lin]]+2*Table4[[#This Row],[std_lin]]</f>
        <v>0.10770296296296297</v>
      </c>
    </row>
    <row r="546" spans="1:25" x14ac:dyDescent="0.35">
      <c r="A546" s="1">
        <v>611</v>
      </c>
      <c r="B546" t="s">
        <v>75</v>
      </c>
      <c r="C546" t="s">
        <v>549</v>
      </c>
      <c r="D546" t="s">
        <v>590</v>
      </c>
      <c r="E546" s="2">
        <v>7.4074320987654332E-2</v>
      </c>
      <c r="F546" s="2">
        <v>6.6692044092886349E-3</v>
      </c>
      <c r="G546">
        <v>27</v>
      </c>
      <c r="H546" t="s">
        <v>58</v>
      </c>
      <c r="M546" s="2">
        <v>8.7412729806231604E-2</v>
      </c>
      <c r="N546" s="2">
        <v>6.0735912169077061E-2</v>
      </c>
      <c r="O546" s="2">
        <v>2.6676817637154539E-2</v>
      </c>
      <c r="P546" s="2">
        <v>11.106920172440089</v>
      </c>
      <c r="R546" t="str">
        <f t="shared" si="24"/>
        <v>yes</v>
      </c>
      <c r="S546" t="str">
        <f t="shared" si="25"/>
        <v>no</v>
      </c>
      <c r="T5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6" s="2" t="b">
        <f t="shared" si="26"/>
        <v>1</v>
      </c>
      <c r="V546" s="2">
        <f>IF(Table4[[#This Row],[linear?]],Table4[[#This Row],[av]],10^(Table4[[#This Row],[av]]/10))</f>
        <v>7.4074320987654332E-2</v>
      </c>
      <c r="W546" s="2">
        <f>IF(Table4[[#This Row],[linear?]],Table4[[#This Row],[av]],10^(Table4[[#This Row],[av]]/10))</f>
        <v>7.4074320987654332E-2</v>
      </c>
      <c r="X546" s="2">
        <f>Table4[[#This Row],[av_lin]]-2*Table4[[#This Row],[std_lin]]</f>
        <v>-7.4074320987654332E-2</v>
      </c>
      <c r="Y546" s="2">
        <f>Table4[[#This Row],[av_lin]]+2*Table4[[#This Row],[std_lin]]</f>
        <v>0.22222296296296301</v>
      </c>
    </row>
    <row r="547" spans="1:25" x14ac:dyDescent="0.35">
      <c r="A547" s="1">
        <v>613</v>
      </c>
      <c r="B547" t="s">
        <v>75</v>
      </c>
      <c r="C547" t="s">
        <v>549</v>
      </c>
      <c r="D547" t="s">
        <v>592</v>
      </c>
      <c r="E547" s="2">
        <v>4.0876419753086417E-2</v>
      </c>
      <c r="F547" s="2">
        <v>6.0567917665836054E-3</v>
      </c>
      <c r="G547">
        <v>27</v>
      </c>
      <c r="H547" t="s">
        <v>58</v>
      </c>
      <c r="M547" s="2">
        <v>5.2990003286253633E-2</v>
      </c>
      <c r="N547" s="2">
        <v>2.8762836219919211E-2</v>
      </c>
      <c r="O547" s="2">
        <v>2.4227167066334421E-2</v>
      </c>
      <c r="P547" s="2">
        <v>6.748856709687276</v>
      </c>
      <c r="R547" t="str">
        <f t="shared" si="24"/>
        <v>yes</v>
      </c>
      <c r="S547" t="str">
        <f t="shared" si="25"/>
        <v>no</v>
      </c>
      <c r="T5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7" s="2" t="b">
        <f t="shared" si="26"/>
        <v>1</v>
      </c>
      <c r="V547" s="2">
        <f>IF(Table4[[#This Row],[linear?]],Table4[[#This Row],[av]],10^(Table4[[#This Row],[av]]/10))</f>
        <v>4.0876419753086417E-2</v>
      </c>
      <c r="W547" s="2">
        <f>IF(Table4[[#This Row],[linear?]],Table4[[#This Row],[av]],10^(Table4[[#This Row],[av]]/10))</f>
        <v>4.0876419753086417E-2</v>
      </c>
      <c r="X547" s="2">
        <f>Table4[[#This Row],[av_lin]]-2*Table4[[#This Row],[std_lin]]</f>
        <v>-4.0876419753086417E-2</v>
      </c>
      <c r="Y547" s="2">
        <f>Table4[[#This Row],[av_lin]]+2*Table4[[#This Row],[std_lin]]</f>
        <v>0.12262925925925924</v>
      </c>
    </row>
    <row r="548" spans="1:25" x14ac:dyDescent="0.35">
      <c r="A548" s="1">
        <v>614</v>
      </c>
      <c r="B548" t="s">
        <v>75</v>
      </c>
      <c r="C548" t="s">
        <v>549</v>
      </c>
      <c r="D548" t="s">
        <v>593</v>
      </c>
      <c r="E548" s="2">
        <v>4.1708641975308637E-2</v>
      </c>
      <c r="F548" s="2">
        <v>7.0838247147738641E-3</v>
      </c>
      <c r="G548">
        <v>27</v>
      </c>
      <c r="H548" t="s">
        <v>58</v>
      </c>
      <c r="M548" s="2">
        <v>5.5876291404856372E-2</v>
      </c>
      <c r="N548" s="2">
        <v>2.7540992545760909E-2</v>
      </c>
      <c r="O548" s="2">
        <v>2.833529885909546E-2</v>
      </c>
      <c r="P548" s="2">
        <v>5.8878704167145806</v>
      </c>
      <c r="R548" t="str">
        <f t="shared" si="24"/>
        <v>yes</v>
      </c>
      <c r="S548" t="str">
        <f t="shared" si="25"/>
        <v>no</v>
      </c>
      <c r="T5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8" s="2" t="b">
        <f t="shared" si="26"/>
        <v>1</v>
      </c>
      <c r="V548" s="2">
        <f>IF(Table4[[#This Row],[linear?]],Table4[[#This Row],[av]],10^(Table4[[#This Row],[av]]/10))</f>
        <v>4.1708641975308637E-2</v>
      </c>
      <c r="W548" s="2">
        <f>IF(Table4[[#This Row],[linear?]],Table4[[#This Row],[av]],10^(Table4[[#This Row],[av]]/10))</f>
        <v>4.1708641975308637E-2</v>
      </c>
      <c r="X548" s="2">
        <f>Table4[[#This Row],[av_lin]]-2*Table4[[#This Row],[std_lin]]</f>
        <v>-4.1708641975308637E-2</v>
      </c>
      <c r="Y548" s="2">
        <f>Table4[[#This Row],[av_lin]]+2*Table4[[#This Row],[std_lin]]</f>
        <v>0.12512592592592592</v>
      </c>
    </row>
    <row r="549" spans="1:25" x14ac:dyDescent="0.35">
      <c r="A549" s="1">
        <v>615</v>
      </c>
      <c r="B549" t="s">
        <v>75</v>
      </c>
      <c r="C549" t="s">
        <v>549</v>
      </c>
      <c r="D549" t="s">
        <v>594</v>
      </c>
      <c r="E549" s="2">
        <v>3.8595555555555557E-2</v>
      </c>
      <c r="F549" s="2">
        <v>8.5576322690981751E-3</v>
      </c>
      <c r="G549">
        <v>27</v>
      </c>
      <c r="H549" t="s">
        <v>58</v>
      </c>
      <c r="M549" s="2">
        <v>5.5710820093751903E-2</v>
      </c>
      <c r="N549" s="2">
        <v>2.148029101735921E-2</v>
      </c>
      <c r="O549" s="2">
        <v>3.4230529076392693E-2</v>
      </c>
      <c r="P549" s="2">
        <v>4.5100740884748083</v>
      </c>
      <c r="R549" t="str">
        <f t="shared" si="24"/>
        <v>yes</v>
      </c>
      <c r="S549" t="str">
        <f t="shared" si="25"/>
        <v>no</v>
      </c>
      <c r="T5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9" s="2" t="b">
        <f t="shared" si="26"/>
        <v>1</v>
      </c>
      <c r="V549" s="2">
        <f>IF(Table4[[#This Row],[linear?]],Table4[[#This Row],[av]],10^(Table4[[#This Row],[av]]/10))</f>
        <v>3.8595555555555557E-2</v>
      </c>
      <c r="W549" s="2">
        <f>IF(Table4[[#This Row],[linear?]],Table4[[#This Row],[av]],10^(Table4[[#This Row],[av]]/10))</f>
        <v>3.8595555555555557E-2</v>
      </c>
      <c r="X549" s="2">
        <f>Table4[[#This Row],[av_lin]]-2*Table4[[#This Row],[std_lin]]</f>
        <v>-3.8595555555555557E-2</v>
      </c>
      <c r="Y549" s="2">
        <f>Table4[[#This Row],[av_lin]]+2*Table4[[#This Row],[std_lin]]</f>
        <v>0.11578666666666668</v>
      </c>
    </row>
    <row r="550" spans="1:25" x14ac:dyDescent="0.35">
      <c r="A550" s="1">
        <v>616</v>
      </c>
      <c r="B550" t="s">
        <v>75</v>
      </c>
      <c r="C550" t="s">
        <v>549</v>
      </c>
      <c r="D550" t="s">
        <v>595</v>
      </c>
      <c r="E550" s="2">
        <v>4.0469135802469148E-3</v>
      </c>
      <c r="F550" s="2">
        <v>1.8223572305863501E-3</v>
      </c>
      <c r="G550">
        <v>27</v>
      </c>
      <c r="H550" t="s">
        <v>58</v>
      </c>
      <c r="M550" s="2">
        <v>7.691628041419615E-3</v>
      </c>
      <c r="N550" s="2">
        <v>4.0219911907421468E-4</v>
      </c>
      <c r="O550" s="2">
        <v>7.2894289223454003E-3</v>
      </c>
      <c r="P550" s="2">
        <v>2.220702676908636</v>
      </c>
      <c r="R550" t="str">
        <f t="shared" si="24"/>
        <v>yes</v>
      </c>
      <c r="S550" t="str">
        <f t="shared" si="25"/>
        <v>no</v>
      </c>
      <c r="T5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0" s="2" t="b">
        <f t="shared" si="26"/>
        <v>1</v>
      </c>
      <c r="V550" s="2">
        <f>IF(Table4[[#This Row],[linear?]],Table4[[#This Row],[av]],10^(Table4[[#This Row],[av]]/10))</f>
        <v>4.0469135802469148E-3</v>
      </c>
      <c r="W550" s="2">
        <f>IF(Table4[[#This Row],[linear?]],Table4[[#This Row],[av]],10^(Table4[[#This Row],[av]]/10))</f>
        <v>4.0469135802469148E-3</v>
      </c>
      <c r="X550" s="2">
        <f>Table4[[#This Row],[av_lin]]-2*Table4[[#This Row],[std_lin]]</f>
        <v>-4.0469135802469148E-3</v>
      </c>
      <c r="Y550" s="2">
        <f>Table4[[#This Row],[av_lin]]+2*Table4[[#This Row],[std_lin]]</f>
        <v>1.2140740740740744E-2</v>
      </c>
    </row>
    <row r="551" spans="1:25" x14ac:dyDescent="0.35">
      <c r="A551" s="1">
        <v>618</v>
      </c>
      <c r="B551" t="s">
        <v>75</v>
      </c>
      <c r="C551" t="s">
        <v>549</v>
      </c>
      <c r="D551" t="s">
        <v>597</v>
      </c>
      <c r="E551" s="2">
        <v>2.6583950617283959E-3</v>
      </c>
      <c r="F551" s="2">
        <v>1.5968625331720381E-3</v>
      </c>
      <c r="G551">
        <v>27</v>
      </c>
      <c r="H551" t="s">
        <v>58</v>
      </c>
      <c r="M551" s="2">
        <v>5.8521201280724716E-3</v>
      </c>
      <c r="N551" s="2">
        <v>-5.3533000461568033E-4</v>
      </c>
      <c r="O551" s="2">
        <v>6.3874501326881524E-3</v>
      </c>
      <c r="P551" s="2">
        <v>1.664761372068583</v>
      </c>
      <c r="R551" t="str">
        <f t="shared" si="24"/>
        <v>yes</v>
      </c>
      <c r="S551" t="str">
        <f t="shared" si="25"/>
        <v>no</v>
      </c>
      <c r="T5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1" s="2" t="b">
        <f t="shared" si="26"/>
        <v>1</v>
      </c>
      <c r="V551" s="2">
        <f>IF(Table4[[#This Row],[linear?]],Table4[[#This Row],[av]],10^(Table4[[#This Row],[av]]/10))</f>
        <v>2.6583950617283959E-3</v>
      </c>
      <c r="W551" s="2">
        <f>IF(Table4[[#This Row],[linear?]],Table4[[#This Row],[av]],10^(Table4[[#This Row],[av]]/10))</f>
        <v>2.6583950617283959E-3</v>
      </c>
      <c r="X551" s="2">
        <f>Table4[[#This Row],[av_lin]]-2*Table4[[#This Row],[std_lin]]</f>
        <v>-2.6583950617283959E-3</v>
      </c>
      <c r="Y551" s="2">
        <f>Table4[[#This Row],[av_lin]]+2*Table4[[#This Row],[std_lin]]</f>
        <v>7.9751851851851876E-3</v>
      </c>
    </row>
    <row r="552" spans="1:25" x14ac:dyDescent="0.35">
      <c r="A552" s="1">
        <v>620</v>
      </c>
      <c r="B552" t="s">
        <v>75</v>
      </c>
      <c r="C552" t="s">
        <v>549</v>
      </c>
      <c r="D552" t="s">
        <v>599</v>
      </c>
      <c r="E552" s="2">
        <v>2.0639876543209871E-2</v>
      </c>
      <c r="F552" s="2">
        <v>3.598848100880118E-3</v>
      </c>
      <c r="G552">
        <v>27</v>
      </c>
      <c r="H552" t="s">
        <v>58</v>
      </c>
      <c r="M552" s="2">
        <v>2.7837572744970111E-2</v>
      </c>
      <c r="N552" s="2">
        <v>1.344218034144963E-2</v>
      </c>
      <c r="O552" s="2">
        <v>1.439539240352047E-2</v>
      </c>
      <c r="P552" s="2">
        <v>5.7351341219881649</v>
      </c>
      <c r="R552" t="str">
        <f t="shared" si="24"/>
        <v>yes</v>
      </c>
      <c r="S552" t="str">
        <f t="shared" si="25"/>
        <v>no</v>
      </c>
      <c r="T5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2" s="2" t="b">
        <f t="shared" si="26"/>
        <v>1</v>
      </c>
      <c r="V552" s="2">
        <f>IF(Table4[[#This Row],[linear?]],Table4[[#This Row],[av]],10^(Table4[[#This Row],[av]]/10))</f>
        <v>2.0639876543209871E-2</v>
      </c>
      <c r="W552" s="2">
        <f>IF(Table4[[#This Row],[linear?]],Table4[[#This Row],[av]],10^(Table4[[#This Row],[av]]/10))</f>
        <v>2.0639876543209871E-2</v>
      </c>
      <c r="X552" s="2">
        <f>Table4[[#This Row],[av_lin]]-2*Table4[[#This Row],[std_lin]]</f>
        <v>-2.0639876543209871E-2</v>
      </c>
      <c r="Y552" s="2">
        <f>Table4[[#This Row],[av_lin]]+2*Table4[[#This Row],[std_lin]]</f>
        <v>6.1919629629629616E-2</v>
      </c>
    </row>
    <row r="553" spans="1:25" x14ac:dyDescent="0.35">
      <c r="A553" s="1">
        <v>622</v>
      </c>
      <c r="B553" t="s">
        <v>75</v>
      </c>
      <c r="C553" t="s">
        <v>549</v>
      </c>
      <c r="D553" t="s">
        <v>601</v>
      </c>
      <c r="E553" s="2">
        <v>3.6408641975308651E-3</v>
      </c>
      <c r="F553" s="2">
        <v>1.2424291702844671E-3</v>
      </c>
      <c r="G553">
        <v>27</v>
      </c>
      <c r="H553" t="s">
        <v>58</v>
      </c>
      <c r="M553" s="2">
        <v>6.1257225380997992E-3</v>
      </c>
      <c r="N553" s="2">
        <v>1.156005856961931E-3</v>
      </c>
      <c r="O553" s="2">
        <v>4.9697166811378682E-3</v>
      </c>
      <c r="P553" s="2">
        <v>2.930440048101294</v>
      </c>
      <c r="R553" t="str">
        <f t="shared" si="24"/>
        <v>yes</v>
      </c>
      <c r="S553" t="str">
        <f t="shared" si="25"/>
        <v>no</v>
      </c>
      <c r="T5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3" s="2" t="b">
        <f t="shared" si="26"/>
        <v>1</v>
      </c>
      <c r="V553" s="2">
        <f>IF(Table4[[#This Row],[linear?]],Table4[[#This Row],[av]],10^(Table4[[#This Row],[av]]/10))</f>
        <v>3.6408641975308651E-3</v>
      </c>
      <c r="W553" s="2">
        <f>IF(Table4[[#This Row],[linear?]],Table4[[#This Row],[av]],10^(Table4[[#This Row],[av]]/10))</f>
        <v>3.6408641975308651E-3</v>
      </c>
      <c r="X553" s="2">
        <f>Table4[[#This Row],[av_lin]]-2*Table4[[#This Row],[std_lin]]</f>
        <v>-3.6408641975308651E-3</v>
      </c>
      <c r="Y553" s="2">
        <f>Table4[[#This Row],[av_lin]]+2*Table4[[#This Row],[std_lin]]</f>
        <v>1.0922592592592595E-2</v>
      </c>
    </row>
    <row r="554" spans="1:25" x14ac:dyDescent="0.35">
      <c r="A554" s="1">
        <v>624</v>
      </c>
      <c r="B554" t="s">
        <v>75</v>
      </c>
      <c r="C554" t="s">
        <v>549</v>
      </c>
      <c r="D554" t="s">
        <v>603</v>
      </c>
      <c r="E554" s="2">
        <v>2.6862962962962969E-3</v>
      </c>
      <c r="F554" s="2">
        <v>1.9987284302047281E-3</v>
      </c>
      <c r="G554">
        <v>27</v>
      </c>
      <c r="H554" t="s">
        <v>58</v>
      </c>
      <c r="M554" s="2">
        <v>6.6837531567057532E-3</v>
      </c>
      <c r="N554" s="2">
        <v>-1.311160564113159E-3</v>
      </c>
      <c r="O554" s="2">
        <v>7.9949137208189126E-3</v>
      </c>
      <c r="P554" s="2">
        <v>1.3440026447320521</v>
      </c>
      <c r="R554" t="str">
        <f t="shared" si="24"/>
        <v>yes</v>
      </c>
      <c r="S554" t="str">
        <f t="shared" si="25"/>
        <v>no</v>
      </c>
      <c r="T5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4" s="2" t="b">
        <f t="shared" si="26"/>
        <v>1</v>
      </c>
      <c r="V554" s="2">
        <f>IF(Table4[[#This Row],[linear?]],Table4[[#This Row],[av]],10^(Table4[[#This Row],[av]]/10))</f>
        <v>2.6862962962962969E-3</v>
      </c>
      <c r="W554" s="2">
        <f>IF(Table4[[#This Row],[linear?]],Table4[[#This Row],[av]],10^(Table4[[#This Row],[av]]/10))</f>
        <v>2.6862962962962969E-3</v>
      </c>
      <c r="X554" s="2">
        <f>Table4[[#This Row],[av_lin]]-2*Table4[[#This Row],[std_lin]]</f>
        <v>-2.6862962962962969E-3</v>
      </c>
      <c r="Y554" s="2">
        <f>Table4[[#This Row],[av_lin]]+2*Table4[[#This Row],[std_lin]]</f>
        <v>8.0588888888888897E-3</v>
      </c>
    </row>
    <row r="555" spans="1:25" x14ac:dyDescent="0.35">
      <c r="A555" s="1">
        <v>626</v>
      </c>
      <c r="B555" t="s">
        <v>75</v>
      </c>
      <c r="C555" t="s">
        <v>549</v>
      </c>
      <c r="D555" t="s">
        <v>605</v>
      </c>
      <c r="E555" s="2">
        <v>2.0771481481481481E-2</v>
      </c>
      <c r="F555" s="2">
        <v>2.914616110418902E-3</v>
      </c>
      <c r="G555">
        <v>27</v>
      </c>
      <c r="H555" t="s">
        <v>58</v>
      </c>
      <c r="M555" s="2">
        <v>2.6600713702319281E-2</v>
      </c>
      <c r="N555" s="2">
        <v>1.494224926064368E-2</v>
      </c>
      <c r="O555" s="2">
        <v>1.165846444167561E-2</v>
      </c>
      <c r="P555" s="2">
        <v>7.1266611775147668</v>
      </c>
      <c r="R555" t="str">
        <f t="shared" si="24"/>
        <v>yes</v>
      </c>
      <c r="S555" t="str">
        <f t="shared" si="25"/>
        <v>no</v>
      </c>
      <c r="T5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5" s="2" t="b">
        <f t="shared" si="26"/>
        <v>1</v>
      </c>
      <c r="V555" s="2">
        <f>IF(Table4[[#This Row],[linear?]],Table4[[#This Row],[av]],10^(Table4[[#This Row],[av]]/10))</f>
        <v>2.0771481481481481E-2</v>
      </c>
      <c r="W555" s="2">
        <f>IF(Table4[[#This Row],[linear?]],Table4[[#This Row],[av]],10^(Table4[[#This Row],[av]]/10))</f>
        <v>2.0771481481481481E-2</v>
      </c>
      <c r="X555" s="2">
        <f>Table4[[#This Row],[av_lin]]-2*Table4[[#This Row],[std_lin]]</f>
        <v>-2.0771481481481481E-2</v>
      </c>
      <c r="Y555" s="2">
        <f>Table4[[#This Row],[av_lin]]+2*Table4[[#This Row],[std_lin]]</f>
        <v>6.2314444444444443E-2</v>
      </c>
    </row>
    <row r="556" spans="1:25" x14ac:dyDescent="0.35">
      <c r="A556" s="1">
        <v>628</v>
      </c>
      <c r="B556" t="s">
        <v>75</v>
      </c>
      <c r="C556" t="s">
        <v>549</v>
      </c>
      <c r="D556" t="s">
        <v>607</v>
      </c>
      <c r="E556" s="2">
        <v>2.948024691358026E-3</v>
      </c>
      <c r="F556" s="2">
        <v>1.2296666248018181E-3</v>
      </c>
      <c r="G556">
        <v>27</v>
      </c>
      <c r="H556" t="s">
        <v>58</v>
      </c>
      <c r="M556" s="2">
        <v>5.4073579409616634E-3</v>
      </c>
      <c r="N556" s="2">
        <v>4.8869144175438988E-4</v>
      </c>
      <c r="O556" s="2">
        <v>4.9186664992072731E-3</v>
      </c>
      <c r="P556" s="2">
        <v>2.3974178300831341</v>
      </c>
      <c r="R556" t="str">
        <f t="shared" si="24"/>
        <v>yes</v>
      </c>
      <c r="S556" t="str">
        <f t="shared" si="25"/>
        <v>no</v>
      </c>
      <c r="T5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6" s="2" t="b">
        <f t="shared" si="26"/>
        <v>1</v>
      </c>
      <c r="V556" s="2">
        <f>IF(Table4[[#This Row],[linear?]],Table4[[#This Row],[av]],10^(Table4[[#This Row],[av]]/10))</f>
        <v>2.948024691358026E-3</v>
      </c>
      <c r="W556" s="2">
        <f>IF(Table4[[#This Row],[linear?]],Table4[[#This Row],[av]],10^(Table4[[#This Row],[av]]/10))</f>
        <v>2.948024691358026E-3</v>
      </c>
      <c r="X556" s="2">
        <f>Table4[[#This Row],[av_lin]]-2*Table4[[#This Row],[std_lin]]</f>
        <v>-2.948024691358026E-3</v>
      </c>
      <c r="Y556" s="2">
        <f>Table4[[#This Row],[av_lin]]+2*Table4[[#This Row],[std_lin]]</f>
        <v>8.8440740740740771E-3</v>
      </c>
    </row>
    <row r="557" spans="1:25" x14ac:dyDescent="0.35">
      <c r="A557" s="1">
        <v>630</v>
      </c>
      <c r="B557" t="s">
        <v>75</v>
      </c>
      <c r="C557" t="s">
        <v>549</v>
      </c>
      <c r="D557" t="s">
        <v>609</v>
      </c>
      <c r="E557" s="2">
        <v>2.3750617283950629E-3</v>
      </c>
      <c r="F557" s="2">
        <v>1.188681209045802E-3</v>
      </c>
      <c r="G557">
        <v>27</v>
      </c>
      <c r="H557" t="s">
        <v>58</v>
      </c>
      <c r="M557" s="2">
        <v>4.7524241464866664E-3</v>
      </c>
      <c r="N557" s="2">
        <v>-2.3006896965409832E-6</v>
      </c>
      <c r="O557" s="2">
        <v>4.7547248361832078E-3</v>
      </c>
      <c r="P557" s="2">
        <v>1.9980645023417269</v>
      </c>
      <c r="R557" t="str">
        <f t="shared" si="24"/>
        <v>yes</v>
      </c>
      <c r="S557" t="str">
        <f t="shared" si="25"/>
        <v>no</v>
      </c>
      <c r="T5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7" s="2" t="b">
        <f t="shared" si="26"/>
        <v>1</v>
      </c>
      <c r="V557" s="2">
        <f>IF(Table4[[#This Row],[linear?]],Table4[[#This Row],[av]],10^(Table4[[#This Row],[av]]/10))</f>
        <v>2.3750617283950629E-3</v>
      </c>
      <c r="W557" s="2">
        <f>IF(Table4[[#This Row],[linear?]],Table4[[#This Row],[av]],10^(Table4[[#This Row],[av]]/10))</f>
        <v>2.3750617283950629E-3</v>
      </c>
      <c r="X557" s="2">
        <f>Table4[[#This Row],[av_lin]]-2*Table4[[#This Row],[std_lin]]</f>
        <v>-2.3750617283950629E-3</v>
      </c>
      <c r="Y557" s="2">
        <f>Table4[[#This Row],[av_lin]]+2*Table4[[#This Row],[std_lin]]</f>
        <v>7.1251851851851893E-3</v>
      </c>
    </row>
    <row r="558" spans="1:25" x14ac:dyDescent="0.35">
      <c r="A558" s="1">
        <v>632</v>
      </c>
      <c r="B558" t="s">
        <v>75</v>
      </c>
      <c r="C558" t="s">
        <v>549</v>
      </c>
      <c r="D558" t="s">
        <v>611</v>
      </c>
      <c r="E558" s="2">
        <v>2.1942469135802469E-2</v>
      </c>
      <c r="F558" s="2">
        <v>3.1136241085679291E-3</v>
      </c>
      <c r="G558">
        <v>27</v>
      </c>
      <c r="H558" t="s">
        <v>58</v>
      </c>
      <c r="M558" s="2">
        <v>2.8169717352938332E-2</v>
      </c>
      <c r="N558" s="2">
        <v>1.571522091866661E-2</v>
      </c>
      <c r="O558" s="2">
        <v>1.245449643427172E-2</v>
      </c>
      <c r="P558" s="2">
        <v>7.0472441022736758</v>
      </c>
      <c r="R558" t="str">
        <f t="shared" si="24"/>
        <v>yes</v>
      </c>
      <c r="S558" t="str">
        <f t="shared" si="25"/>
        <v>no</v>
      </c>
      <c r="T5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8" s="2" t="b">
        <f t="shared" si="26"/>
        <v>1</v>
      </c>
      <c r="V558" s="2">
        <f>IF(Table4[[#This Row],[linear?]],Table4[[#This Row],[av]],10^(Table4[[#This Row],[av]]/10))</f>
        <v>2.1942469135802469E-2</v>
      </c>
      <c r="W558" s="2">
        <f>IF(Table4[[#This Row],[linear?]],Table4[[#This Row],[av]],10^(Table4[[#This Row],[av]]/10))</f>
        <v>2.1942469135802469E-2</v>
      </c>
      <c r="X558" s="2">
        <f>Table4[[#This Row],[av_lin]]-2*Table4[[#This Row],[std_lin]]</f>
        <v>-2.1942469135802469E-2</v>
      </c>
      <c r="Y558" s="2">
        <f>Table4[[#This Row],[av_lin]]+2*Table4[[#This Row],[std_lin]]</f>
        <v>6.5827407407407404E-2</v>
      </c>
    </row>
    <row r="559" spans="1:25" x14ac:dyDescent="0.35">
      <c r="A559" s="1">
        <v>635</v>
      </c>
      <c r="B559" t="s">
        <v>75</v>
      </c>
      <c r="C559" t="s">
        <v>549</v>
      </c>
      <c r="D559" t="s">
        <v>614</v>
      </c>
      <c r="E559" s="2">
        <v>3.0390617283950611E-2</v>
      </c>
      <c r="F559" s="2">
        <v>6.8893267664819078E-3</v>
      </c>
      <c r="G559">
        <v>27</v>
      </c>
      <c r="H559" t="s">
        <v>58</v>
      </c>
      <c r="M559" s="2">
        <v>4.4169270816914429E-2</v>
      </c>
      <c r="N559" s="2">
        <v>1.6611963750986791E-2</v>
      </c>
      <c r="O559" s="2">
        <v>2.7557307065927631E-2</v>
      </c>
      <c r="P559" s="2">
        <v>4.4112608262113007</v>
      </c>
      <c r="R559" t="str">
        <f t="shared" si="24"/>
        <v>yes</v>
      </c>
      <c r="S559" t="str">
        <f t="shared" si="25"/>
        <v>no</v>
      </c>
      <c r="T5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9" s="2" t="b">
        <f t="shared" si="26"/>
        <v>1</v>
      </c>
      <c r="V559" s="2">
        <f>IF(Table4[[#This Row],[linear?]],Table4[[#This Row],[av]],10^(Table4[[#This Row],[av]]/10))</f>
        <v>3.0390617283950611E-2</v>
      </c>
      <c r="W559" s="2">
        <f>IF(Table4[[#This Row],[linear?]],Table4[[#This Row],[av]],10^(Table4[[#This Row],[av]]/10))</f>
        <v>3.0390617283950611E-2</v>
      </c>
      <c r="X559" s="2">
        <f>Table4[[#This Row],[av_lin]]-2*Table4[[#This Row],[std_lin]]</f>
        <v>-3.0390617283950611E-2</v>
      </c>
      <c r="Y559" s="2">
        <f>Table4[[#This Row],[av_lin]]+2*Table4[[#This Row],[std_lin]]</f>
        <v>9.1171851851851837E-2</v>
      </c>
    </row>
    <row r="560" spans="1:25" x14ac:dyDescent="0.35">
      <c r="A560" s="1">
        <v>636</v>
      </c>
      <c r="B560" t="s">
        <v>75</v>
      </c>
      <c r="C560" t="s">
        <v>549</v>
      </c>
      <c r="D560" t="s">
        <v>615</v>
      </c>
      <c r="E560" s="2">
        <v>3.4752962962962958E-2</v>
      </c>
      <c r="F560" s="2">
        <v>9.4855255433589115E-3</v>
      </c>
      <c r="G560">
        <v>27</v>
      </c>
      <c r="H560" t="s">
        <v>58</v>
      </c>
      <c r="M560" s="2">
        <v>5.3724014049680781E-2</v>
      </c>
      <c r="N560" s="2">
        <v>1.5781911876245131E-2</v>
      </c>
      <c r="O560" s="2">
        <v>3.7942102173435653E-2</v>
      </c>
      <c r="P560" s="2">
        <v>3.663788875387564</v>
      </c>
      <c r="R560" t="str">
        <f t="shared" si="24"/>
        <v>yes</v>
      </c>
      <c r="S560" t="str">
        <f t="shared" si="25"/>
        <v>no</v>
      </c>
      <c r="T5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0" s="2" t="b">
        <f t="shared" si="26"/>
        <v>1</v>
      </c>
      <c r="V560" s="2">
        <f>IF(Table4[[#This Row],[linear?]],Table4[[#This Row],[av]],10^(Table4[[#This Row],[av]]/10))</f>
        <v>3.4752962962962958E-2</v>
      </c>
      <c r="W560" s="2">
        <f>IF(Table4[[#This Row],[linear?]],Table4[[#This Row],[av]],10^(Table4[[#This Row],[av]]/10))</f>
        <v>3.4752962962962958E-2</v>
      </c>
      <c r="X560" s="2">
        <f>Table4[[#This Row],[av_lin]]-2*Table4[[#This Row],[std_lin]]</f>
        <v>-3.4752962962962958E-2</v>
      </c>
      <c r="Y560" s="2">
        <f>Table4[[#This Row],[av_lin]]+2*Table4[[#This Row],[std_lin]]</f>
        <v>0.10425888888888887</v>
      </c>
    </row>
    <row r="561" spans="1:25" x14ac:dyDescent="0.35">
      <c r="A561" s="1">
        <v>637</v>
      </c>
      <c r="B561" t="s">
        <v>75</v>
      </c>
      <c r="C561" t="s">
        <v>549</v>
      </c>
      <c r="D561" t="s">
        <v>616</v>
      </c>
      <c r="E561" s="2">
        <v>3.131493827160494E-2</v>
      </c>
      <c r="F561" s="2">
        <v>8.7140761365570845E-3</v>
      </c>
      <c r="G561">
        <v>27</v>
      </c>
      <c r="H561" t="s">
        <v>58</v>
      </c>
      <c r="M561" s="2">
        <v>4.8743090544719113E-2</v>
      </c>
      <c r="N561" s="2">
        <v>1.388678599849077E-2</v>
      </c>
      <c r="O561" s="2">
        <v>3.4856304546228331E-2</v>
      </c>
      <c r="P561" s="2">
        <v>3.593603932404636</v>
      </c>
      <c r="R561" t="str">
        <f t="shared" si="24"/>
        <v>yes</v>
      </c>
      <c r="S561" t="str">
        <f t="shared" si="25"/>
        <v>no</v>
      </c>
      <c r="T5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1" s="2" t="b">
        <f t="shared" si="26"/>
        <v>1</v>
      </c>
      <c r="V561" s="2">
        <f>IF(Table4[[#This Row],[linear?]],Table4[[#This Row],[av]],10^(Table4[[#This Row],[av]]/10))</f>
        <v>3.131493827160494E-2</v>
      </c>
      <c r="W561" s="2">
        <f>IF(Table4[[#This Row],[linear?]],Table4[[#This Row],[av]],10^(Table4[[#This Row],[av]]/10))</f>
        <v>3.131493827160494E-2</v>
      </c>
      <c r="X561" s="2">
        <f>Table4[[#This Row],[av_lin]]-2*Table4[[#This Row],[std_lin]]</f>
        <v>-3.131493827160494E-2</v>
      </c>
      <c r="Y561" s="2">
        <f>Table4[[#This Row],[av_lin]]+2*Table4[[#This Row],[std_lin]]</f>
        <v>9.3944814814814814E-2</v>
      </c>
    </row>
    <row r="562" spans="1:25" x14ac:dyDescent="0.35">
      <c r="A562" s="1">
        <v>638</v>
      </c>
      <c r="B562" t="s">
        <v>75</v>
      </c>
      <c r="C562" t="s">
        <v>549</v>
      </c>
      <c r="D562" t="s">
        <v>617</v>
      </c>
      <c r="E562" s="2">
        <v>7.4118518518518514E-2</v>
      </c>
      <c r="F562" s="2">
        <v>5.5317024092300321E-3</v>
      </c>
      <c r="G562">
        <v>27</v>
      </c>
      <c r="H562" t="s">
        <v>58</v>
      </c>
      <c r="M562" s="2">
        <v>8.5181923336978577E-2</v>
      </c>
      <c r="N562" s="2">
        <v>6.3055113700058452E-2</v>
      </c>
      <c r="O562" s="2">
        <v>2.2126809636920129E-2</v>
      </c>
      <c r="P562" s="2">
        <v>13.39886223721048</v>
      </c>
      <c r="R562" t="str">
        <f t="shared" si="24"/>
        <v>yes</v>
      </c>
      <c r="S562" t="str">
        <f t="shared" si="25"/>
        <v>no</v>
      </c>
      <c r="T5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2" s="2" t="b">
        <f t="shared" si="26"/>
        <v>1</v>
      </c>
      <c r="V562" s="2">
        <f>IF(Table4[[#This Row],[linear?]],Table4[[#This Row],[av]],10^(Table4[[#This Row],[av]]/10))</f>
        <v>7.4118518518518514E-2</v>
      </c>
      <c r="W562" s="2">
        <f>IF(Table4[[#This Row],[linear?]],Table4[[#This Row],[av]],10^(Table4[[#This Row],[av]]/10))</f>
        <v>7.4118518518518514E-2</v>
      </c>
      <c r="X562" s="2">
        <f>Table4[[#This Row],[av_lin]]-2*Table4[[#This Row],[std_lin]]</f>
        <v>-7.4118518518518514E-2</v>
      </c>
      <c r="Y562" s="2">
        <f>Table4[[#This Row],[av_lin]]+2*Table4[[#This Row],[std_lin]]</f>
        <v>0.22235555555555553</v>
      </c>
    </row>
    <row r="563" spans="1:25" x14ac:dyDescent="0.35">
      <c r="A563" s="1">
        <v>640</v>
      </c>
      <c r="B563" t="s">
        <v>75</v>
      </c>
      <c r="C563" t="s">
        <v>549</v>
      </c>
      <c r="D563" t="s">
        <v>619</v>
      </c>
      <c r="E563" s="2">
        <v>4.0701975308641967E-2</v>
      </c>
      <c r="F563" s="2">
        <v>5.1643713398811988E-3</v>
      </c>
      <c r="G563">
        <v>27</v>
      </c>
      <c r="H563" t="s">
        <v>58</v>
      </c>
      <c r="M563" s="2">
        <v>5.1030717988404362E-2</v>
      </c>
      <c r="N563" s="2">
        <v>3.037323262887957E-2</v>
      </c>
      <c r="O563" s="2">
        <v>2.0657485359524792E-2</v>
      </c>
      <c r="P563" s="2">
        <v>7.8813029950666316</v>
      </c>
      <c r="R563" t="str">
        <f t="shared" si="24"/>
        <v>yes</v>
      </c>
      <c r="S563" t="str">
        <f t="shared" si="25"/>
        <v>no</v>
      </c>
      <c r="T5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3" s="2" t="b">
        <f t="shared" si="26"/>
        <v>1</v>
      </c>
      <c r="V563" s="2">
        <f>IF(Table4[[#This Row],[linear?]],Table4[[#This Row],[av]],10^(Table4[[#This Row],[av]]/10))</f>
        <v>4.0701975308641967E-2</v>
      </c>
      <c r="W563" s="2">
        <f>IF(Table4[[#This Row],[linear?]],Table4[[#This Row],[av]],10^(Table4[[#This Row],[av]]/10))</f>
        <v>4.0701975308641967E-2</v>
      </c>
      <c r="X563" s="2">
        <f>Table4[[#This Row],[av_lin]]-2*Table4[[#This Row],[std_lin]]</f>
        <v>-4.0701975308641967E-2</v>
      </c>
      <c r="Y563" s="2">
        <f>Table4[[#This Row],[av_lin]]+2*Table4[[#This Row],[std_lin]]</f>
        <v>0.1221059259259259</v>
      </c>
    </row>
    <row r="564" spans="1:25" x14ac:dyDescent="0.35">
      <c r="A564" s="1">
        <v>641</v>
      </c>
      <c r="B564" t="s">
        <v>75</v>
      </c>
      <c r="C564" t="s">
        <v>549</v>
      </c>
      <c r="D564" t="s">
        <v>620</v>
      </c>
      <c r="E564" s="2">
        <v>4.2556913580246908E-2</v>
      </c>
      <c r="F564" s="2">
        <v>6.0487718360555161E-3</v>
      </c>
      <c r="G564">
        <v>27</v>
      </c>
      <c r="H564" t="s">
        <v>58</v>
      </c>
      <c r="M564" s="2">
        <v>5.4654457252357937E-2</v>
      </c>
      <c r="N564" s="2">
        <v>3.0459369908135879E-2</v>
      </c>
      <c r="O564" s="2">
        <v>2.4195087344222072E-2</v>
      </c>
      <c r="P564" s="2">
        <v>7.0356288406472336</v>
      </c>
      <c r="R564" t="str">
        <f t="shared" si="24"/>
        <v>yes</v>
      </c>
      <c r="S564" t="str">
        <f t="shared" si="25"/>
        <v>no</v>
      </c>
      <c r="T5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4" s="2" t="b">
        <f t="shared" si="26"/>
        <v>1</v>
      </c>
      <c r="V564" s="2">
        <f>IF(Table4[[#This Row],[linear?]],Table4[[#This Row],[av]],10^(Table4[[#This Row],[av]]/10))</f>
        <v>4.2556913580246908E-2</v>
      </c>
      <c r="W564" s="2">
        <f>IF(Table4[[#This Row],[linear?]],Table4[[#This Row],[av]],10^(Table4[[#This Row],[av]]/10))</f>
        <v>4.2556913580246908E-2</v>
      </c>
      <c r="X564" s="2">
        <f>Table4[[#This Row],[av_lin]]-2*Table4[[#This Row],[std_lin]]</f>
        <v>-4.2556913580246908E-2</v>
      </c>
      <c r="Y564" s="2">
        <f>Table4[[#This Row],[av_lin]]+2*Table4[[#This Row],[std_lin]]</f>
        <v>0.12767074074074072</v>
      </c>
    </row>
    <row r="565" spans="1:25" x14ac:dyDescent="0.35">
      <c r="A565" s="1">
        <v>642</v>
      </c>
      <c r="B565" t="s">
        <v>75</v>
      </c>
      <c r="C565" t="s">
        <v>549</v>
      </c>
      <c r="D565" t="s">
        <v>621</v>
      </c>
      <c r="E565" s="2">
        <v>4.2071975308641971E-2</v>
      </c>
      <c r="F565" s="2">
        <v>7.883371223462771E-3</v>
      </c>
      <c r="G565">
        <v>27</v>
      </c>
      <c r="H565" t="s">
        <v>58</v>
      </c>
      <c r="M565" s="2">
        <v>5.7838717755567509E-2</v>
      </c>
      <c r="N565" s="2">
        <v>2.6305232861716429E-2</v>
      </c>
      <c r="O565" s="2">
        <v>3.1533484893851077E-2</v>
      </c>
      <c r="P565" s="2">
        <v>5.3367999699704427</v>
      </c>
      <c r="R565" t="str">
        <f t="shared" si="24"/>
        <v>yes</v>
      </c>
      <c r="S565" t="str">
        <f t="shared" si="25"/>
        <v>no</v>
      </c>
      <c r="T5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5" s="2" t="b">
        <f t="shared" si="26"/>
        <v>1</v>
      </c>
      <c r="V565" s="2">
        <f>IF(Table4[[#This Row],[linear?]],Table4[[#This Row],[av]],10^(Table4[[#This Row],[av]]/10))</f>
        <v>4.2071975308641971E-2</v>
      </c>
      <c r="W565" s="2">
        <f>IF(Table4[[#This Row],[linear?]],Table4[[#This Row],[av]],10^(Table4[[#This Row],[av]]/10))</f>
        <v>4.2071975308641971E-2</v>
      </c>
      <c r="X565" s="2">
        <f>Table4[[#This Row],[av_lin]]-2*Table4[[#This Row],[std_lin]]</f>
        <v>-4.2071975308641971E-2</v>
      </c>
      <c r="Y565" s="2">
        <f>Table4[[#This Row],[av_lin]]+2*Table4[[#This Row],[std_lin]]</f>
        <v>0.1262159259259259</v>
      </c>
    </row>
    <row r="566" spans="1:25" x14ac:dyDescent="0.35">
      <c r="A566" s="1">
        <v>644</v>
      </c>
      <c r="B566" t="s">
        <v>75</v>
      </c>
      <c r="C566" t="s">
        <v>549</v>
      </c>
      <c r="D566" t="s">
        <v>623</v>
      </c>
      <c r="E566" s="2">
        <v>3.5857407407407407E-2</v>
      </c>
      <c r="F566" s="2">
        <v>8.1104659757255011E-3</v>
      </c>
      <c r="G566">
        <v>27</v>
      </c>
      <c r="H566" t="s">
        <v>58</v>
      </c>
      <c r="M566" s="2">
        <v>5.207833935885841E-2</v>
      </c>
      <c r="N566" s="2">
        <v>1.9636475455956409E-2</v>
      </c>
      <c r="O566" s="2">
        <v>3.2441863902901998E-2</v>
      </c>
      <c r="P566" s="2">
        <v>4.4211279000156178</v>
      </c>
      <c r="R566" t="str">
        <f t="shared" si="24"/>
        <v>yes</v>
      </c>
      <c r="S566" t="str">
        <f t="shared" si="25"/>
        <v>no</v>
      </c>
      <c r="T5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6" s="2" t="b">
        <f t="shared" si="26"/>
        <v>1</v>
      </c>
      <c r="V566" s="2">
        <f>IF(Table4[[#This Row],[linear?]],Table4[[#This Row],[av]],10^(Table4[[#This Row],[av]]/10))</f>
        <v>3.5857407407407407E-2</v>
      </c>
      <c r="W566" s="2">
        <f>IF(Table4[[#This Row],[linear?]],Table4[[#This Row],[av]],10^(Table4[[#This Row],[av]]/10))</f>
        <v>3.5857407407407407E-2</v>
      </c>
      <c r="X566" s="2">
        <f>Table4[[#This Row],[av_lin]]-2*Table4[[#This Row],[std_lin]]</f>
        <v>-3.5857407407407407E-2</v>
      </c>
      <c r="Y566" s="2">
        <f>Table4[[#This Row],[av_lin]]+2*Table4[[#This Row],[std_lin]]</f>
        <v>0.10757222222222222</v>
      </c>
    </row>
    <row r="567" spans="1:25" x14ac:dyDescent="0.35">
      <c r="A567" s="1">
        <v>645</v>
      </c>
      <c r="B567" t="s">
        <v>75</v>
      </c>
      <c r="C567" t="s">
        <v>549</v>
      </c>
      <c r="D567" t="s">
        <v>624</v>
      </c>
      <c r="E567" s="2">
        <v>3.8006296296296288E-2</v>
      </c>
      <c r="F567" s="2">
        <v>1.3958936317903641E-2</v>
      </c>
      <c r="G567">
        <v>27</v>
      </c>
      <c r="H567" t="s">
        <v>58</v>
      </c>
      <c r="M567" s="2">
        <v>6.5924168932103566E-2</v>
      </c>
      <c r="N567" s="2">
        <v>1.008842366048901E-2</v>
      </c>
      <c r="O567" s="2">
        <v>5.5835745271614563E-2</v>
      </c>
      <c r="P567" s="2">
        <v>2.722721519085209</v>
      </c>
      <c r="R567" t="str">
        <f t="shared" si="24"/>
        <v>yes</v>
      </c>
      <c r="S567" t="str">
        <f t="shared" si="25"/>
        <v>no</v>
      </c>
      <c r="T5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7" s="2" t="b">
        <f t="shared" si="26"/>
        <v>1</v>
      </c>
      <c r="V567" s="2">
        <f>IF(Table4[[#This Row],[linear?]],Table4[[#This Row],[av]],10^(Table4[[#This Row],[av]]/10))</f>
        <v>3.8006296296296288E-2</v>
      </c>
      <c r="W567" s="2">
        <f>IF(Table4[[#This Row],[linear?]],Table4[[#This Row],[av]],10^(Table4[[#This Row],[av]]/10))</f>
        <v>3.8006296296296288E-2</v>
      </c>
      <c r="X567" s="2">
        <f>Table4[[#This Row],[av_lin]]-2*Table4[[#This Row],[std_lin]]</f>
        <v>-3.8006296296296288E-2</v>
      </c>
      <c r="Y567" s="2">
        <f>Table4[[#This Row],[av_lin]]+2*Table4[[#This Row],[std_lin]]</f>
        <v>0.11401888888888886</v>
      </c>
    </row>
    <row r="568" spans="1:25" x14ac:dyDescent="0.35">
      <c r="A568" s="1">
        <v>646</v>
      </c>
      <c r="B568" t="s">
        <v>75</v>
      </c>
      <c r="C568" t="s">
        <v>549</v>
      </c>
      <c r="D568" t="s">
        <v>625</v>
      </c>
      <c r="E568" s="2">
        <v>3.5210493827160488E-2</v>
      </c>
      <c r="F568" s="2">
        <v>1.135474243457847E-2</v>
      </c>
      <c r="G568">
        <v>27</v>
      </c>
      <c r="H568" t="s">
        <v>58</v>
      </c>
      <c r="M568" s="2">
        <v>5.7919978696317431E-2</v>
      </c>
      <c r="N568" s="2">
        <v>1.2501008958003551E-2</v>
      </c>
      <c r="O568" s="2">
        <v>4.5418969738313893E-2</v>
      </c>
      <c r="P568" s="2">
        <v>3.10095046453316</v>
      </c>
      <c r="R568" t="str">
        <f t="shared" si="24"/>
        <v>yes</v>
      </c>
      <c r="S568" t="str">
        <f t="shared" si="25"/>
        <v>no</v>
      </c>
      <c r="T5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8" s="2" t="b">
        <f t="shared" si="26"/>
        <v>1</v>
      </c>
      <c r="V568" s="2">
        <f>IF(Table4[[#This Row],[linear?]],Table4[[#This Row],[av]],10^(Table4[[#This Row],[av]]/10))</f>
        <v>3.5210493827160488E-2</v>
      </c>
      <c r="W568" s="2">
        <f>IF(Table4[[#This Row],[linear?]],Table4[[#This Row],[av]],10^(Table4[[#This Row],[av]]/10))</f>
        <v>3.5210493827160488E-2</v>
      </c>
      <c r="X568" s="2">
        <f>Table4[[#This Row],[av_lin]]-2*Table4[[#This Row],[std_lin]]</f>
        <v>-3.5210493827160488E-2</v>
      </c>
      <c r="Y568" s="2">
        <f>Table4[[#This Row],[av_lin]]+2*Table4[[#This Row],[std_lin]]</f>
        <v>0.10563148148148147</v>
      </c>
    </row>
    <row r="569" spans="1:25" x14ac:dyDescent="0.35">
      <c r="A569" s="1">
        <v>647</v>
      </c>
      <c r="B569" t="s">
        <v>75</v>
      </c>
      <c r="C569" t="s">
        <v>549</v>
      </c>
      <c r="D569" t="s">
        <v>626</v>
      </c>
      <c r="E569" s="2">
        <v>7.7334197530864193E-2</v>
      </c>
      <c r="F569" s="2">
        <v>6.8799598174537901E-3</v>
      </c>
      <c r="G569">
        <v>27</v>
      </c>
      <c r="H569" t="s">
        <v>58</v>
      </c>
      <c r="M569" s="2">
        <v>9.1094117165771774E-2</v>
      </c>
      <c r="N569" s="2">
        <v>6.3574277895956613E-2</v>
      </c>
      <c r="O569" s="2">
        <v>2.7519839269815161E-2</v>
      </c>
      <c r="P569" s="2">
        <v>11.24050133762044</v>
      </c>
      <c r="R569" t="str">
        <f t="shared" si="24"/>
        <v>yes</v>
      </c>
      <c r="S569" t="str">
        <f t="shared" si="25"/>
        <v>no</v>
      </c>
      <c r="T5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9" s="2" t="b">
        <f t="shared" si="26"/>
        <v>1</v>
      </c>
      <c r="V569" s="2">
        <f>IF(Table4[[#This Row],[linear?]],Table4[[#This Row],[av]],10^(Table4[[#This Row],[av]]/10))</f>
        <v>7.7334197530864193E-2</v>
      </c>
      <c r="W569" s="2">
        <f>IF(Table4[[#This Row],[linear?]],Table4[[#This Row],[av]],10^(Table4[[#This Row],[av]]/10))</f>
        <v>7.7334197530864193E-2</v>
      </c>
      <c r="X569" s="2">
        <f>Table4[[#This Row],[av_lin]]-2*Table4[[#This Row],[std_lin]]</f>
        <v>-7.7334197530864193E-2</v>
      </c>
      <c r="Y569" s="2">
        <f>Table4[[#This Row],[av_lin]]+2*Table4[[#This Row],[std_lin]]</f>
        <v>0.23200259259259259</v>
      </c>
    </row>
    <row r="570" spans="1:25" x14ac:dyDescent="0.35">
      <c r="A570" s="1">
        <v>649</v>
      </c>
      <c r="B570" t="s">
        <v>75</v>
      </c>
      <c r="C570" t="s">
        <v>549</v>
      </c>
      <c r="D570" t="s">
        <v>628</v>
      </c>
      <c r="E570" s="2">
        <v>4.3471234567901237E-2</v>
      </c>
      <c r="F570" s="2">
        <v>7.5330383405706799E-3</v>
      </c>
      <c r="G570">
        <v>27</v>
      </c>
      <c r="H570" t="s">
        <v>58</v>
      </c>
      <c r="M570" s="2">
        <v>5.8537311249042601E-2</v>
      </c>
      <c r="N570" s="2">
        <v>2.8405157886759881E-2</v>
      </c>
      <c r="O570" s="2">
        <v>3.013215336228272E-2</v>
      </c>
      <c r="P570" s="2">
        <v>5.7707438356948533</v>
      </c>
      <c r="R570" t="str">
        <f t="shared" si="24"/>
        <v>yes</v>
      </c>
      <c r="S570" t="str">
        <f t="shared" si="25"/>
        <v>no</v>
      </c>
      <c r="T5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0" s="2" t="b">
        <f t="shared" si="26"/>
        <v>1</v>
      </c>
      <c r="V570" s="2">
        <f>IF(Table4[[#This Row],[linear?]],Table4[[#This Row],[av]],10^(Table4[[#This Row],[av]]/10))</f>
        <v>4.3471234567901237E-2</v>
      </c>
      <c r="W570" s="2">
        <f>IF(Table4[[#This Row],[linear?]],Table4[[#This Row],[av]],10^(Table4[[#This Row],[av]]/10))</f>
        <v>4.3471234567901237E-2</v>
      </c>
      <c r="X570" s="2">
        <f>Table4[[#This Row],[av_lin]]-2*Table4[[#This Row],[std_lin]]</f>
        <v>-4.3471234567901237E-2</v>
      </c>
      <c r="Y570" s="2">
        <f>Table4[[#This Row],[av_lin]]+2*Table4[[#This Row],[std_lin]]</f>
        <v>0.1304137037037037</v>
      </c>
    </row>
    <row r="571" spans="1:25" x14ac:dyDescent="0.35">
      <c r="A571" s="1">
        <v>650</v>
      </c>
      <c r="B571" t="s">
        <v>75</v>
      </c>
      <c r="C571" t="s">
        <v>549</v>
      </c>
      <c r="D571" t="s">
        <v>629</v>
      </c>
      <c r="E571" s="2">
        <v>4.6341728395061732E-2</v>
      </c>
      <c r="F571" s="2">
        <v>6.7606316018905049E-3</v>
      </c>
      <c r="G571">
        <v>27</v>
      </c>
      <c r="H571" t="s">
        <v>58</v>
      </c>
      <c r="M571" s="2">
        <v>5.9862991598842737E-2</v>
      </c>
      <c r="N571" s="2">
        <v>3.282046519128072E-2</v>
      </c>
      <c r="O571" s="2">
        <v>2.704252640756202E-2</v>
      </c>
      <c r="P571" s="2">
        <v>6.8546448207742889</v>
      </c>
      <c r="R571" t="str">
        <f t="shared" si="24"/>
        <v>yes</v>
      </c>
      <c r="S571" t="str">
        <f t="shared" si="25"/>
        <v>no</v>
      </c>
      <c r="T5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1" s="2" t="b">
        <f t="shared" si="26"/>
        <v>1</v>
      </c>
      <c r="V571" s="2">
        <f>IF(Table4[[#This Row],[linear?]],Table4[[#This Row],[av]],10^(Table4[[#This Row],[av]]/10))</f>
        <v>4.6341728395061732E-2</v>
      </c>
      <c r="W571" s="2">
        <f>IF(Table4[[#This Row],[linear?]],Table4[[#This Row],[av]],10^(Table4[[#This Row],[av]]/10))</f>
        <v>4.6341728395061732E-2</v>
      </c>
      <c r="X571" s="2">
        <f>Table4[[#This Row],[av_lin]]-2*Table4[[#This Row],[std_lin]]</f>
        <v>-4.6341728395061732E-2</v>
      </c>
      <c r="Y571" s="2">
        <f>Table4[[#This Row],[av_lin]]+2*Table4[[#This Row],[std_lin]]</f>
        <v>0.1390251851851852</v>
      </c>
    </row>
    <row r="572" spans="1:25" x14ac:dyDescent="0.35">
      <c r="A572" s="1">
        <v>651</v>
      </c>
      <c r="B572" t="s">
        <v>75</v>
      </c>
      <c r="C572" t="s">
        <v>549</v>
      </c>
      <c r="D572" t="s">
        <v>630</v>
      </c>
      <c r="E572" s="2">
        <v>4.5855432098765428E-2</v>
      </c>
      <c r="F572" s="2">
        <v>7.6665599200959793E-3</v>
      </c>
      <c r="G572">
        <v>27</v>
      </c>
      <c r="H572" t="s">
        <v>58</v>
      </c>
      <c r="M572" s="2">
        <v>6.1188551938957378E-2</v>
      </c>
      <c r="N572" s="2">
        <v>3.0522312258573471E-2</v>
      </c>
      <c r="O572" s="2">
        <v>3.066623968038391E-2</v>
      </c>
      <c r="P572" s="2">
        <v>5.9812265966338858</v>
      </c>
      <c r="R572" t="str">
        <f t="shared" si="24"/>
        <v>yes</v>
      </c>
      <c r="S572" t="str">
        <f t="shared" si="25"/>
        <v>no</v>
      </c>
      <c r="T5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2" s="2" t="b">
        <f t="shared" si="26"/>
        <v>1</v>
      </c>
      <c r="V572" s="2">
        <f>IF(Table4[[#This Row],[linear?]],Table4[[#This Row],[av]],10^(Table4[[#This Row],[av]]/10))</f>
        <v>4.5855432098765428E-2</v>
      </c>
      <c r="W572" s="2">
        <f>IF(Table4[[#This Row],[linear?]],Table4[[#This Row],[av]],10^(Table4[[#This Row],[av]]/10))</f>
        <v>4.5855432098765428E-2</v>
      </c>
      <c r="X572" s="2">
        <f>Table4[[#This Row],[av_lin]]-2*Table4[[#This Row],[std_lin]]</f>
        <v>-4.5855432098765428E-2</v>
      </c>
      <c r="Y572" s="2">
        <f>Table4[[#This Row],[av_lin]]+2*Table4[[#This Row],[std_lin]]</f>
        <v>0.1375662962962963</v>
      </c>
    </row>
    <row r="573" spans="1:25" x14ac:dyDescent="0.35">
      <c r="A573" s="1">
        <v>653</v>
      </c>
      <c r="B573" t="s">
        <v>75</v>
      </c>
      <c r="C573" t="s">
        <v>549</v>
      </c>
      <c r="D573" t="s">
        <v>632</v>
      </c>
      <c r="E573" s="2">
        <v>3.3891851851851847E-2</v>
      </c>
      <c r="F573" s="2">
        <v>7.4338145140249532E-3</v>
      </c>
      <c r="G573">
        <v>27</v>
      </c>
      <c r="H573" t="s">
        <v>58</v>
      </c>
      <c r="M573" s="2">
        <v>4.8759480879901763E-2</v>
      </c>
      <c r="N573" s="2">
        <v>1.902422282380194E-2</v>
      </c>
      <c r="O573" s="2">
        <v>2.973525805609982E-2</v>
      </c>
      <c r="P573" s="2">
        <v>4.5591468266944277</v>
      </c>
      <c r="R573" t="str">
        <f t="shared" si="24"/>
        <v>yes</v>
      </c>
      <c r="S573" t="str">
        <f t="shared" si="25"/>
        <v>no</v>
      </c>
      <c r="T5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3" s="2" t="b">
        <f t="shared" si="26"/>
        <v>1</v>
      </c>
      <c r="V573" s="2">
        <f>IF(Table4[[#This Row],[linear?]],Table4[[#This Row],[av]],10^(Table4[[#This Row],[av]]/10))</f>
        <v>3.3891851851851847E-2</v>
      </c>
      <c r="W573" s="2">
        <f>IF(Table4[[#This Row],[linear?]],Table4[[#This Row],[av]],10^(Table4[[#This Row],[av]]/10))</f>
        <v>3.3891851851851847E-2</v>
      </c>
      <c r="X573" s="2">
        <f>Table4[[#This Row],[av_lin]]-2*Table4[[#This Row],[std_lin]]</f>
        <v>-3.3891851851851847E-2</v>
      </c>
      <c r="Y573" s="2">
        <f>Table4[[#This Row],[av_lin]]+2*Table4[[#This Row],[std_lin]]</f>
        <v>0.10167555555555555</v>
      </c>
    </row>
    <row r="574" spans="1:25" x14ac:dyDescent="0.35">
      <c r="A574" s="1">
        <v>654</v>
      </c>
      <c r="B574" t="s">
        <v>75</v>
      </c>
      <c r="C574" t="s">
        <v>549</v>
      </c>
      <c r="D574" t="s">
        <v>633</v>
      </c>
      <c r="E574" s="2">
        <v>3.85037037037037E-2</v>
      </c>
      <c r="F574" s="2">
        <v>1.3453932863592911E-2</v>
      </c>
      <c r="G574">
        <v>27</v>
      </c>
      <c r="H574" t="s">
        <v>58</v>
      </c>
      <c r="M574" s="2">
        <v>6.5411569430889521E-2</v>
      </c>
      <c r="N574" s="2">
        <v>1.159583797651788E-2</v>
      </c>
      <c r="O574" s="2">
        <v>5.3815731454371643E-2</v>
      </c>
      <c r="P574" s="2">
        <v>2.8618920648769448</v>
      </c>
      <c r="R574" t="str">
        <f t="shared" si="24"/>
        <v>yes</v>
      </c>
      <c r="S574" t="str">
        <f t="shared" si="25"/>
        <v>no</v>
      </c>
      <c r="T5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4" s="2" t="b">
        <f t="shared" si="26"/>
        <v>1</v>
      </c>
      <c r="V574" s="2">
        <f>IF(Table4[[#This Row],[linear?]],Table4[[#This Row],[av]],10^(Table4[[#This Row],[av]]/10))</f>
        <v>3.85037037037037E-2</v>
      </c>
      <c r="W574" s="2">
        <f>IF(Table4[[#This Row],[linear?]],Table4[[#This Row],[av]],10^(Table4[[#This Row],[av]]/10))</f>
        <v>3.85037037037037E-2</v>
      </c>
      <c r="X574" s="2">
        <f>Table4[[#This Row],[av_lin]]-2*Table4[[#This Row],[std_lin]]</f>
        <v>-3.85037037037037E-2</v>
      </c>
      <c r="Y574" s="2">
        <f>Table4[[#This Row],[av_lin]]+2*Table4[[#This Row],[std_lin]]</f>
        <v>0.11551111111111109</v>
      </c>
    </row>
    <row r="575" spans="1:25" x14ac:dyDescent="0.35">
      <c r="A575" s="1">
        <v>655</v>
      </c>
      <c r="B575" t="s">
        <v>75</v>
      </c>
      <c r="C575" t="s">
        <v>549</v>
      </c>
      <c r="D575" t="s">
        <v>634</v>
      </c>
      <c r="E575" s="2">
        <v>3.3242345679012339E-2</v>
      </c>
      <c r="F575" s="2">
        <v>1.078382232405614E-2</v>
      </c>
      <c r="G575">
        <v>27</v>
      </c>
      <c r="H575" t="s">
        <v>58</v>
      </c>
      <c r="M575" s="2">
        <v>5.4809990327124622E-2</v>
      </c>
      <c r="N575" s="2">
        <v>1.1674701030900059E-2</v>
      </c>
      <c r="O575" s="2">
        <v>4.3135289296224573E-2</v>
      </c>
      <c r="P575" s="2">
        <v>3.082612517164399</v>
      </c>
      <c r="R575" t="str">
        <f t="shared" si="24"/>
        <v>yes</v>
      </c>
      <c r="S575" t="str">
        <f t="shared" si="25"/>
        <v>no</v>
      </c>
      <c r="T5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5" s="2" t="b">
        <f t="shared" si="26"/>
        <v>1</v>
      </c>
      <c r="V575" s="2">
        <f>IF(Table4[[#This Row],[linear?]],Table4[[#This Row],[av]],10^(Table4[[#This Row],[av]]/10))</f>
        <v>3.3242345679012339E-2</v>
      </c>
      <c r="W575" s="2">
        <f>IF(Table4[[#This Row],[linear?]],Table4[[#This Row],[av]],10^(Table4[[#This Row],[av]]/10))</f>
        <v>3.3242345679012339E-2</v>
      </c>
      <c r="X575" s="2">
        <f>Table4[[#This Row],[av_lin]]-2*Table4[[#This Row],[std_lin]]</f>
        <v>-3.3242345679012339E-2</v>
      </c>
      <c r="Y575" s="2">
        <f>Table4[[#This Row],[av_lin]]+2*Table4[[#This Row],[std_lin]]</f>
        <v>9.9727037037037017E-2</v>
      </c>
    </row>
    <row r="576" spans="1:25" x14ac:dyDescent="0.35">
      <c r="A576" s="1">
        <v>656</v>
      </c>
      <c r="B576" t="s">
        <v>75</v>
      </c>
      <c r="C576" t="s">
        <v>549</v>
      </c>
      <c r="D576" t="s">
        <v>635</v>
      </c>
      <c r="E576" s="2">
        <v>7.325098765432099E-2</v>
      </c>
      <c r="F576" s="2">
        <v>5.4360236300414573E-3</v>
      </c>
      <c r="G576">
        <v>27</v>
      </c>
      <c r="H576" t="s">
        <v>58</v>
      </c>
      <c r="M576" s="2">
        <v>8.4123034914403899E-2</v>
      </c>
      <c r="N576" s="2">
        <v>6.2378940394238067E-2</v>
      </c>
      <c r="O576" s="2">
        <v>2.1744094520165829E-2</v>
      </c>
      <c r="P576" s="2">
        <v>13.475104716158549</v>
      </c>
      <c r="R576" t="str">
        <f t="shared" si="24"/>
        <v>yes</v>
      </c>
      <c r="S576" t="str">
        <f t="shared" si="25"/>
        <v>no</v>
      </c>
      <c r="T5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6" s="2" t="b">
        <f t="shared" si="26"/>
        <v>1</v>
      </c>
      <c r="V576" s="2">
        <f>IF(Table4[[#This Row],[linear?]],Table4[[#This Row],[av]],10^(Table4[[#This Row],[av]]/10))</f>
        <v>7.325098765432099E-2</v>
      </c>
      <c r="W576" s="2">
        <f>IF(Table4[[#This Row],[linear?]],Table4[[#This Row],[av]],10^(Table4[[#This Row],[av]]/10))</f>
        <v>7.325098765432099E-2</v>
      </c>
      <c r="X576" s="2">
        <f>Table4[[#This Row],[av_lin]]-2*Table4[[#This Row],[std_lin]]</f>
        <v>-7.325098765432099E-2</v>
      </c>
      <c r="Y576" s="2">
        <f>Table4[[#This Row],[av_lin]]+2*Table4[[#This Row],[std_lin]]</f>
        <v>0.21975296296296298</v>
      </c>
    </row>
    <row r="577" spans="1:25" x14ac:dyDescent="0.35">
      <c r="A577" s="1">
        <v>658</v>
      </c>
      <c r="B577" t="s">
        <v>75</v>
      </c>
      <c r="C577" t="s">
        <v>549</v>
      </c>
      <c r="D577" t="s">
        <v>637</v>
      </c>
      <c r="E577" s="2">
        <v>3.7637530864197542E-2</v>
      </c>
      <c r="F577" s="2">
        <v>2.4542840529136328E-3</v>
      </c>
      <c r="G577">
        <v>27</v>
      </c>
      <c r="H577" t="s">
        <v>58</v>
      </c>
      <c r="M577" s="2">
        <v>4.2546098970024808E-2</v>
      </c>
      <c r="N577" s="2">
        <v>3.2728962758370277E-2</v>
      </c>
      <c r="O577" s="2">
        <v>9.8171362116545313E-3</v>
      </c>
      <c r="P577" s="2">
        <v>15.335442048574491</v>
      </c>
      <c r="R577" t="str">
        <f t="shared" si="24"/>
        <v>yes</v>
      </c>
      <c r="S577" t="str">
        <f t="shared" si="25"/>
        <v>no</v>
      </c>
      <c r="T5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7" s="2" t="b">
        <f t="shared" si="26"/>
        <v>1</v>
      </c>
      <c r="V577" s="2">
        <f>IF(Table4[[#This Row],[linear?]],Table4[[#This Row],[av]],10^(Table4[[#This Row],[av]]/10))</f>
        <v>3.7637530864197542E-2</v>
      </c>
      <c r="W577" s="2">
        <f>IF(Table4[[#This Row],[linear?]],Table4[[#This Row],[av]],10^(Table4[[#This Row],[av]]/10))</f>
        <v>3.7637530864197542E-2</v>
      </c>
      <c r="X577" s="2">
        <f>Table4[[#This Row],[av_lin]]-2*Table4[[#This Row],[std_lin]]</f>
        <v>-3.7637530864197542E-2</v>
      </c>
      <c r="Y577" s="2">
        <f>Table4[[#This Row],[av_lin]]+2*Table4[[#This Row],[std_lin]]</f>
        <v>0.11291259259259262</v>
      </c>
    </row>
    <row r="578" spans="1:25" x14ac:dyDescent="0.35">
      <c r="A578" s="1">
        <v>659</v>
      </c>
      <c r="B578" t="s">
        <v>75</v>
      </c>
      <c r="C578" t="s">
        <v>549</v>
      </c>
      <c r="D578" t="s">
        <v>638</v>
      </c>
      <c r="E578" s="2">
        <v>4.258864197530865E-2</v>
      </c>
      <c r="F578" s="2">
        <v>6.3624864309529006E-3</v>
      </c>
      <c r="G578">
        <v>27</v>
      </c>
      <c r="H578" t="s">
        <v>58</v>
      </c>
      <c r="M578" s="2">
        <v>5.5313614837214448E-2</v>
      </c>
      <c r="N578" s="2">
        <v>2.9863669113402849E-2</v>
      </c>
      <c r="O578" s="2">
        <v>2.5449945723811599E-2</v>
      </c>
      <c r="P578" s="2">
        <v>6.6937104601306334</v>
      </c>
      <c r="R578" t="str">
        <f t="shared" ref="R578:R641" si="27">IF(H578="yes","yes","no")</f>
        <v>yes</v>
      </c>
      <c r="S578" t="str">
        <f t="shared" ref="S578:S641" si="28">IF(I578,"yes","no")</f>
        <v>no</v>
      </c>
      <c r="T5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8" s="2" t="b">
        <f t="shared" ref="U578:U641" si="29">NOT(ISNUMBER(SEARCH("RFIC*POWER", D578)))</f>
        <v>1</v>
      </c>
      <c r="V578" s="2">
        <f>IF(Table4[[#This Row],[linear?]],Table4[[#This Row],[av]],10^(Table4[[#This Row],[av]]/10))</f>
        <v>4.258864197530865E-2</v>
      </c>
      <c r="W578" s="2">
        <f>IF(Table4[[#This Row],[linear?]],Table4[[#This Row],[av]],10^(Table4[[#This Row],[av]]/10))</f>
        <v>4.258864197530865E-2</v>
      </c>
      <c r="X578" s="2">
        <f>Table4[[#This Row],[av_lin]]-2*Table4[[#This Row],[std_lin]]</f>
        <v>-4.258864197530865E-2</v>
      </c>
      <c r="Y578" s="2">
        <f>Table4[[#This Row],[av_lin]]+2*Table4[[#This Row],[std_lin]]</f>
        <v>0.12776592592592595</v>
      </c>
    </row>
    <row r="579" spans="1:25" x14ac:dyDescent="0.35">
      <c r="A579" s="1">
        <v>660</v>
      </c>
      <c r="B579" t="s">
        <v>75</v>
      </c>
      <c r="C579" t="s">
        <v>549</v>
      </c>
      <c r="D579" t="s">
        <v>639</v>
      </c>
      <c r="E579" s="2">
        <v>3.759666666666666E-2</v>
      </c>
      <c r="F579" s="2">
        <v>5.2276907615672408E-3</v>
      </c>
      <c r="G579">
        <v>27</v>
      </c>
      <c r="H579" t="s">
        <v>58</v>
      </c>
      <c r="M579" s="2">
        <v>4.805204818980114E-2</v>
      </c>
      <c r="N579" s="2">
        <v>2.714128514353218E-2</v>
      </c>
      <c r="O579" s="2">
        <v>2.091076304626896E-2</v>
      </c>
      <c r="P579" s="2">
        <v>7.1918306536164218</v>
      </c>
      <c r="R579" t="str">
        <f t="shared" si="27"/>
        <v>yes</v>
      </c>
      <c r="S579" t="str">
        <f t="shared" si="28"/>
        <v>no</v>
      </c>
      <c r="T5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9" s="2" t="b">
        <f t="shared" si="29"/>
        <v>1</v>
      </c>
      <c r="V579" s="2">
        <f>IF(Table4[[#This Row],[linear?]],Table4[[#This Row],[av]],10^(Table4[[#This Row],[av]]/10))</f>
        <v>3.759666666666666E-2</v>
      </c>
      <c r="W579" s="2">
        <f>IF(Table4[[#This Row],[linear?]],Table4[[#This Row],[av]],10^(Table4[[#This Row],[av]]/10))</f>
        <v>3.759666666666666E-2</v>
      </c>
      <c r="X579" s="2">
        <f>Table4[[#This Row],[av_lin]]-2*Table4[[#This Row],[std_lin]]</f>
        <v>-3.759666666666666E-2</v>
      </c>
      <c r="Y579" s="2">
        <f>Table4[[#This Row],[av_lin]]+2*Table4[[#This Row],[std_lin]]</f>
        <v>0.11278999999999997</v>
      </c>
    </row>
    <row r="580" spans="1:25" x14ac:dyDescent="0.35">
      <c r="A580" s="1">
        <v>661</v>
      </c>
      <c r="B580" t="s">
        <v>75</v>
      </c>
      <c r="C580" t="s">
        <v>549</v>
      </c>
      <c r="D580" t="s">
        <v>640</v>
      </c>
      <c r="E580" s="2">
        <v>3.6374074074074082E-3</v>
      </c>
      <c r="F580" s="2">
        <v>1.702360276821634E-3</v>
      </c>
      <c r="G580">
        <v>27</v>
      </c>
      <c r="H580" t="s">
        <v>58</v>
      </c>
      <c r="M580" s="2">
        <v>7.0421279610506761E-3</v>
      </c>
      <c r="N580" s="2">
        <v>2.3268685376414029E-4</v>
      </c>
      <c r="O580" s="2">
        <v>6.8094411072865358E-3</v>
      </c>
      <c r="P580" s="2">
        <v>2.1366848468754069</v>
      </c>
      <c r="R580" t="str">
        <f t="shared" si="27"/>
        <v>yes</v>
      </c>
      <c r="S580" t="str">
        <f t="shared" si="28"/>
        <v>no</v>
      </c>
      <c r="T5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0" s="2" t="b">
        <f t="shared" si="29"/>
        <v>1</v>
      </c>
      <c r="V580" s="2">
        <f>IF(Table4[[#This Row],[linear?]],Table4[[#This Row],[av]],10^(Table4[[#This Row],[av]]/10))</f>
        <v>3.6374074074074082E-3</v>
      </c>
      <c r="W580" s="2">
        <f>IF(Table4[[#This Row],[linear?]],Table4[[#This Row],[av]],10^(Table4[[#This Row],[av]]/10))</f>
        <v>3.6374074074074082E-3</v>
      </c>
      <c r="X580" s="2">
        <f>Table4[[#This Row],[av_lin]]-2*Table4[[#This Row],[std_lin]]</f>
        <v>-3.6374074074074082E-3</v>
      </c>
      <c r="Y580" s="2">
        <f>Table4[[#This Row],[av_lin]]+2*Table4[[#This Row],[std_lin]]</f>
        <v>1.0912222222222224E-2</v>
      </c>
    </row>
    <row r="581" spans="1:25" x14ac:dyDescent="0.35">
      <c r="A581" s="1">
        <v>663</v>
      </c>
      <c r="B581" t="s">
        <v>75</v>
      </c>
      <c r="C581" t="s">
        <v>549</v>
      </c>
      <c r="D581" t="s">
        <v>642</v>
      </c>
      <c r="E581" s="2">
        <v>2.1462962962962981E-3</v>
      </c>
      <c r="F581" s="2">
        <v>1.3384703474967031E-3</v>
      </c>
      <c r="G581">
        <v>27</v>
      </c>
      <c r="H581" t="s">
        <v>58</v>
      </c>
      <c r="M581" s="2">
        <v>4.8232369912897047E-3</v>
      </c>
      <c r="N581" s="2">
        <v>-5.3064439869710813E-4</v>
      </c>
      <c r="O581" s="2">
        <v>5.3538813899868132E-3</v>
      </c>
      <c r="P581" s="2">
        <v>1.603544150462836</v>
      </c>
      <c r="R581" t="str">
        <f t="shared" si="27"/>
        <v>yes</v>
      </c>
      <c r="S581" t="str">
        <f t="shared" si="28"/>
        <v>no</v>
      </c>
      <c r="T5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1" s="2" t="b">
        <f t="shared" si="29"/>
        <v>1</v>
      </c>
      <c r="V581" s="2">
        <f>IF(Table4[[#This Row],[linear?]],Table4[[#This Row],[av]],10^(Table4[[#This Row],[av]]/10))</f>
        <v>2.1462962962962981E-3</v>
      </c>
      <c r="W581" s="2">
        <f>IF(Table4[[#This Row],[linear?]],Table4[[#This Row],[av]],10^(Table4[[#This Row],[av]]/10))</f>
        <v>2.1462962962962981E-3</v>
      </c>
      <c r="X581" s="2">
        <f>Table4[[#This Row],[av_lin]]-2*Table4[[#This Row],[std_lin]]</f>
        <v>-2.1462962962962981E-3</v>
      </c>
      <c r="Y581" s="2">
        <f>Table4[[#This Row],[av_lin]]+2*Table4[[#This Row],[std_lin]]</f>
        <v>6.4388888888888942E-3</v>
      </c>
    </row>
    <row r="582" spans="1:25" x14ac:dyDescent="0.35">
      <c r="A582" s="1">
        <v>665</v>
      </c>
      <c r="B582" t="s">
        <v>75</v>
      </c>
      <c r="C582" t="s">
        <v>549</v>
      </c>
      <c r="D582" t="s">
        <v>644</v>
      </c>
      <c r="E582" s="2">
        <v>2.1674074074074071E-2</v>
      </c>
      <c r="F582" s="2">
        <v>3.513417674383811E-3</v>
      </c>
      <c r="G582">
        <v>27</v>
      </c>
      <c r="H582" t="s">
        <v>58</v>
      </c>
      <c r="M582" s="2">
        <v>2.8700909422841689E-2</v>
      </c>
      <c r="N582" s="2">
        <v>1.464723872530645E-2</v>
      </c>
      <c r="O582" s="2">
        <v>1.405367069753524E-2</v>
      </c>
      <c r="P582" s="2">
        <v>6.1689432008323086</v>
      </c>
      <c r="R582" t="str">
        <f t="shared" si="27"/>
        <v>yes</v>
      </c>
      <c r="S582" t="str">
        <f t="shared" si="28"/>
        <v>no</v>
      </c>
      <c r="T5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2" s="2" t="b">
        <f t="shared" si="29"/>
        <v>1</v>
      </c>
      <c r="V582" s="2">
        <f>IF(Table4[[#This Row],[linear?]],Table4[[#This Row],[av]],10^(Table4[[#This Row],[av]]/10))</f>
        <v>2.1674074074074071E-2</v>
      </c>
      <c r="W582" s="2">
        <f>IF(Table4[[#This Row],[linear?]],Table4[[#This Row],[av]],10^(Table4[[#This Row],[av]]/10))</f>
        <v>2.1674074074074071E-2</v>
      </c>
      <c r="X582" s="2">
        <f>Table4[[#This Row],[av_lin]]-2*Table4[[#This Row],[std_lin]]</f>
        <v>-2.1674074074074071E-2</v>
      </c>
      <c r="Y582" s="2">
        <f>Table4[[#This Row],[av_lin]]+2*Table4[[#This Row],[std_lin]]</f>
        <v>6.5022222222222217E-2</v>
      </c>
    </row>
    <row r="583" spans="1:25" x14ac:dyDescent="0.35">
      <c r="A583" s="1">
        <v>667</v>
      </c>
      <c r="B583" t="s">
        <v>75</v>
      </c>
      <c r="C583" t="s">
        <v>549</v>
      </c>
      <c r="D583" t="s">
        <v>646</v>
      </c>
      <c r="E583" s="2">
        <v>3.2253086419753081E-3</v>
      </c>
      <c r="F583" s="2">
        <v>1.7998535259884231E-3</v>
      </c>
      <c r="G583">
        <v>27</v>
      </c>
      <c r="H583" t="s">
        <v>58</v>
      </c>
      <c r="M583" s="2">
        <v>6.8250156939521547E-3</v>
      </c>
      <c r="N583" s="2">
        <v>-3.7439841000153811E-4</v>
      </c>
      <c r="O583" s="2">
        <v>7.1994141039536923E-3</v>
      </c>
      <c r="P583" s="2">
        <v>1.7919839561411359</v>
      </c>
      <c r="R583" t="str">
        <f t="shared" si="27"/>
        <v>yes</v>
      </c>
      <c r="S583" t="str">
        <f t="shared" si="28"/>
        <v>no</v>
      </c>
      <c r="T5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3" s="2" t="b">
        <f t="shared" si="29"/>
        <v>1</v>
      </c>
      <c r="V583" s="2">
        <f>IF(Table4[[#This Row],[linear?]],Table4[[#This Row],[av]],10^(Table4[[#This Row],[av]]/10))</f>
        <v>3.2253086419753081E-3</v>
      </c>
      <c r="W583" s="2">
        <f>IF(Table4[[#This Row],[linear?]],Table4[[#This Row],[av]],10^(Table4[[#This Row],[av]]/10))</f>
        <v>3.2253086419753081E-3</v>
      </c>
      <c r="X583" s="2">
        <f>Table4[[#This Row],[av_lin]]-2*Table4[[#This Row],[std_lin]]</f>
        <v>-3.2253086419753081E-3</v>
      </c>
      <c r="Y583" s="2">
        <f>Table4[[#This Row],[av_lin]]+2*Table4[[#This Row],[std_lin]]</f>
        <v>9.6759259259259246E-3</v>
      </c>
    </row>
    <row r="584" spans="1:25" x14ac:dyDescent="0.35">
      <c r="A584" s="1">
        <v>669</v>
      </c>
      <c r="B584" t="s">
        <v>75</v>
      </c>
      <c r="C584" t="s">
        <v>549</v>
      </c>
      <c r="D584" t="s">
        <v>648</v>
      </c>
      <c r="E584" s="2">
        <v>1.944814814814815E-3</v>
      </c>
      <c r="F584" s="2">
        <v>1.3204654586688621E-3</v>
      </c>
      <c r="G584">
        <v>27</v>
      </c>
      <c r="H584" t="s">
        <v>58</v>
      </c>
      <c r="M584" s="2">
        <v>4.5857457321525387E-3</v>
      </c>
      <c r="N584" s="2">
        <v>-6.9611610252290909E-4</v>
      </c>
      <c r="O584" s="2">
        <v>5.2818618346754474E-3</v>
      </c>
      <c r="P584" s="2">
        <v>1.47282520875279</v>
      </c>
      <c r="R584" t="str">
        <f t="shared" si="27"/>
        <v>yes</v>
      </c>
      <c r="S584" t="str">
        <f t="shared" si="28"/>
        <v>no</v>
      </c>
      <c r="T5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4" s="2" t="b">
        <f t="shared" si="29"/>
        <v>1</v>
      </c>
      <c r="V584" s="2">
        <f>IF(Table4[[#This Row],[linear?]],Table4[[#This Row],[av]],10^(Table4[[#This Row],[av]]/10))</f>
        <v>1.944814814814815E-3</v>
      </c>
      <c r="W584" s="2">
        <f>IF(Table4[[#This Row],[linear?]],Table4[[#This Row],[av]],10^(Table4[[#This Row],[av]]/10))</f>
        <v>1.944814814814815E-3</v>
      </c>
      <c r="X584" s="2">
        <f>Table4[[#This Row],[av_lin]]-2*Table4[[#This Row],[std_lin]]</f>
        <v>-1.944814814814815E-3</v>
      </c>
      <c r="Y584" s="2">
        <f>Table4[[#This Row],[av_lin]]+2*Table4[[#This Row],[std_lin]]</f>
        <v>5.8344444444444451E-3</v>
      </c>
    </row>
    <row r="585" spans="1:25" x14ac:dyDescent="0.35">
      <c r="A585" s="1">
        <v>671</v>
      </c>
      <c r="B585" t="s">
        <v>75</v>
      </c>
      <c r="C585" t="s">
        <v>549</v>
      </c>
      <c r="D585" t="s">
        <v>650</v>
      </c>
      <c r="E585" s="2">
        <v>2.2871975308641979E-2</v>
      </c>
      <c r="F585" s="2">
        <v>2.526346695812589E-3</v>
      </c>
      <c r="G585">
        <v>27</v>
      </c>
      <c r="H585" t="s">
        <v>58</v>
      </c>
      <c r="M585" s="2">
        <v>2.792466870026716E-2</v>
      </c>
      <c r="N585" s="2">
        <v>1.7819281917016799E-2</v>
      </c>
      <c r="O585" s="2">
        <v>1.0105386783250349E-2</v>
      </c>
      <c r="P585" s="2">
        <v>9.0533794694735281</v>
      </c>
      <c r="R585" t="str">
        <f t="shared" si="27"/>
        <v>yes</v>
      </c>
      <c r="S585" t="str">
        <f t="shared" si="28"/>
        <v>no</v>
      </c>
      <c r="T5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5" s="2" t="b">
        <f t="shared" si="29"/>
        <v>1</v>
      </c>
      <c r="V585" s="2">
        <f>IF(Table4[[#This Row],[linear?]],Table4[[#This Row],[av]],10^(Table4[[#This Row],[av]]/10))</f>
        <v>2.2871975308641979E-2</v>
      </c>
      <c r="W585" s="2">
        <f>IF(Table4[[#This Row],[linear?]],Table4[[#This Row],[av]],10^(Table4[[#This Row],[av]]/10))</f>
        <v>2.2871975308641979E-2</v>
      </c>
      <c r="X585" s="2">
        <f>Table4[[#This Row],[av_lin]]-2*Table4[[#This Row],[std_lin]]</f>
        <v>-2.2871975308641979E-2</v>
      </c>
      <c r="Y585" s="2">
        <f>Table4[[#This Row],[av_lin]]+2*Table4[[#This Row],[std_lin]]</f>
        <v>6.8615925925925941E-2</v>
      </c>
    </row>
    <row r="586" spans="1:25" x14ac:dyDescent="0.35">
      <c r="A586" s="1">
        <v>673</v>
      </c>
      <c r="B586" t="s">
        <v>75</v>
      </c>
      <c r="C586" t="s">
        <v>549</v>
      </c>
      <c r="D586" t="s">
        <v>652</v>
      </c>
      <c r="E586" s="2">
        <v>3.289382716049383E-3</v>
      </c>
      <c r="F586" s="2">
        <v>1.9462562013364581E-3</v>
      </c>
      <c r="G586">
        <v>27</v>
      </c>
      <c r="H586" t="s">
        <v>58</v>
      </c>
      <c r="M586" s="2">
        <v>7.1818951187222991E-3</v>
      </c>
      <c r="N586" s="2">
        <v>-6.031296866235332E-4</v>
      </c>
      <c r="O586" s="2">
        <v>7.7850248053458323E-3</v>
      </c>
      <c r="P586" s="2">
        <v>1.6901077637109769</v>
      </c>
      <c r="R586" t="str">
        <f t="shared" si="27"/>
        <v>yes</v>
      </c>
      <c r="S586" t="str">
        <f t="shared" si="28"/>
        <v>no</v>
      </c>
      <c r="T5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6" s="2" t="b">
        <f t="shared" si="29"/>
        <v>1</v>
      </c>
      <c r="V586" s="2">
        <f>IF(Table4[[#This Row],[linear?]],Table4[[#This Row],[av]],10^(Table4[[#This Row],[av]]/10))</f>
        <v>3.289382716049383E-3</v>
      </c>
      <c r="W586" s="2">
        <f>IF(Table4[[#This Row],[linear?]],Table4[[#This Row],[av]],10^(Table4[[#This Row],[av]]/10))</f>
        <v>3.289382716049383E-3</v>
      </c>
      <c r="X586" s="2">
        <f>Table4[[#This Row],[av_lin]]-2*Table4[[#This Row],[std_lin]]</f>
        <v>-3.289382716049383E-3</v>
      </c>
      <c r="Y586" s="2">
        <f>Table4[[#This Row],[av_lin]]+2*Table4[[#This Row],[std_lin]]</f>
        <v>9.8681481481481485E-3</v>
      </c>
    </row>
    <row r="587" spans="1:25" x14ac:dyDescent="0.35">
      <c r="A587" s="1">
        <v>675</v>
      </c>
      <c r="B587" t="s">
        <v>75</v>
      </c>
      <c r="C587" t="s">
        <v>549</v>
      </c>
      <c r="D587" t="s">
        <v>654</v>
      </c>
      <c r="E587" s="2">
        <v>3.0592592592592598E-3</v>
      </c>
      <c r="F587" s="2">
        <v>1.3458925423131211E-3</v>
      </c>
      <c r="G587">
        <v>27</v>
      </c>
      <c r="H587" t="s">
        <v>58</v>
      </c>
      <c r="M587" s="2">
        <v>5.751044343885502E-3</v>
      </c>
      <c r="N587" s="2">
        <v>3.6747417463301769E-4</v>
      </c>
      <c r="O587" s="2">
        <v>5.3835701692524843E-3</v>
      </c>
      <c r="P587" s="2">
        <v>2.2730338144243349</v>
      </c>
      <c r="R587" t="str">
        <f t="shared" si="27"/>
        <v>yes</v>
      </c>
      <c r="S587" t="str">
        <f t="shared" si="28"/>
        <v>no</v>
      </c>
      <c r="T5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7" s="2" t="b">
        <f t="shared" si="29"/>
        <v>1</v>
      </c>
      <c r="V587" s="2">
        <f>IF(Table4[[#This Row],[linear?]],Table4[[#This Row],[av]],10^(Table4[[#This Row],[av]]/10))</f>
        <v>3.0592592592592598E-3</v>
      </c>
      <c r="W587" s="2">
        <f>IF(Table4[[#This Row],[linear?]],Table4[[#This Row],[av]],10^(Table4[[#This Row],[av]]/10))</f>
        <v>3.0592592592592598E-3</v>
      </c>
      <c r="X587" s="2">
        <f>Table4[[#This Row],[av_lin]]-2*Table4[[#This Row],[std_lin]]</f>
        <v>-3.0592592592592598E-3</v>
      </c>
      <c r="Y587" s="2">
        <f>Table4[[#This Row],[av_lin]]+2*Table4[[#This Row],[std_lin]]</f>
        <v>9.1777777777777795E-3</v>
      </c>
    </row>
    <row r="588" spans="1:25" x14ac:dyDescent="0.35">
      <c r="A588" s="1">
        <v>677</v>
      </c>
      <c r="B588" t="s">
        <v>75</v>
      </c>
      <c r="C588" t="s">
        <v>549</v>
      </c>
      <c r="D588" t="s">
        <v>656</v>
      </c>
      <c r="E588" s="2">
        <v>2.2525925925925921E-2</v>
      </c>
      <c r="F588" s="2">
        <v>3.3311514503996378E-3</v>
      </c>
      <c r="G588">
        <v>27</v>
      </c>
      <c r="H588" t="s">
        <v>58</v>
      </c>
      <c r="M588" s="2">
        <v>2.9188228826725199E-2</v>
      </c>
      <c r="N588" s="2">
        <v>1.5863623025126641E-2</v>
      </c>
      <c r="O588" s="2">
        <v>1.3324605801598549E-2</v>
      </c>
      <c r="P588" s="2">
        <v>6.7622040790800702</v>
      </c>
      <c r="R588" t="str">
        <f t="shared" si="27"/>
        <v>yes</v>
      </c>
      <c r="S588" t="str">
        <f t="shared" si="28"/>
        <v>no</v>
      </c>
      <c r="T5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8" s="2" t="b">
        <f t="shared" si="29"/>
        <v>1</v>
      </c>
      <c r="V588" s="2">
        <f>IF(Table4[[#This Row],[linear?]],Table4[[#This Row],[av]],10^(Table4[[#This Row],[av]]/10))</f>
        <v>2.2525925925925921E-2</v>
      </c>
      <c r="W588" s="2">
        <f>IF(Table4[[#This Row],[linear?]],Table4[[#This Row],[av]],10^(Table4[[#This Row],[av]]/10))</f>
        <v>2.2525925925925921E-2</v>
      </c>
      <c r="X588" s="2">
        <f>Table4[[#This Row],[av_lin]]-2*Table4[[#This Row],[std_lin]]</f>
        <v>-2.2525925925925921E-2</v>
      </c>
      <c r="Y588" s="2">
        <f>Table4[[#This Row],[av_lin]]+2*Table4[[#This Row],[std_lin]]</f>
        <v>6.7577777777777764E-2</v>
      </c>
    </row>
    <row r="589" spans="1:25" x14ac:dyDescent="0.35">
      <c r="A589" s="1">
        <v>680</v>
      </c>
      <c r="B589" t="s">
        <v>75</v>
      </c>
      <c r="C589" t="s">
        <v>549</v>
      </c>
      <c r="D589" t="s">
        <v>659</v>
      </c>
      <c r="E589" s="2">
        <v>3.5189135802469143E-2</v>
      </c>
      <c r="F589" s="2">
        <v>5.4453695417449903E-3</v>
      </c>
      <c r="G589">
        <v>27</v>
      </c>
      <c r="H589" t="s">
        <v>58</v>
      </c>
      <c r="M589" s="2">
        <v>4.6079874885959132E-2</v>
      </c>
      <c r="N589" s="2">
        <v>2.4298396718979161E-2</v>
      </c>
      <c r="O589" s="2">
        <v>2.1781478166979961E-2</v>
      </c>
      <c r="P589" s="2">
        <v>6.4622126253698928</v>
      </c>
      <c r="R589" t="str">
        <f t="shared" si="27"/>
        <v>yes</v>
      </c>
      <c r="S589" t="str">
        <f t="shared" si="28"/>
        <v>no</v>
      </c>
      <c r="T5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9" s="2" t="b">
        <f t="shared" si="29"/>
        <v>1</v>
      </c>
      <c r="V589" s="2">
        <f>IF(Table4[[#This Row],[linear?]],Table4[[#This Row],[av]],10^(Table4[[#This Row],[av]]/10))</f>
        <v>3.5189135802469143E-2</v>
      </c>
      <c r="W589" s="2">
        <f>IF(Table4[[#This Row],[linear?]],Table4[[#This Row],[av]],10^(Table4[[#This Row],[av]]/10))</f>
        <v>3.5189135802469143E-2</v>
      </c>
      <c r="X589" s="2">
        <f>Table4[[#This Row],[av_lin]]-2*Table4[[#This Row],[std_lin]]</f>
        <v>-3.5189135802469143E-2</v>
      </c>
      <c r="Y589" s="2">
        <f>Table4[[#This Row],[av_lin]]+2*Table4[[#This Row],[std_lin]]</f>
        <v>0.10556740740740743</v>
      </c>
    </row>
    <row r="590" spans="1:25" x14ac:dyDescent="0.35">
      <c r="A590" s="1">
        <v>681</v>
      </c>
      <c r="B590" t="s">
        <v>75</v>
      </c>
      <c r="C590" t="s">
        <v>549</v>
      </c>
      <c r="D590" t="s">
        <v>660</v>
      </c>
      <c r="E590" s="2">
        <v>3.4660246913580252E-2</v>
      </c>
      <c r="F590" s="2">
        <v>5.5669053813910581E-3</v>
      </c>
      <c r="G590">
        <v>27</v>
      </c>
      <c r="H590" t="s">
        <v>58</v>
      </c>
      <c r="M590" s="2">
        <v>4.5794057676362368E-2</v>
      </c>
      <c r="N590" s="2">
        <v>2.3526436150798139E-2</v>
      </c>
      <c r="O590" s="2">
        <v>2.2267621525564229E-2</v>
      </c>
      <c r="P590" s="2">
        <v>6.2261246669364718</v>
      </c>
      <c r="R590" t="str">
        <f t="shared" si="27"/>
        <v>yes</v>
      </c>
      <c r="S590" t="str">
        <f t="shared" si="28"/>
        <v>no</v>
      </c>
      <c r="T5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0" s="2" t="b">
        <f t="shared" si="29"/>
        <v>1</v>
      </c>
      <c r="V590" s="2">
        <f>IF(Table4[[#This Row],[linear?]],Table4[[#This Row],[av]],10^(Table4[[#This Row],[av]]/10))</f>
        <v>3.4660246913580252E-2</v>
      </c>
      <c r="W590" s="2">
        <f>IF(Table4[[#This Row],[linear?]],Table4[[#This Row],[av]],10^(Table4[[#This Row],[av]]/10))</f>
        <v>3.4660246913580252E-2</v>
      </c>
      <c r="X590" s="2">
        <f>Table4[[#This Row],[av_lin]]-2*Table4[[#This Row],[std_lin]]</f>
        <v>-3.4660246913580252E-2</v>
      </c>
      <c r="Y590" s="2">
        <f>Table4[[#This Row],[av_lin]]+2*Table4[[#This Row],[std_lin]]</f>
        <v>0.10398074074074076</v>
      </c>
    </row>
    <row r="591" spans="1:25" x14ac:dyDescent="0.35">
      <c r="A591" s="1">
        <v>682</v>
      </c>
      <c r="B591" t="s">
        <v>75</v>
      </c>
      <c r="C591" t="s">
        <v>549</v>
      </c>
      <c r="D591" t="s">
        <v>661</v>
      </c>
      <c r="E591" s="2">
        <v>3.5852592592592603E-2</v>
      </c>
      <c r="F591" s="2">
        <v>5.6081918190691686E-3</v>
      </c>
      <c r="G591">
        <v>27</v>
      </c>
      <c r="H591" t="s">
        <v>58</v>
      </c>
      <c r="M591" s="2">
        <v>4.706897623073094E-2</v>
      </c>
      <c r="N591" s="2">
        <v>2.4636208954454269E-2</v>
      </c>
      <c r="O591" s="2">
        <v>2.2432767276276671E-2</v>
      </c>
      <c r="P591" s="2">
        <v>6.3928969887737024</v>
      </c>
      <c r="R591" t="str">
        <f t="shared" si="27"/>
        <v>yes</v>
      </c>
      <c r="S591" t="str">
        <f t="shared" si="28"/>
        <v>no</v>
      </c>
      <c r="T5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1" s="2" t="b">
        <f t="shared" si="29"/>
        <v>1</v>
      </c>
      <c r="V591" s="2">
        <f>IF(Table4[[#This Row],[linear?]],Table4[[#This Row],[av]],10^(Table4[[#This Row],[av]]/10))</f>
        <v>3.5852592592592603E-2</v>
      </c>
      <c r="W591" s="2">
        <f>IF(Table4[[#This Row],[linear?]],Table4[[#This Row],[av]],10^(Table4[[#This Row],[av]]/10))</f>
        <v>3.5852592592592603E-2</v>
      </c>
      <c r="X591" s="2">
        <f>Table4[[#This Row],[av_lin]]-2*Table4[[#This Row],[std_lin]]</f>
        <v>-3.5852592592592603E-2</v>
      </c>
      <c r="Y591" s="2">
        <f>Table4[[#This Row],[av_lin]]+2*Table4[[#This Row],[std_lin]]</f>
        <v>0.10755777777777781</v>
      </c>
    </row>
    <row r="592" spans="1:25" x14ac:dyDescent="0.35">
      <c r="A592" s="1">
        <v>683</v>
      </c>
      <c r="B592" t="s">
        <v>75</v>
      </c>
      <c r="C592" t="s">
        <v>549</v>
      </c>
      <c r="D592" t="s">
        <v>662</v>
      </c>
      <c r="E592" s="2">
        <v>7.5230987654320985E-2</v>
      </c>
      <c r="F592" s="2">
        <v>5.8511610726408826E-3</v>
      </c>
      <c r="G592">
        <v>27</v>
      </c>
      <c r="H592" t="s">
        <v>58</v>
      </c>
      <c r="M592" s="2">
        <v>8.6933309799602745E-2</v>
      </c>
      <c r="N592" s="2">
        <v>6.3528665509039225E-2</v>
      </c>
      <c r="O592" s="2">
        <v>2.340464429056352E-2</v>
      </c>
      <c r="P592" s="2">
        <v>12.85744602145536</v>
      </c>
      <c r="R592" t="str">
        <f t="shared" si="27"/>
        <v>yes</v>
      </c>
      <c r="S592" t="str">
        <f t="shared" si="28"/>
        <v>no</v>
      </c>
      <c r="T5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2" s="2" t="b">
        <f t="shared" si="29"/>
        <v>1</v>
      </c>
      <c r="V592" s="2">
        <f>IF(Table4[[#This Row],[linear?]],Table4[[#This Row],[av]],10^(Table4[[#This Row],[av]]/10))</f>
        <v>7.5230987654320985E-2</v>
      </c>
      <c r="W592" s="2">
        <f>IF(Table4[[#This Row],[linear?]],Table4[[#This Row],[av]],10^(Table4[[#This Row],[av]]/10))</f>
        <v>7.5230987654320985E-2</v>
      </c>
      <c r="X592" s="2">
        <f>Table4[[#This Row],[av_lin]]-2*Table4[[#This Row],[std_lin]]</f>
        <v>-7.5230987654320985E-2</v>
      </c>
      <c r="Y592" s="2">
        <f>Table4[[#This Row],[av_lin]]+2*Table4[[#This Row],[std_lin]]</f>
        <v>0.22569296296296296</v>
      </c>
    </row>
    <row r="593" spans="1:25" x14ac:dyDescent="0.35">
      <c r="A593" s="1">
        <v>685</v>
      </c>
      <c r="B593" t="s">
        <v>75</v>
      </c>
      <c r="C593" t="s">
        <v>549</v>
      </c>
      <c r="D593" t="s">
        <v>664</v>
      </c>
      <c r="E593" s="2">
        <v>4.0143827160493827E-2</v>
      </c>
      <c r="F593" s="2">
        <v>6.5877669342178976E-3</v>
      </c>
      <c r="G593">
        <v>27</v>
      </c>
      <c r="H593" t="s">
        <v>58</v>
      </c>
      <c r="M593" s="2">
        <v>5.3319361028929618E-2</v>
      </c>
      <c r="N593" s="2">
        <v>2.6968293292058031E-2</v>
      </c>
      <c r="O593" s="2">
        <v>2.635106773687159E-2</v>
      </c>
      <c r="P593" s="2">
        <v>6.0936926824141997</v>
      </c>
      <c r="R593" t="str">
        <f t="shared" si="27"/>
        <v>yes</v>
      </c>
      <c r="S593" t="str">
        <f t="shared" si="28"/>
        <v>no</v>
      </c>
      <c r="T5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3" s="2" t="b">
        <f t="shared" si="29"/>
        <v>1</v>
      </c>
      <c r="V593" s="2">
        <f>IF(Table4[[#This Row],[linear?]],Table4[[#This Row],[av]],10^(Table4[[#This Row],[av]]/10))</f>
        <v>4.0143827160493827E-2</v>
      </c>
      <c r="W593" s="2">
        <f>IF(Table4[[#This Row],[linear?]],Table4[[#This Row],[av]],10^(Table4[[#This Row],[av]]/10))</f>
        <v>4.0143827160493827E-2</v>
      </c>
      <c r="X593" s="2">
        <f>Table4[[#This Row],[av_lin]]-2*Table4[[#This Row],[std_lin]]</f>
        <v>-4.0143827160493827E-2</v>
      </c>
      <c r="Y593" s="2">
        <f>Table4[[#This Row],[av_lin]]+2*Table4[[#This Row],[std_lin]]</f>
        <v>0.12043148148148147</v>
      </c>
    </row>
    <row r="594" spans="1:25" x14ac:dyDescent="0.35">
      <c r="A594" s="1">
        <v>686</v>
      </c>
      <c r="B594" t="s">
        <v>75</v>
      </c>
      <c r="C594" t="s">
        <v>549</v>
      </c>
      <c r="D594" t="s">
        <v>665</v>
      </c>
      <c r="E594" s="2">
        <v>4.4425432098765441E-2</v>
      </c>
      <c r="F594" s="2">
        <v>5.5400531102547607E-3</v>
      </c>
      <c r="G594">
        <v>27</v>
      </c>
      <c r="H594" t="s">
        <v>58</v>
      </c>
      <c r="M594" s="2">
        <v>5.5505538319274961E-2</v>
      </c>
      <c r="N594" s="2">
        <v>3.3345325878255921E-2</v>
      </c>
      <c r="O594" s="2">
        <v>2.2160212441019039E-2</v>
      </c>
      <c r="P594" s="2">
        <v>8.0189541895425123</v>
      </c>
      <c r="R594" t="str">
        <f t="shared" si="27"/>
        <v>yes</v>
      </c>
      <c r="S594" t="str">
        <f t="shared" si="28"/>
        <v>no</v>
      </c>
      <c r="T5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4" s="2" t="b">
        <f t="shared" si="29"/>
        <v>1</v>
      </c>
      <c r="V594" s="2">
        <f>IF(Table4[[#This Row],[linear?]],Table4[[#This Row],[av]],10^(Table4[[#This Row],[av]]/10))</f>
        <v>4.4425432098765441E-2</v>
      </c>
      <c r="W594" s="2">
        <f>IF(Table4[[#This Row],[linear?]],Table4[[#This Row],[av]],10^(Table4[[#This Row],[av]]/10))</f>
        <v>4.4425432098765441E-2</v>
      </c>
      <c r="X594" s="2">
        <f>Table4[[#This Row],[av_lin]]-2*Table4[[#This Row],[std_lin]]</f>
        <v>-4.4425432098765441E-2</v>
      </c>
      <c r="Y594" s="2">
        <f>Table4[[#This Row],[av_lin]]+2*Table4[[#This Row],[std_lin]]</f>
        <v>0.13327629629629634</v>
      </c>
    </row>
    <row r="595" spans="1:25" x14ac:dyDescent="0.35">
      <c r="A595" s="1">
        <v>687</v>
      </c>
      <c r="B595" t="s">
        <v>75</v>
      </c>
      <c r="C595" t="s">
        <v>549</v>
      </c>
      <c r="D595" t="s">
        <v>666</v>
      </c>
      <c r="E595" s="2">
        <v>4.1670123456790123E-2</v>
      </c>
      <c r="F595" s="2">
        <v>6.3893553571869131E-3</v>
      </c>
      <c r="G595">
        <v>27</v>
      </c>
      <c r="H595" t="s">
        <v>58</v>
      </c>
      <c r="M595" s="2">
        <v>5.4448834171163953E-2</v>
      </c>
      <c r="N595" s="2">
        <v>2.88914127424163E-2</v>
      </c>
      <c r="O595" s="2">
        <v>2.5557421428747649E-2</v>
      </c>
      <c r="P595" s="2">
        <v>6.5218040204820484</v>
      </c>
      <c r="R595" t="str">
        <f t="shared" si="27"/>
        <v>yes</v>
      </c>
      <c r="S595" t="str">
        <f t="shared" si="28"/>
        <v>no</v>
      </c>
      <c r="T5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5" s="2" t="b">
        <f t="shared" si="29"/>
        <v>1</v>
      </c>
      <c r="V595" s="2">
        <f>IF(Table4[[#This Row],[linear?]],Table4[[#This Row],[av]],10^(Table4[[#This Row],[av]]/10))</f>
        <v>4.1670123456790123E-2</v>
      </c>
      <c r="W595" s="2">
        <f>IF(Table4[[#This Row],[linear?]],Table4[[#This Row],[av]],10^(Table4[[#This Row],[av]]/10))</f>
        <v>4.1670123456790123E-2</v>
      </c>
      <c r="X595" s="2">
        <f>Table4[[#This Row],[av_lin]]-2*Table4[[#This Row],[std_lin]]</f>
        <v>-4.1670123456790123E-2</v>
      </c>
      <c r="Y595" s="2">
        <f>Table4[[#This Row],[av_lin]]+2*Table4[[#This Row],[std_lin]]</f>
        <v>0.12501037037037038</v>
      </c>
    </row>
    <row r="596" spans="1:25" x14ac:dyDescent="0.35">
      <c r="A596" s="1">
        <v>689</v>
      </c>
      <c r="B596" t="s">
        <v>75</v>
      </c>
      <c r="C596" t="s">
        <v>549</v>
      </c>
      <c r="D596" t="s">
        <v>668</v>
      </c>
      <c r="E596" s="2">
        <v>3.9235432098765427E-2</v>
      </c>
      <c r="F596" s="2">
        <v>8.8094775679420523E-3</v>
      </c>
      <c r="G596">
        <v>27</v>
      </c>
      <c r="H596" t="s">
        <v>58</v>
      </c>
      <c r="M596" s="2">
        <v>5.6854387234649528E-2</v>
      </c>
      <c r="N596" s="2">
        <v>2.1616476962881319E-2</v>
      </c>
      <c r="O596" s="2">
        <v>3.5237910271768202E-2</v>
      </c>
      <c r="P596" s="2">
        <v>4.4537751298152246</v>
      </c>
      <c r="R596" t="str">
        <f t="shared" si="27"/>
        <v>yes</v>
      </c>
      <c r="S596" t="str">
        <f t="shared" si="28"/>
        <v>no</v>
      </c>
      <c r="T5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6" s="2" t="b">
        <f t="shared" si="29"/>
        <v>1</v>
      </c>
      <c r="V596" s="2">
        <f>IF(Table4[[#This Row],[linear?]],Table4[[#This Row],[av]],10^(Table4[[#This Row],[av]]/10))</f>
        <v>3.9235432098765427E-2</v>
      </c>
      <c r="W596" s="2">
        <f>IF(Table4[[#This Row],[linear?]],Table4[[#This Row],[av]],10^(Table4[[#This Row],[av]]/10))</f>
        <v>3.9235432098765427E-2</v>
      </c>
      <c r="X596" s="2">
        <f>Table4[[#This Row],[av_lin]]-2*Table4[[#This Row],[std_lin]]</f>
        <v>-3.9235432098765427E-2</v>
      </c>
      <c r="Y596" s="2">
        <f>Table4[[#This Row],[av_lin]]+2*Table4[[#This Row],[std_lin]]</f>
        <v>0.11770629629629628</v>
      </c>
    </row>
    <row r="597" spans="1:25" x14ac:dyDescent="0.35">
      <c r="A597" s="1">
        <v>690</v>
      </c>
      <c r="B597" t="s">
        <v>75</v>
      </c>
      <c r="C597" t="s">
        <v>549</v>
      </c>
      <c r="D597" t="s">
        <v>669</v>
      </c>
      <c r="E597" s="2">
        <v>3.8480246913580249E-2</v>
      </c>
      <c r="F597" s="2">
        <v>9.0921823190708764E-3</v>
      </c>
      <c r="G597">
        <v>27</v>
      </c>
      <c r="H597" t="s">
        <v>58</v>
      </c>
      <c r="M597" s="2">
        <v>5.6664611551722012E-2</v>
      </c>
      <c r="N597" s="2">
        <v>2.02958822754385E-2</v>
      </c>
      <c r="O597" s="2">
        <v>3.6368729276283512E-2</v>
      </c>
      <c r="P597" s="2">
        <v>4.2322344144890094</v>
      </c>
      <c r="R597" t="str">
        <f t="shared" si="27"/>
        <v>yes</v>
      </c>
      <c r="S597" t="str">
        <f t="shared" si="28"/>
        <v>no</v>
      </c>
      <c r="T5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7" s="2" t="b">
        <f t="shared" si="29"/>
        <v>1</v>
      </c>
      <c r="V597" s="2">
        <f>IF(Table4[[#This Row],[linear?]],Table4[[#This Row],[av]],10^(Table4[[#This Row],[av]]/10))</f>
        <v>3.8480246913580249E-2</v>
      </c>
      <c r="W597" s="2">
        <f>IF(Table4[[#This Row],[linear?]],Table4[[#This Row],[av]],10^(Table4[[#This Row],[av]]/10))</f>
        <v>3.8480246913580249E-2</v>
      </c>
      <c r="X597" s="2">
        <f>Table4[[#This Row],[av_lin]]-2*Table4[[#This Row],[std_lin]]</f>
        <v>-3.8480246913580249E-2</v>
      </c>
      <c r="Y597" s="2">
        <f>Table4[[#This Row],[av_lin]]+2*Table4[[#This Row],[std_lin]]</f>
        <v>0.11544074074074075</v>
      </c>
    </row>
    <row r="598" spans="1:25" x14ac:dyDescent="0.35">
      <c r="A598" s="1">
        <v>691</v>
      </c>
      <c r="B598" t="s">
        <v>75</v>
      </c>
      <c r="C598" t="s">
        <v>549</v>
      </c>
      <c r="D598" t="s">
        <v>670</v>
      </c>
      <c r="E598" s="2">
        <v>3.4513456790123458E-2</v>
      </c>
      <c r="F598" s="2">
        <v>1.2276012979763549E-2</v>
      </c>
      <c r="G598">
        <v>27</v>
      </c>
      <c r="H598" t="s">
        <v>58</v>
      </c>
      <c r="M598" s="2">
        <v>5.9065482749650552E-2</v>
      </c>
      <c r="N598" s="2">
        <v>9.9614308305963593E-3</v>
      </c>
      <c r="O598" s="2">
        <v>4.910405191905419E-2</v>
      </c>
      <c r="P598" s="2">
        <v>2.8114548955770351</v>
      </c>
      <c r="R598" t="str">
        <f t="shared" si="27"/>
        <v>yes</v>
      </c>
      <c r="S598" t="str">
        <f t="shared" si="28"/>
        <v>no</v>
      </c>
      <c r="T5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8" s="2" t="b">
        <f t="shared" si="29"/>
        <v>1</v>
      </c>
      <c r="V598" s="2">
        <f>IF(Table4[[#This Row],[linear?]],Table4[[#This Row],[av]],10^(Table4[[#This Row],[av]]/10))</f>
        <v>3.4513456790123458E-2</v>
      </c>
      <c r="W598" s="2">
        <f>IF(Table4[[#This Row],[linear?]],Table4[[#This Row],[av]],10^(Table4[[#This Row],[av]]/10))</f>
        <v>3.4513456790123458E-2</v>
      </c>
      <c r="X598" s="2">
        <f>Table4[[#This Row],[av_lin]]-2*Table4[[#This Row],[std_lin]]</f>
        <v>-3.4513456790123458E-2</v>
      </c>
      <c r="Y598" s="2">
        <f>Table4[[#This Row],[av_lin]]+2*Table4[[#This Row],[std_lin]]</f>
        <v>0.10354037037037037</v>
      </c>
    </row>
    <row r="599" spans="1:25" x14ac:dyDescent="0.35">
      <c r="A599" s="1">
        <v>692</v>
      </c>
      <c r="B599" t="s">
        <v>75</v>
      </c>
      <c r="C599" t="s">
        <v>549</v>
      </c>
      <c r="D599" t="s">
        <v>671</v>
      </c>
      <c r="E599" s="2">
        <v>7.5673580246913577E-2</v>
      </c>
      <c r="F599" s="2">
        <v>5.7492927718309928E-3</v>
      </c>
      <c r="G599">
        <v>27</v>
      </c>
      <c r="H599" t="s">
        <v>58</v>
      </c>
      <c r="M599" s="2">
        <v>8.7172165790575559E-2</v>
      </c>
      <c r="N599" s="2">
        <v>6.4174994703251595E-2</v>
      </c>
      <c r="O599" s="2">
        <v>2.2997171087323961E-2</v>
      </c>
      <c r="P599" s="2">
        <v>13.16224155737569</v>
      </c>
      <c r="R599" t="str">
        <f t="shared" si="27"/>
        <v>yes</v>
      </c>
      <c r="S599" t="str">
        <f t="shared" si="28"/>
        <v>no</v>
      </c>
      <c r="T5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9" s="2" t="b">
        <f t="shared" si="29"/>
        <v>1</v>
      </c>
      <c r="V599" s="2">
        <f>IF(Table4[[#This Row],[linear?]],Table4[[#This Row],[av]],10^(Table4[[#This Row],[av]]/10))</f>
        <v>7.5673580246913577E-2</v>
      </c>
      <c r="W599" s="2">
        <f>IF(Table4[[#This Row],[linear?]],Table4[[#This Row],[av]],10^(Table4[[#This Row],[av]]/10))</f>
        <v>7.5673580246913577E-2</v>
      </c>
      <c r="X599" s="2">
        <f>Table4[[#This Row],[av_lin]]-2*Table4[[#This Row],[std_lin]]</f>
        <v>-7.5673580246913577E-2</v>
      </c>
      <c r="Y599" s="2">
        <f>Table4[[#This Row],[av_lin]]+2*Table4[[#This Row],[std_lin]]</f>
        <v>0.22702074074074075</v>
      </c>
    </row>
    <row r="600" spans="1:25" x14ac:dyDescent="0.35">
      <c r="A600" s="1">
        <v>694</v>
      </c>
      <c r="B600" t="s">
        <v>75</v>
      </c>
      <c r="C600" t="s">
        <v>549</v>
      </c>
      <c r="D600" t="s">
        <v>673</v>
      </c>
      <c r="E600" s="2">
        <v>4.1895432098765437E-2</v>
      </c>
      <c r="F600" s="2">
        <v>3.4767125226853272E-3</v>
      </c>
      <c r="G600">
        <v>27</v>
      </c>
      <c r="H600" t="s">
        <v>58</v>
      </c>
      <c r="M600" s="2">
        <v>4.8848857144136087E-2</v>
      </c>
      <c r="N600" s="2">
        <v>3.4942007053394793E-2</v>
      </c>
      <c r="O600" s="2">
        <v>1.39068500907413E-2</v>
      </c>
      <c r="P600" s="2">
        <v>12.050300916570009</v>
      </c>
      <c r="R600" t="str">
        <f t="shared" si="27"/>
        <v>yes</v>
      </c>
      <c r="S600" t="str">
        <f t="shared" si="28"/>
        <v>no</v>
      </c>
      <c r="T6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0" s="2" t="b">
        <f t="shared" si="29"/>
        <v>1</v>
      </c>
      <c r="V600" s="2">
        <f>IF(Table4[[#This Row],[linear?]],Table4[[#This Row],[av]],10^(Table4[[#This Row],[av]]/10))</f>
        <v>4.1895432098765437E-2</v>
      </c>
      <c r="W600" s="2">
        <f>IF(Table4[[#This Row],[linear?]],Table4[[#This Row],[av]],10^(Table4[[#This Row],[av]]/10))</f>
        <v>4.1895432098765437E-2</v>
      </c>
      <c r="X600" s="2">
        <f>Table4[[#This Row],[av_lin]]-2*Table4[[#This Row],[std_lin]]</f>
        <v>-4.1895432098765437E-2</v>
      </c>
      <c r="Y600" s="2">
        <f>Table4[[#This Row],[av_lin]]+2*Table4[[#This Row],[std_lin]]</f>
        <v>0.1256862962962963</v>
      </c>
    </row>
    <row r="601" spans="1:25" x14ac:dyDescent="0.35">
      <c r="A601" s="1">
        <v>695</v>
      </c>
      <c r="B601" t="s">
        <v>75</v>
      </c>
      <c r="C601" t="s">
        <v>549</v>
      </c>
      <c r="D601" t="s">
        <v>674</v>
      </c>
      <c r="E601" s="2">
        <v>4.3353580246913583E-2</v>
      </c>
      <c r="F601" s="2">
        <v>8.1030830369622567E-3</v>
      </c>
      <c r="G601">
        <v>27</v>
      </c>
      <c r="H601" t="s">
        <v>58</v>
      </c>
      <c r="M601" s="2">
        <v>5.9559746320838103E-2</v>
      </c>
      <c r="N601" s="2">
        <v>2.7147414172989069E-2</v>
      </c>
      <c r="O601" s="2">
        <v>3.2412332147849027E-2</v>
      </c>
      <c r="P601" s="2">
        <v>5.350257432776635</v>
      </c>
      <c r="R601" t="str">
        <f t="shared" si="27"/>
        <v>yes</v>
      </c>
      <c r="S601" t="str">
        <f t="shared" si="28"/>
        <v>no</v>
      </c>
      <c r="T6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1" s="2" t="b">
        <f t="shared" si="29"/>
        <v>1</v>
      </c>
      <c r="V601" s="2">
        <f>IF(Table4[[#This Row],[linear?]],Table4[[#This Row],[av]],10^(Table4[[#This Row],[av]]/10))</f>
        <v>4.3353580246913583E-2</v>
      </c>
      <c r="W601" s="2">
        <f>IF(Table4[[#This Row],[linear?]],Table4[[#This Row],[av]],10^(Table4[[#This Row],[av]]/10))</f>
        <v>4.3353580246913583E-2</v>
      </c>
      <c r="X601" s="2">
        <f>Table4[[#This Row],[av_lin]]-2*Table4[[#This Row],[std_lin]]</f>
        <v>-4.3353580246913583E-2</v>
      </c>
      <c r="Y601" s="2">
        <f>Table4[[#This Row],[av_lin]]+2*Table4[[#This Row],[std_lin]]</f>
        <v>0.13006074074074075</v>
      </c>
    </row>
    <row r="602" spans="1:25" x14ac:dyDescent="0.35">
      <c r="A602" s="1">
        <v>696</v>
      </c>
      <c r="B602" t="s">
        <v>75</v>
      </c>
      <c r="C602" t="s">
        <v>549</v>
      </c>
      <c r="D602" t="s">
        <v>675</v>
      </c>
      <c r="E602" s="2">
        <v>4.2378518518518517E-2</v>
      </c>
      <c r="F602" s="2">
        <v>7.3898619626726709E-3</v>
      </c>
      <c r="G602">
        <v>27</v>
      </c>
      <c r="H602" t="s">
        <v>58</v>
      </c>
      <c r="M602" s="2">
        <v>5.715824244386386E-2</v>
      </c>
      <c r="N602" s="2">
        <v>2.759879459317317E-2</v>
      </c>
      <c r="O602" s="2">
        <v>2.9559447850690691E-2</v>
      </c>
      <c r="P602" s="2">
        <v>5.7346833719735129</v>
      </c>
      <c r="R602" t="str">
        <f t="shared" si="27"/>
        <v>yes</v>
      </c>
      <c r="S602" t="str">
        <f t="shared" si="28"/>
        <v>no</v>
      </c>
      <c r="T6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2" s="2" t="b">
        <f t="shared" si="29"/>
        <v>1</v>
      </c>
      <c r="V602" s="2">
        <f>IF(Table4[[#This Row],[linear?]],Table4[[#This Row],[av]],10^(Table4[[#This Row],[av]]/10))</f>
        <v>4.2378518518518517E-2</v>
      </c>
      <c r="W602" s="2">
        <f>IF(Table4[[#This Row],[linear?]],Table4[[#This Row],[av]],10^(Table4[[#This Row],[av]]/10))</f>
        <v>4.2378518518518517E-2</v>
      </c>
      <c r="X602" s="2">
        <f>Table4[[#This Row],[av_lin]]-2*Table4[[#This Row],[std_lin]]</f>
        <v>-4.2378518518518517E-2</v>
      </c>
      <c r="Y602" s="2">
        <f>Table4[[#This Row],[av_lin]]+2*Table4[[#This Row],[std_lin]]</f>
        <v>0.12713555555555556</v>
      </c>
    </row>
    <row r="603" spans="1:25" x14ac:dyDescent="0.35">
      <c r="A603" s="1">
        <v>698</v>
      </c>
      <c r="B603" t="s">
        <v>75</v>
      </c>
      <c r="C603" t="s">
        <v>549</v>
      </c>
      <c r="D603" t="s">
        <v>677</v>
      </c>
      <c r="E603" s="2">
        <v>3.6676543209876553E-2</v>
      </c>
      <c r="F603" s="2">
        <v>6.928925507550034E-3</v>
      </c>
      <c r="G603">
        <v>27</v>
      </c>
      <c r="H603" t="s">
        <v>58</v>
      </c>
      <c r="M603" s="2">
        <v>5.0534394224976617E-2</v>
      </c>
      <c r="N603" s="2">
        <v>2.2818692194776481E-2</v>
      </c>
      <c r="O603" s="2">
        <v>2.7715702030200129E-2</v>
      </c>
      <c r="P603" s="2">
        <v>5.2932511931196728</v>
      </c>
      <c r="R603" t="str">
        <f t="shared" si="27"/>
        <v>yes</v>
      </c>
      <c r="S603" t="str">
        <f t="shared" si="28"/>
        <v>no</v>
      </c>
      <c r="T6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3" s="2" t="b">
        <f t="shared" si="29"/>
        <v>1</v>
      </c>
      <c r="V603" s="2">
        <f>IF(Table4[[#This Row],[linear?]],Table4[[#This Row],[av]],10^(Table4[[#This Row],[av]]/10))</f>
        <v>3.6676543209876553E-2</v>
      </c>
      <c r="W603" s="2">
        <f>IF(Table4[[#This Row],[linear?]],Table4[[#This Row],[av]],10^(Table4[[#This Row],[av]]/10))</f>
        <v>3.6676543209876553E-2</v>
      </c>
      <c r="X603" s="2">
        <f>Table4[[#This Row],[av_lin]]-2*Table4[[#This Row],[std_lin]]</f>
        <v>-3.6676543209876553E-2</v>
      </c>
      <c r="Y603" s="2">
        <f>Table4[[#This Row],[av_lin]]+2*Table4[[#This Row],[std_lin]]</f>
        <v>0.11002962962962966</v>
      </c>
    </row>
    <row r="604" spans="1:25" x14ac:dyDescent="0.35">
      <c r="A604" s="1">
        <v>699</v>
      </c>
      <c r="B604" t="s">
        <v>75</v>
      </c>
      <c r="C604" t="s">
        <v>549</v>
      </c>
      <c r="D604" t="s">
        <v>678</v>
      </c>
      <c r="E604" s="2">
        <v>3.0221481481481471E-2</v>
      </c>
      <c r="F604" s="2">
        <v>6.2069519665217086E-3</v>
      </c>
      <c r="G604">
        <v>27</v>
      </c>
      <c r="H604" t="s">
        <v>58</v>
      </c>
      <c r="M604" s="2">
        <v>4.2635385414524878E-2</v>
      </c>
      <c r="N604" s="2">
        <v>1.780757754843805E-2</v>
      </c>
      <c r="O604" s="2">
        <v>2.4827807866086831E-2</v>
      </c>
      <c r="P604" s="2">
        <v>4.868972991008528</v>
      </c>
      <c r="R604" t="str">
        <f t="shared" si="27"/>
        <v>yes</v>
      </c>
      <c r="S604" t="str">
        <f t="shared" si="28"/>
        <v>no</v>
      </c>
      <c r="T6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4" s="2" t="b">
        <f t="shared" si="29"/>
        <v>1</v>
      </c>
      <c r="V604" s="2">
        <f>IF(Table4[[#This Row],[linear?]],Table4[[#This Row],[av]],10^(Table4[[#This Row],[av]]/10))</f>
        <v>3.0221481481481471E-2</v>
      </c>
      <c r="W604" s="2">
        <f>IF(Table4[[#This Row],[linear?]],Table4[[#This Row],[av]],10^(Table4[[#This Row],[av]]/10))</f>
        <v>3.0221481481481471E-2</v>
      </c>
      <c r="X604" s="2">
        <f>Table4[[#This Row],[av_lin]]-2*Table4[[#This Row],[std_lin]]</f>
        <v>-3.0221481481481471E-2</v>
      </c>
      <c r="Y604" s="2">
        <f>Table4[[#This Row],[av_lin]]+2*Table4[[#This Row],[std_lin]]</f>
        <v>9.0664444444444409E-2</v>
      </c>
    </row>
    <row r="605" spans="1:25" x14ac:dyDescent="0.35">
      <c r="A605" s="1">
        <v>700</v>
      </c>
      <c r="B605" t="s">
        <v>75</v>
      </c>
      <c r="C605" t="s">
        <v>549</v>
      </c>
      <c r="D605" t="s">
        <v>679</v>
      </c>
      <c r="E605" s="2">
        <v>3.16941975308642E-2</v>
      </c>
      <c r="F605" s="2">
        <v>7.564449158785202E-3</v>
      </c>
      <c r="G605">
        <v>27</v>
      </c>
      <c r="H605" t="s">
        <v>58</v>
      </c>
      <c r="M605" s="2">
        <v>4.6823095848434602E-2</v>
      </c>
      <c r="N605" s="2">
        <v>1.6565299213293801E-2</v>
      </c>
      <c r="O605" s="2">
        <v>3.0257796635140801E-2</v>
      </c>
      <c r="P605" s="2">
        <v>4.1898883666968896</v>
      </c>
      <c r="R605" t="str">
        <f t="shared" si="27"/>
        <v>yes</v>
      </c>
      <c r="S605" t="str">
        <f t="shared" si="28"/>
        <v>no</v>
      </c>
      <c r="T6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5" s="2" t="b">
        <f t="shared" si="29"/>
        <v>1</v>
      </c>
      <c r="V605" s="2">
        <f>IF(Table4[[#This Row],[linear?]],Table4[[#This Row],[av]],10^(Table4[[#This Row],[av]]/10))</f>
        <v>3.16941975308642E-2</v>
      </c>
      <c r="W605" s="2">
        <f>IF(Table4[[#This Row],[linear?]],Table4[[#This Row],[av]],10^(Table4[[#This Row],[av]]/10))</f>
        <v>3.16941975308642E-2</v>
      </c>
      <c r="X605" s="2">
        <f>Table4[[#This Row],[av_lin]]-2*Table4[[#This Row],[std_lin]]</f>
        <v>-3.16941975308642E-2</v>
      </c>
      <c r="Y605" s="2">
        <f>Table4[[#This Row],[av_lin]]+2*Table4[[#This Row],[std_lin]]</f>
        <v>9.5082592592592607E-2</v>
      </c>
    </row>
    <row r="606" spans="1:25" x14ac:dyDescent="0.35">
      <c r="A606" s="1">
        <v>701</v>
      </c>
      <c r="B606" t="s">
        <v>75</v>
      </c>
      <c r="C606" t="s">
        <v>549</v>
      </c>
      <c r="D606" t="s">
        <v>680</v>
      </c>
      <c r="E606" s="2">
        <v>7.6740000000000003E-2</v>
      </c>
      <c r="F606" s="2">
        <v>6.1425409091012432E-3</v>
      </c>
      <c r="G606">
        <v>27</v>
      </c>
      <c r="H606" t="s">
        <v>58</v>
      </c>
      <c r="M606" s="2">
        <v>8.9025081818202484E-2</v>
      </c>
      <c r="N606" s="2">
        <v>6.4454918181797521E-2</v>
      </c>
      <c r="O606" s="2">
        <v>2.4570163636404959E-2</v>
      </c>
      <c r="P606" s="2">
        <v>12.493201288459691</v>
      </c>
      <c r="R606" t="str">
        <f t="shared" si="27"/>
        <v>yes</v>
      </c>
      <c r="S606" t="str">
        <f t="shared" si="28"/>
        <v>no</v>
      </c>
      <c r="T6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6" s="2" t="b">
        <f t="shared" si="29"/>
        <v>1</v>
      </c>
      <c r="V606" s="2">
        <f>IF(Table4[[#This Row],[linear?]],Table4[[#This Row],[av]],10^(Table4[[#This Row],[av]]/10))</f>
        <v>7.6740000000000003E-2</v>
      </c>
      <c r="W606" s="2">
        <f>IF(Table4[[#This Row],[linear?]],Table4[[#This Row],[av]],10^(Table4[[#This Row],[av]]/10))</f>
        <v>7.6740000000000003E-2</v>
      </c>
      <c r="X606" s="2">
        <f>Table4[[#This Row],[av_lin]]-2*Table4[[#This Row],[std_lin]]</f>
        <v>-7.6740000000000003E-2</v>
      </c>
      <c r="Y606" s="2">
        <f>Table4[[#This Row],[av_lin]]+2*Table4[[#This Row],[std_lin]]</f>
        <v>0.23022000000000001</v>
      </c>
    </row>
    <row r="607" spans="1:25" x14ac:dyDescent="0.35">
      <c r="A607" s="1">
        <v>703</v>
      </c>
      <c r="B607" t="s">
        <v>75</v>
      </c>
      <c r="C607" t="s">
        <v>549</v>
      </c>
      <c r="D607" t="s">
        <v>682</v>
      </c>
      <c r="E607" s="2">
        <v>4.5996296296296299E-2</v>
      </c>
      <c r="F607" s="2">
        <v>1.4652867089416729E-2</v>
      </c>
      <c r="G607">
        <v>27</v>
      </c>
      <c r="H607" t="s">
        <v>58</v>
      </c>
      <c r="M607" s="2">
        <v>7.5302030475129761E-2</v>
      </c>
      <c r="N607" s="2">
        <v>1.6690562117462841E-2</v>
      </c>
      <c r="O607" s="2">
        <v>5.8611468357666917E-2</v>
      </c>
      <c r="P607" s="2">
        <v>3.1390645950455571</v>
      </c>
      <c r="R607" t="str">
        <f t="shared" si="27"/>
        <v>yes</v>
      </c>
      <c r="S607" t="str">
        <f t="shared" si="28"/>
        <v>no</v>
      </c>
      <c r="T6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7" s="2" t="b">
        <f t="shared" si="29"/>
        <v>1</v>
      </c>
      <c r="V607" s="2">
        <f>IF(Table4[[#This Row],[linear?]],Table4[[#This Row],[av]],10^(Table4[[#This Row],[av]]/10))</f>
        <v>4.5996296296296299E-2</v>
      </c>
      <c r="W607" s="2">
        <f>IF(Table4[[#This Row],[linear?]],Table4[[#This Row],[av]],10^(Table4[[#This Row],[av]]/10))</f>
        <v>4.5996296296296299E-2</v>
      </c>
      <c r="X607" s="2">
        <f>Table4[[#This Row],[av_lin]]-2*Table4[[#This Row],[std_lin]]</f>
        <v>-4.5996296296296299E-2</v>
      </c>
      <c r="Y607" s="2">
        <f>Table4[[#This Row],[av_lin]]+2*Table4[[#This Row],[std_lin]]</f>
        <v>0.13798888888888888</v>
      </c>
    </row>
    <row r="608" spans="1:25" x14ac:dyDescent="0.35">
      <c r="A608" s="1">
        <v>704</v>
      </c>
      <c r="B608" t="s">
        <v>75</v>
      </c>
      <c r="C608" t="s">
        <v>549</v>
      </c>
      <c r="D608" t="s">
        <v>683</v>
      </c>
      <c r="E608" s="2">
        <v>4.5701358024691358E-2</v>
      </c>
      <c r="F608" s="2">
        <v>8.313547449516949E-3</v>
      </c>
      <c r="G608">
        <v>27</v>
      </c>
      <c r="H608" t="s">
        <v>58</v>
      </c>
      <c r="M608" s="2">
        <v>6.2328452923725262E-2</v>
      </c>
      <c r="N608" s="2">
        <v>2.907426312565746E-2</v>
      </c>
      <c r="O608" s="2">
        <v>3.3254189798067803E-2</v>
      </c>
      <c r="P608" s="2">
        <v>5.4972150339199413</v>
      </c>
      <c r="R608" t="str">
        <f t="shared" si="27"/>
        <v>yes</v>
      </c>
      <c r="S608" t="str">
        <f t="shared" si="28"/>
        <v>no</v>
      </c>
      <c r="T6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8" s="2" t="b">
        <f t="shared" si="29"/>
        <v>1</v>
      </c>
      <c r="V608" s="2">
        <f>IF(Table4[[#This Row],[linear?]],Table4[[#This Row],[av]],10^(Table4[[#This Row],[av]]/10))</f>
        <v>4.5701358024691358E-2</v>
      </c>
      <c r="W608" s="2">
        <f>IF(Table4[[#This Row],[linear?]],Table4[[#This Row],[av]],10^(Table4[[#This Row],[av]]/10))</f>
        <v>4.5701358024691358E-2</v>
      </c>
      <c r="X608" s="2">
        <f>Table4[[#This Row],[av_lin]]-2*Table4[[#This Row],[std_lin]]</f>
        <v>-4.5701358024691358E-2</v>
      </c>
      <c r="Y608" s="2">
        <f>Table4[[#This Row],[av_lin]]+2*Table4[[#This Row],[std_lin]]</f>
        <v>0.13710407407407407</v>
      </c>
    </row>
    <row r="609" spans="1:25" x14ac:dyDescent="0.35">
      <c r="A609" s="1">
        <v>705</v>
      </c>
      <c r="B609" t="s">
        <v>75</v>
      </c>
      <c r="C609" t="s">
        <v>549</v>
      </c>
      <c r="D609" t="s">
        <v>684</v>
      </c>
      <c r="E609" s="2">
        <v>4.4570000000000012E-2</v>
      </c>
      <c r="F609" s="2">
        <v>9.1494608245514027E-3</v>
      </c>
      <c r="G609">
        <v>27</v>
      </c>
      <c r="H609" t="s">
        <v>58</v>
      </c>
      <c r="M609" s="2">
        <v>6.2868921649102821E-2</v>
      </c>
      <c r="N609" s="2">
        <v>2.627107835089721E-2</v>
      </c>
      <c r="O609" s="2">
        <v>3.6597843298205618E-2</v>
      </c>
      <c r="P609" s="2">
        <v>4.8713253004376096</v>
      </c>
      <c r="R609" t="str">
        <f t="shared" si="27"/>
        <v>yes</v>
      </c>
      <c r="S609" t="str">
        <f t="shared" si="28"/>
        <v>no</v>
      </c>
      <c r="T6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9" s="2" t="b">
        <f t="shared" si="29"/>
        <v>1</v>
      </c>
      <c r="V609" s="2">
        <f>IF(Table4[[#This Row],[linear?]],Table4[[#This Row],[av]],10^(Table4[[#This Row],[av]]/10))</f>
        <v>4.4570000000000012E-2</v>
      </c>
      <c r="W609" s="2">
        <f>IF(Table4[[#This Row],[linear?]],Table4[[#This Row],[av]],10^(Table4[[#This Row],[av]]/10))</f>
        <v>4.4570000000000012E-2</v>
      </c>
      <c r="X609" s="2">
        <f>Table4[[#This Row],[av_lin]]-2*Table4[[#This Row],[std_lin]]</f>
        <v>-4.4570000000000012E-2</v>
      </c>
      <c r="Y609" s="2">
        <f>Table4[[#This Row],[av_lin]]+2*Table4[[#This Row],[std_lin]]</f>
        <v>0.13371000000000005</v>
      </c>
    </row>
    <row r="610" spans="1:25" x14ac:dyDescent="0.35">
      <c r="A610" s="1">
        <v>706</v>
      </c>
      <c r="B610" t="s">
        <v>75</v>
      </c>
      <c r="C610" t="s">
        <v>549</v>
      </c>
      <c r="D610" t="s">
        <v>685</v>
      </c>
      <c r="E610" s="2">
        <v>5.1253086419753091E-3</v>
      </c>
      <c r="F610" s="2">
        <v>1.9794602160301922E-3</v>
      </c>
      <c r="G610">
        <v>27</v>
      </c>
      <c r="H610" t="s">
        <v>58</v>
      </c>
      <c r="M610" s="2">
        <v>9.0842290740356935E-3</v>
      </c>
      <c r="N610" s="2">
        <v>1.166388209914925E-3</v>
      </c>
      <c r="O610" s="2">
        <v>7.9178408641207686E-3</v>
      </c>
      <c r="P610" s="2">
        <v>2.5892455935558618</v>
      </c>
      <c r="R610" t="str">
        <f t="shared" si="27"/>
        <v>yes</v>
      </c>
      <c r="S610" t="str">
        <f t="shared" si="28"/>
        <v>no</v>
      </c>
      <c r="T6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0" s="2" t="b">
        <f t="shared" si="29"/>
        <v>1</v>
      </c>
      <c r="V610" s="2">
        <f>IF(Table4[[#This Row],[linear?]],Table4[[#This Row],[av]],10^(Table4[[#This Row],[av]]/10))</f>
        <v>5.1253086419753091E-3</v>
      </c>
      <c r="W610" s="2">
        <f>IF(Table4[[#This Row],[linear?]],Table4[[#This Row],[av]],10^(Table4[[#This Row],[av]]/10))</f>
        <v>5.1253086419753091E-3</v>
      </c>
      <c r="X610" s="2">
        <f>Table4[[#This Row],[av_lin]]-2*Table4[[#This Row],[std_lin]]</f>
        <v>-5.1253086419753091E-3</v>
      </c>
      <c r="Y610" s="2">
        <f>Table4[[#This Row],[av_lin]]+2*Table4[[#This Row],[std_lin]]</f>
        <v>1.5375925925925928E-2</v>
      </c>
    </row>
    <row r="611" spans="1:25" x14ac:dyDescent="0.35">
      <c r="A611" s="1">
        <v>708</v>
      </c>
      <c r="B611" t="s">
        <v>75</v>
      </c>
      <c r="C611" t="s">
        <v>549</v>
      </c>
      <c r="D611" t="s">
        <v>687</v>
      </c>
      <c r="E611" s="2">
        <v>2.4820987654320999E-3</v>
      </c>
      <c r="F611" s="2">
        <v>1.2193586006268809E-3</v>
      </c>
      <c r="G611">
        <v>27</v>
      </c>
      <c r="H611" t="s">
        <v>58</v>
      </c>
      <c r="M611" s="2">
        <v>4.9208159666858618E-3</v>
      </c>
      <c r="N611" s="2">
        <v>4.338156417833805E-5</v>
      </c>
      <c r="O611" s="2">
        <v>4.8774344025075238E-3</v>
      </c>
      <c r="P611" s="2">
        <v>2.0355773635057282</v>
      </c>
      <c r="R611" t="str">
        <f t="shared" si="27"/>
        <v>yes</v>
      </c>
      <c r="S611" t="str">
        <f t="shared" si="28"/>
        <v>no</v>
      </c>
      <c r="T6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1" s="2" t="b">
        <f t="shared" si="29"/>
        <v>1</v>
      </c>
      <c r="V611" s="2">
        <f>IF(Table4[[#This Row],[linear?]],Table4[[#This Row],[av]],10^(Table4[[#This Row],[av]]/10))</f>
        <v>2.4820987654320999E-3</v>
      </c>
      <c r="W611" s="2">
        <f>IF(Table4[[#This Row],[linear?]],Table4[[#This Row],[av]],10^(Table4[[#This Row],[av]]/10))</f>
        <v>2.4820987654320999E-3</v>
      </c>
      <c r="X611" s="2">
        <f>Table4[[#This Row],[av_lin]]-2*Table4[[#This Row],[std_lin]]</f>
        <v>-2.4820987654320999E-3</v>
      </c>
      <c r="Y611" s="2">
        <f>Table4[[#This Row],[av_lin]]+2*Table4[[#This Row],[std_lin]]</f>
        <v>7.4462962962962998E-3</v>
      </c>
    </row>
    <row r="612" spans="1:25" x14ac:dyDescent="0.35">
      <c r="A612" s="1">
        <v>710</v>
      </c>
      <c r="B612" t="s">
        <v>75</v>
      </c>
      <c r="C612" t="s">
        <v>549</v>
      </c>
      <c r="D612" t="s">
        <v>689</v>
      </c>
      <c r="E612" s="2">
        <v>2.100765432098765E-2</v>
      </c>
      <c r="F612" s="2">
        <v>2.79485085550104E-3</v>
      </c>
      <c r="G612">
        <v>27</v>
      </c>
      <c r="H612" t="s">
        <v>58</v>
      </c>
      <c r="M612" s="2">
        <v>2.6597356031989729E-2</v>
      </c>
      <c r="N612" s="2">
        <v>1.5417952609985569E-2</v>
      </c>
      <c r="O612" s="2">
        <v>1.117940342200416E-2</v>
      </c>
      <c r="P612" s="2">
        <v>7.516556484450243</v>
      </c>
      <c r="R612" t="str">
        <f t="shared" si="27"/>
        <v>yes</v>
      </c>
      <c r="S612" t="str">
        <f t="shared" si="28"/>
        <v>no</v>
      </c>
      <c r="T6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2" s="2" t="b">
        <f t="shared" si="29"/>
        <v>1</v>
      </c>
      <c r="V612" s="2">
        <f>IF(Table4[[#This Row],[linear?]],Table4[[#This Row],[av]],10^(Table4[[#This Row],[av]]/10))</f>
        <v>2.100765432098765E-2</v>
      </c>
      <c r="W612" s="2">
        <f>IF(Table4[[#This Row],[linear?]],Table4[[#This Row],[av]],10^(Table4[[#This Row],[av]]/10))</f>
        <v>2.100765432098765E-2</v>
      </c>
      <c r="X612" s="2">
        <f>Table4[[#This Row],[av_lin]]-2*Table4[[#This Row],[std_lin]]</f>
        <v>-2.100765432098765E-2</v>
      </c>
      <c r="Y612" s="2">
        <f>Table4[[#This Row],[av_lin]]+2*Table4[[#This Row],[std_lin]]</f>
        <v>6.3022962962962947E-2</v>
      </c>
    </row>
    <row r="613" spans="1:25" x14ac:dyDescent="0.35">
      <c r="A613" s="1">
        <v>712</v>
      </c>
      <c r="B613" t="s">
        <v>75</v>
      </c>
      <c r="C613" t="s">
        <v>549</v>
      </c>
      <c r="D613" t="s">
        <v>691</v>
      </c>
      <c r="E613" s="2">
        <v>2.4632098765432109E-3</v>
      </c>
      <c r="F613" s="2">
        <v>1.0697377305398689E-3</v>
      </c>
      <c r="G613">
        <v>27</v>
      </c>
      <c r="H613" t="s">
        <v>58</v>
      </c>
      <c r="M613" s="2">
        <v>4.6026853376229492E-3</v>
      </c>
      <c r="N613" s="2">
        <v>3.2373441546347309E-4</v>
      </c>
      <c r="O613" s="2">
        <v>4.2789509221594756E-3</v>
      </c>
      <c r="P613" s="2">
        <v>2.3026297065357251</v>
      </c>
      <c r="R613" t="str">
        <f t="shared" si="27"/>
        <v>yes</v>
      </c>
      <c r="S613" t="str">
        <f t="shared" si="28"/>
        <v>no</v>
      </c>
      <c r="T6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3" s="2" t="b">
        <f t="shared" si="29"/>
        <v>1</v>
      </c>
      <c r="V613" s="2">
        <f>IF(Table4[[#This Row],[linear?]],Table4[[#This Row],[av]],10^(Table4[[#This Row],[av]]/10))</f>
        <v>2.4632098765432109E-3</v>
      </c>
      <c r="W613" s="2">
        <f>IF(Table4[[#This Row],[linear?]],Table4[[#This Row],[av]],10^(Table4[[#This Row],[av]]/10))</f>
        <v>2.4632098765432109E-3</v>
      </c>
      <c r="X613" s="2">
        <f>Table4[[#This Row],[av_lin]]-2*Table4[[#This Row],[std_lin]]</f>
        <v>-2.4632098765432109E-3</v>
      </c>
      <c r="Y613" s="2">
        <f>Table4[[#This Row],[av_lin]]+2*Table4[[#This Row],[std_lin]]</f>
        <v>7.3896296296296331E-3</v>
      </c>
    </row>
    <row r="614" spans="1:25" x14ac:dyDescent="0.35">
      <c r="A614" s="1">
        <v>714</v>
      </c>
      <c r="B614" t="s">
        <v>75</v>
      </c>
      <c r="C614" t="s">
        <v>549</v>
      </c>
      <c r="D614" t="s">
        <v>693</v>
      </c>
      <c r="E614" s="2">
        <v>1.737037037037038E-3</v>
      </c>
      <c r="F614" s="2">
        <v>1.345623946890433E-3</v>
      </c>
      <c r="G614">
        <v>27</v>
      </c>
      <c r="H614" t="s">
        <v>58</v>
      </c>
      <c r="M614" s="2">
        <v>4.4282849308179039E-3</v>
      </c>
      <c r="N614" s="2">
        <v>-9.5421085674382805E-4</v>
      </c>
      <c r="O614" s="2">
        <v>5.3824957875617321E-3</v>
      </c>
      <c r="P614" s="2">
        <v>1.2908785110811321</v>
      </c>
      <c r="R614" t="str">
        <f t="shared" si="27"/>
        <v>yes</v>
      </c>
      <c r="S614" t="str">
        <f t="shared" si="28"/>
        <v>no</v>
      </c>
      <c r="T6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4" s="2" t="b">
        <f t="shared" si="29"/>
        <v>1</v>
      </c>
      <c r="V614" s="2">
        <f>IF(Table4[[#This Row],[linear?]],Table4[[#This Row],[av]],10^(Table4[[#This Row],[av]]/10))</f>
        <v>1.737037037037038E-3</v>
      </c>
      <c r="W614" s="2">
        <f>IF(Table4[[#This Row],[linear?]],Table4[[#This Row],[av]],10^(Table4[[#This Row],[av]]/10))</f>
        <v>1.737037037037038E-3</v>
      </c>
      <c r="X614" s="2">
        <f>Table4[[#This Row],[av_lin]]-2*Table4[[#This Row],[std_lin]]</f>
        <v>-1.737037037037038E-3</v>
      </c>
      <c r="Y614" s="2">
        <f>Table4[[#This Row],[av_lin]]+2*Table4[[#This Row],[std_lin]]</f>
        <v>5.2111111111111143E-3</v>
      </c>
    </row>
    <row r="615" spans="1:25" x14ac:dyDescent="0.35">
      <c r="A615" s="1">
        <v>716</v>
      </c>
      <c r="B615" t="s">
        <v>75</v>
      </c>
      <c r="C615" t="s">
        <v>549</v>
      </c>
      <c r="D615" t="s">
        <v>695</v>
      </c>
      <c r="E615" s="2">
        <v>2.2375432098765431E-2</v>
      </c>
      <c r="F615" s="2">
        <v>2.9466360448889332E-3</v>
      </c>
      <c r="G615">
        <v>27</v>
      </c>
      <c r="H615" t="s">
        <v>58</v>
      </c>
      <c r="M615" s="2">
        <v>2.8268704188543301E-2</v>
      </c>
      <c r="N615" s="2">
        <v>1.648216000898756E-2</v>
      </c>
      <c r="O615" s="2">
        <v>1.1786544179555729E-2</v>
      </c>
      <c r="P615" s="2">
        <v>7.5935513439389908</v>
      </c>
      <c r="R615" t="str">
        <f t="shared" si="27"/>
        <v>yes</v>
      </c>
      <c r="S615" t="str">
        <f t="shared" si="28"/>
        <v>no</v>
      </c>
      <c r="T6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5" s="2" t="b">
        <f t="shared" si="29"/>
        <v>1</v>
      </c>
      <c r="V615" s="2">
        <f>IF(Table4[[#This Row],[linear?]],Table4[[#This Row],[av]],10^(Table4[[#This Row],[av]]/10))</f>
        <v>2.2375432098765431E-2</v>
      </c>
      <c r="W615" s="2">
        <f>IF(Table4[[#This Row],[linear?]],Table4[[#This Row],[av]],10^(Table4[[#This Row],[av]]/10))</f>
        <v>2.2375432098765431E-2</v>
      </c>
      <c r="X615" s="2">
        <f>Table4[[#This Row],[av_lin]]-2*Table4[[#This Row],[std_lin]]</f>
        <v>-2.2375432098765431E-2</v>
      </c>
      <c r="Y615" s="2">
        <f>Table4[[#This Row],[av_lin]]+2*Table4[[#This Row],[std_lin]]</f>
        <v>6.7126296296296295E-2</v>
      </c>
    </row>
    <row r="616" spans="1:25" x14ac:dyDescent="0.35">
      <c r="A616" s="1">
        <v>718</v>
      </c>
      <c r="B616" t="s">
        <v>75</v>
      </c>
      <c r="C616" t="s">
        <v>549</v>
      </c>
      <c r="D616" t="s">
        <v>697</v>
      </c>
      <c r="E616" s="2">
        <v>3.299382716049383E-3</v>
      </c>
      <c r="F616" s="2">
        <v>2.1059835406161552E-3</v>
      </c>
      <c r="G616">
        <v>27</v>
      </c>
      <c r="H616" t="s">
        <v>58</v>
      </c>
      <c r="M616" s="2">
        <v>7.5113497972816934E-3</v>
      </c>
      <c r="N616" s="2">
        <v>-9.1258436518292744E-4</v>
      </c>
      <c r="O616" s="2">
        <v>8.4239341624646209E-3</v>
      </c>
      <c r="P616" s="2">
        <v>1.566670703933456</v>
      </c>
      <c r="R616" t="str">
        <f t="shared" si="27"/>
        <v>yes</v>
      </c>
      <c r="S616" t="str">
        <f t="shared" si="28"/>
        <v>no</v>
      </c>
      <c r="T6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6" s="2" t="b">
        <f t="shared" si="29"/>
        <v>1</v>
      </c>
      <c r="V616" s="2">
        <f>IF(Table4[[#This Row],[linear?]],Table4[[#This Row],[av]],10^(Table4[[#This Row],[av]]/10))</f>
        <v>3.299382716049383E-3</v>
      </c>
      <c r="W616" s="2">
        <f>IF(Table4[[#This Row],[linear?]],Table4[[#This Row],[av]],10^(Table4[[#This Row],[av]]/10))</f>
        <v>3.299382716049383E-3</v>
      </c>
      <c r="X616" s="2">
        <f>Table4[[#This Row],[av_lin]]-2*Table4[[#This Row],[std_lin]]</f>
        <v>-3.299382716049383E-3</v>
      </c>
      <c r="Y616" s="2">
        <f>Table4[[#This Row],[av_lin]]+2*Table4[[#This Row],[std_lin]]</f>
        <v>9.898148148148149E-3</v>
      </c>
    </row>
    <row r="617" spans="1:25" x14ac:dyDescent="0.35">
      <c r="A617" s="1">
        <v>720</v>
      </c>
      <c r="B617" t="s">
        <v>75</v>
      </c>
      <c r="C617" t="s">
        <v>549</v>
      </c>
      <c r="D617" t="s">
        <v>699</v>
      </c>
      <c r="E617" s="2">
        <v>1.977654320987655E-3</v>
      </c>
      <c r="F617" s="2">
        <v>2.2623854497872838E-3</v>
      </c>
      <c r="G617">
        <v>27</v>
      </c>
      <c r="H617" t="s">
        <v>58</v>
      </c>
      <c r="M617" s="2">
        <v>6.5024252205622222E-3</v>
      </c>
      <c r="N617" s="2">
        <v>-2.5471165785869131E-3</v>
      </c>
      <c r="O617" s="2">
        <v>9.0495417991491352E-3</v>
      </c>
      <c r="P617" s="2">
        <v>0.87414561527241075</v>
      </c>
      <c r="R617" t="str">
        <f t="shared" si="27"/>
        <v>yes</v>
      </c>
      <c r="S617" t="str">
        <f t="shared" si="28"/>
        <v>no</v>
      </c>
      <c r="T6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7" s="2" t="b">
        <f t="shared" si="29"/>
        <v>1</v>
      </c>
      <c r="V617" s="2">
        <f>IF(Table4[[#This Row],[linear?]],Table4[[#This Row],[av]],10^(Table4[[#This Row],[av]]/10))</f>
        <v>1.977654320987655E-3</v>
      </c>
      <c r="W617" s="2">
        <f>IF(Table4[[#This Row],[linear?]],Table4[[#This Row],[av]],10^(Table4[[#This Row],[av]]/10))</f>
        <v>1.977654320987655E-3</v>
      </c>
      <c r="X617" s="2">
        <f>Table4[[#This Row],[av_lin]]-2*Table4[[#This Row],[std_lin]]</f>
        <v>-1.977654320987655E-3</v>
      </c>
      <c r="Y617" s="2">
        <f>Table4[[#This Row],[av_lin]]+2*Table4[[#This Row],[std_lin]]</f>
        <v>5.9329629629629645E-3</v>
      </c>
    </row>
    <row r="618" spans="1:25" x14ac:dyDescent="0.35">
      <c r="A618" s="1">
        <v>722</v>
      </c>
      <c r="B618" t="s">
        <v>75</v>
      </c>
      <c r="C618" t="s">
        <v>549</v>
      </c>
      <c r="D618" t="s">
        <v>701</v>
      </c>
      <c r="E618" s="2">
        <v>2.3967160493827151E-2</v>
      </c>
      <c r="F618" s="2">
        <v>1.7680543277693529E-3</v>
      </c>
      <c r="G618">
        <v>27</v>
      </c>
      <c r="H618" t="s">
        <v>58</v>
      </c>
      <c r="M618" s="2">
        <v>2.750326914936586E-2</v>
      </c>
      <c r="N618" s="2">
        <v>2.0431051838288441E-2</v>
      </c>
      <c r="O618" s="2">
        <v>7.0722173110774134E-3</v>
      </c>
      <c r="P618" s="2">
        <v>13.55566970844446</v>
      </c>
      <c r="R618" t="str">
        <f t="shared" si="27"/>
        <v>yes</v>
      </c>
      <c r="S618" t="str">
        <f t="shared" si="28"/>
        <v>no</v>
      </c>
      <c r="T6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8" s="2" t="b">
        <f t="shared" si="29"/>
        <v>1</v>
      </c>
      <c r="V618" s="2">
        <f>IF(Table4[[#This Row],[linear?]],Table4[[#This Row],[av]],10^(Table4[[#This Row],[av]]/10))</f>
        <v>2.3967160493827151E-2</v>
      </c>
      <c r="W618" s="2">
        <f>IF(Table4[[#This Row],[linear?]],Table4[[#This Row],[av]],10^(Table4[[#This Row],[av]]/10))</f>
        <v>2.3967160493827151E-2</v>
      </c>
      <c r="X618" s="2">
        <f>Table4[[#This Row],[av_lin]]-2*Table4[[#This Row],[std_lin]]</f>
        <v>-2.3967160493827151E-2</v>
      </c>
      <c r="Y618" s="2">
        <f>Table4[[#This Row],[av_lin]]+2*Table4[[#This Row],[std_lin]]</f>
        <v>7.1901481481481455E-2</v>
      </c>
    </row>
    <row r="619" spans="1:25" x14ac:dyDescent="0.35">
      <c r="A619" s="1">
        <v>725</v>
      </c>
      <c r="B619" t="s">
        <v>75</v>
      </c>
      <c r="C619" t="s">
        <v>549</v>
      </c>
      <c r="D619" t="s">
        <v>704</v>
      </c>
      <c r="E619" s="2">
        <v>3.3218148148148142E-2</v>
      </c>
      <c r="F619" s="2">
        <v>6.3278153603040059E-3</v>
      </c>
      <c r="G619">
        <v>27</v>
      </c>
      <c r="H619" t="s">
        <v>58</v>
      </c>
      <c r="M619" s="2">
        <v>4.5873778868756147E-2</v>
      </c>
      <c r="N619" s="2">
        <v>2.0562517427540131E-2</v>
      </c>
      <c r="O619" s="2">
        <v>2.531126144121602E-2</v>
      </c>
      <c r="P619" s="2">
        <v>5.2495444725732723</v>
      </c>
      <c r="R619" t="str">
        <f t="shared" si="27"/>
        <v>yes</v>
      </c>
      <c r="S619" t="str">
        <f t="shared" si="28"/>
        <v>no</v>
      </c>
      <c r="T6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9" s="2" t="b">
        <f t="shared" si="29"/>
        <v>1</v>
      </c>
      <c r="V619" s="2">
        <f>IF(Table4[[#This Row],[linear?]],Table4[[#This Row],[av]],10^(Table4[[#This Row],[av]]/10))</f>
        <v>3.3218148148148142E-2</v>
      </c>
      <c r="W619" s="2">
        <f>IF(Table4[[#This Row],[linear?]],Table4[[#This Row],[av]],10^(Table4[[#This Row],[av]]/10))</f>
        <v>3.3218148148148142E-2</v>
      </c>
      <c r="X619" s="2">
        <f>Table4[[#This Row],[av_lin]]-2*Table4[[#This Row],[std_lin]]</f>
        <v>-3.3218148148148142E-2</v>
      </c>
      <c r="Y619" s="2">
        <f>Table4[[#This Row],[av_lin]]+2*Table4[[#This Row],[std_lin]]</f>
        <v>9.9654444444444434E-2</v>
      </c>
    </row>
    <row r="620" spans="1:25" x14ac:dyDescent="0.35">
      <c r="A620" s="1">
        <v>726</v>
      </c>
      <c r="B620" t="s">
        <v>75</v>
      </c>
      <c r="C620" t="s">
        <v>549</v>
      </c>
      <c r="D620" t="s">
        <v>705</v>
      </c>
      <c r="E620" s="2">
        <v>3.6273580246913593E-2</v>
      </c>
      <c r="F620" s="2">
        <v>1.217961968853527E-2</v>
      </c>
      <c r="G620">
        <v>27</v>
      </c>
      <c r="H620" t="s">
        <v>58</v>
      </c>
      <c r="M620" s="2">
        <v>6.0632819623984133E-2</v>
      </c>
      <c r="N620" s="2">
        <v>1.1914340869843051E-2</v>
      </c>
      <c r="O620" s="2">
        <v>4.8718478754141079E-2</v>
      </c>
      <c r="P620" s="2">
        <v>2.9782194497467009</v>
      </c>
      <c r="R620" t="str">
        <f t="shared" si="27"/>
        <v>yes</v>
      </c>
      <c r="S620" t="str">
        <f t="shared" si="28"/>
        <v>no</v>
      </c>
      <c r="T6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0" s="2" t="b">
        <f t="shared" si="29"/>
        <v>1</v>
      </c>
      <c r="V620" s="2">
        <f>IF(Table4[[#This Row],[linear?]],Table4[[#This Row],[av]],10^(Table4[[#This Row],[av]]/10))</f>
        <v>3.6273580246913593E-2</v>
      </c>
      <c r="W620" s="2">
        <f>IF(Table4[[#This Row],[linear?]],Table4[[#This Row],[av]],10^(Table4[[#This Row],[av]]/10))</f>
        <v>3.6273580246913593E-2</v>
      </c>
      <c r="X620" s="2">
        <f>Table4[[#This Row],[av_lin]]-2*Table4[[#This Row],[std_lin]]</f>
        <v>-3.6273580246913593E-2</v>
      </c>
      <c r="Y620" s="2">
        <f>Table4[[#This Row],[av_lin]]+2*Table4[[#This Row],[std_lin]]</f>
        <v>0.10882074074074077</v>
      </c>
    </row>
    <row r="621" spans="1:25" x14ac:dyDescent="0.35">
      <c r="A621" s="1">
        <v>727</v>
      </c>
      <c r="B621" t="s">
        <v>75</v>
      </c>
      <c r="C621" t="s">
        <v>549</v>
      </c>
      <c r="D621" t="s">
        <v>706</v>
      </c>
      <c r="E621" s="2">
        <v>3.6037901234567897E-2</v>
      </c>
      <c r="F621" s="2">
        <v>9.5375674789839205E-3</v>
      </c>
      <c r="G621">
        <v>27</v>
      </c>
      <c r="H621" t="s">
        <v>58</v>
      </c>
      <c r="M621" s="2">
        <v>5.5113036192535741E-2</v>
      </c>
      <c r="N621" s="2">
        <v>1.6962766276600059E-2</v>
      </c>
      <c r="O621" s="2">
        <v>3.8150269915935689E-2</v>
      </c>
      <c r="P621" s="2">
        <v>3.7785212334253568</v>
      </c>
      <c r="R621" t="str">
        <f t="shared" si="27"/>
        <v>yes</v>
      </c>
      <c r="S621" t="str">
        <f t="shared" si="28"/>
        <v>no</v>
      </c>
      <c r="T6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1" s="2" t="b">
        <f t="shared" si="29"/>
        <v>1</v>
      </c>
      <c r="V621" s="2">
        <f>IF(Table4[[#This Row],[linear?]],Table4[[#This Row],[av]],10^(Table4[[#This Row],[av]]/10))</f>
        <v>3.6037901234567897E-2</v>
      </c>
      <c r="W621" s="2">
        <f>IF(Table4[[#This Row],[linear?]],Table4[[#This Row],[av]],10^(Table4[[#This Row],[av]]/10))</f>
        <v>3.6037901234567897E-2</v>
      </c>
      <c r="X621" s="2">
        <f>Table4[[#This Row],[av_lin]]-2*Table4[[#This Row],[std_lin]]</f>
        <v>-3.6037901234567897E-2</v>
      </c>
      <c r="Y621" s="2">
        <f>Table4[[#This Row],[av_lin]]+2*Table4[[#This Row],[std_lin]]</f>
        <v>0.10811370370370368</v>
      </c>
    </row>
    <row r="622" spans="1:25" x14ac:dyDescent="0.35">
      <c r="A622" s="1">
        <v>728</v>
      </c>
      <c r="B622" t="s">
        <v>75</v>
      </c>
      <c r="C622" t="s">
        <v>549</v>
      </c>
      <c r="D622" t="s">
        <v>707</v>
      </c>
      <c r="E622" s="2">
        <v>7.6070000000000013E-2</v>
      </c>
      <c r="F622" s="2">
        <v>7.7456883560344143E-3</v>
      </c>
      <c r="G622">
        <v>27</v>
      </c>
      <c r="H622" t="s">
        <v>58</v>
      </c>
      <c r="M622" s="2">
        <v>9.1561376712068848E-2</v>
      </c>
      <c r="N622" s="2">
        <v>6.0578623287931177E-2</v>
      </c>
      <c r="O622" s="2">
        <v>3.0982753424137661E-2</v>
      </c>
      <c r="P622" s="2">
        <v>9.8209476683549166</v>
      </c>
      <c r="R622" t="str">
        <f t="shared" si="27"/>
        <v>yes</v>
      </c>
      <c r="S622" t="str">
        <f t="shared" si="28"/>
        <v>no</v>
      </c>
      <c r="T6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2" s="2" t="b">
        <f t="shared" si="29"/>
        <v>1</v>
      </c>
      <c r="V622" s="2">
        <f>IF(Table4[[#This Row],[linear?]],Table4[[#This Row],[av]],10^(Table4[[#This Row],[av]]/10))</f>
        <v>7.6070000000000013E-2</v>
      </c>
      <c r="W622" s="2">
        <f>IF(Table4[[#This Row],[linear?]],Table4[[#This Row],[av]],10^(Table4[[#This Row],[av]]/10))</f>
        <v>7.6070000000000013E-2</v>
      </c>
      <c r="X622" s="2">
        <f>Table4[[#This Row],[av_lin]]-2*Table4[[#This Row],[std_lin]]</f>
        <v>-7.6070000000000013E-2</v>
      </c>
      <c r="Y622" s="2">
        <f>Table4[[#This Row],[av_lin]]+2*Table4[[#This Row],[std_lin]]</f>
        <v>0.22821000000000002</v>
      </c>
    </row>
    <row r="623" spans="1:25" x14ac:dyDescent="0.35">
      <c r="A623" s="1">
        <v>730</v>
      </c>
      <c r="B623" t="s">
        <v>75</v>
      </c>
      <c r="C623" t="s">
        <v>549</v>
      </c>
      <c r="D623" t="s">
        <v>709</v>
      </c>
      <c r="E623" s="2">
        <v>3.7445061728395047E-2</v>
      </c>
      <c r="F623" s="2">
        <v>4.4857279893036062E-3</v>
      </c>
      <c r="G623">
        <v>27</v>
      </c>
      <c r="H623" t="s">
        <v>58</v>
      </c>
      <c r="M623" s="2">
        <v>4.641651770700226E-2</v>
      </c>
      <c r="N623" s="2">
        <v>2.8473605749787839E-2</v>
      </c>
      <c r="O623" s="2">
        <v>1.7942911957214421E-2</v>
      </c>
      <c r="P623" s="2">
        <v>8.3475997246565683</v>
      </c>
      <c r="R623" t="str">
        <f t="shared" si="27"/>
        <v>yes</v>
      </c>
      <c r="S623" t="str">
        <f t="shared" si="28"/>
        <v>no</v>
      </c>
      <c r="T6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3" s="2" t="b">
        <f t="shared" si="29"/>
        <v>1</v>
      </c>
      <c r="V623" s="2">
        <f>IF(Table4[[#This Row],[linear?]],Table4[[#This Row],[av]],10^(Table4[[#This Row],[av]]/10))</f>
        <v>3.7445061728395047E-2</v>
      </c>
      <c r="W623" s="2">
        <f>IF(Table4[[#This Row],[linear?]],Table4[[#This Row],[av]],10^(Table4[[#This Row],[av]]/10))</f>
        <v>3.7445061728395047E-2</v>
      </c>
      <c r="X623" s="2">
        <f>Table4[[#This Row],[av_lin]]-2*Table4[[#This Row],[std_lin]]</f>
        <v>-3.7445061728395047E-2</v>
      </c>
      <c r="Y623" s="2">
        <f>Table4[[#This Row],[av_lin]]+2*Table4[[#This Row],[std_lin]]</f>
        <v>0.11233518518518515</v>
      </c>
    </row>
    <row r="624" spans="1:25" x14ac:dyDescent="0.35">
      <c r="A624" s="1">
        <v>731</v>
      </c>
      <c r="B624" t="s">
        <v>75</v>
      </c>
      <c r="C624" t="s">
        <v>549</v>
      </c>
      <c r="D624" t="s">
        <v>710</v>
      </c>
      <c r="E624" s="2">
        <v>5.0425061728395053E-2</v>
      </c>
      <c r="F624" s="2">
        <v>1.485439844822496E-2</v>
      </c>
      <c r="G624">
        <v>27</v>
      </c>
      <c r="H624" t="s">
        <v>58</v>
      </c>
      <c r="M624" s="2">
        <v>8.013385862484497E-2</v>
      </c>
      <c r="N624" s="2">
        <v>2.0716264831945129E-2</v>
      </c>
      <c r="O624" s="2">
        <v>5.9417593792899827E-2</v>
      </c>
      <c r="P624" s="2">
        <v>3.394621593338278</v>
      </c>
      <c r="R624" t="str">
        <f t="shared" si="27"/>
        <v>yes</v>
      </c>
      <c r="S624" t="str">
        <f t="shared" si="28"/>
        <v>no</v>
      </c>
      <c r="T6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4" s="2" t="b">
        <f t="shared" si="29"/>
        <v>1</v>
      </c>
      <c r="V624" s="2">
        <f>IF(Table4[[#This Row],[linear?]],Table4[[#This Row],[av]],10^(Table4[[#This Row],[av]]/10))</f>
        <v>5.0425061728395053E-2</v>
      </c>
      <c r="W624" s="2">
        <f>IF(Table4[[#This Row],[linear?]],Table4[[#This Row],[av]],10^(Table4[[#This Row],[av]]/10))</f>
        <v>5.0425061728395053E-2</v>
      </c>
      <c r="X624" s="2">
        <f>Table4[[#This Row],[av_lin]]-2*Table4[[#This Row],[std_lin]]</f>
        <v>-5.0425061728395053E-2</v>
      </c>
      <c r="Y624" s="2">
        <f>Table4[[#This Row],[av_lin]]+2*Table4[[#This Row],[std_lin]]</f>
        <v>0.15127518518518515</v>
      </c>
    </row>
    <row r="625" spans="1:25" x14ac:dyDescent="0.35">
      <c r="A625" s="1">
        <v>732</v>
      </c>
      <c r="B625" t="s">
        <v>75</v>
      </c>
      <c r="C625" t="s">
        <v>549</v>
      </c>
      <c r="D625" t="s">
        <v>711</v>
      </c>
      <c r="E625" s="2">
        <v>4.5436419753086418E-2</v>
      </c>
      <c r="F625" s="2">
        <v>1.061123877564092E-2</v>
      </c>
      <c r="G625">
        <v>27</v>
      </c>
      <c r="H625" t="s">
        <v>58</v>
      </c>
      <c r="M625" s="2">
        <v>6.6658897304368261E-2</v>
      </c>
      <c r="N625" s="2">
        <v>2.4213942201804579E-2</v>
      </c>
      <c r="O625" s="2">
        <v>4.2444955102563693E-2</v>
      </c>
      <c r="P625" s="2">
        <v>4.2819147428281346</v>
      </c>
      <c r="R625" t="str">
        <f t="shared" si="27"/>
        <v>yes</v>
      </c>
      <c r="S625" t="str">
        <f t="shared" si="28"/>
        <v>no</v>
      </c>
      <c r="T6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5" s="2" t="b">
        <f t="shared" si="29"/>
        <v>1</v>
      </c>
      <c r="V625" s="2">
        <f>IF(Table4[[#This Row],[linear?]],Table4[[#This Row],[av]],10^(Table4[[#This Row],[av]]/10))</f>
        <v>4.5436419753086418E-2</v>
      </c>
      <c r="W625" s="2">
        <f>IF(Table4[[#This Row],[linear?]],Table4[[#This Row],[av]],10^(Table4[[#This Row],[av]]/10))</f>
        <v>4.5436419753086418E-2</v>
      </c>
      <c r="X625" s="2">
        <f>Table4[[#This Row],[av_lin]]-2*Table4[[#This Row],[std_lin]]</f>
        <v>-4.5436419753086418E-2</v>
      </c>
      <c r="Y625" s="2">
        <f>Table4[[#This Row],[av_lin]]+2*Table4[[#This Row],[std_lin]]</f>
        <v>0.13630925925925924</v>
      </c>
    </row>
    <row r="626" spans="1:25" x14ac:dyDescent="0.35">
      <c r="A626" s="1">
        <v>734</v>
      </c>
      <c r="B626" t="s">
        <v>75</v>
      </c>
      <c r="C626" t="s">
        <v>549</v>
      </c>
      <c r="D626" t="s">
        <v>713</v>
      </c>
      <c r="E626" s="2">
        <v>3.6258518518518523E-2</v>
      </c>
      <c r="F626" s="2">
        <v>4.7041342286279477E-3</v>
      </c>
      <c r="G626">
        <v>27</v>
      </c>
      <c r="H626" t="s">
        <v>58</v>
      </c>
      <c r="M626" s="2">
        <v>4.566678697577442E-2</v>
      </c>
      <c r="N626" s="2">
        <v>2.685025006126263E-2</v>
      </c>
      <c r="O626" s="2">
        <v>1.8816536914511791E-2</v>
      </c>
      <c r="P626" s="2">
        <v>7.7077984505331658</v>
      </c>
      <c r="R626" t="str">
        <f t="shared" si="27"/>
        <v>yes</v>
      </c>
      <c r="S626" t="str">
        <f t="shared" si="28"/>
        <v>no</v>
      </c>
      <c r="T6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6" s="2" t="b">
        <f t="shared" si="29"/>
        <v>1</v>
      </c>
      <c r="V626" s="2">
        <f>IF(Table4[[#This Row],[linear?]],Table4[[#This Row],[av]],10^(Table4[[#This Row],[av]]/10))</f>
        <v>3.6258518518518523E-2</v>
      </c>
      <c r="W626" s="2">
        <f>IF(Table4[[#This Row],[linear?]],Table4[[#This Row],[av]],10^(Table4[[#This Row],[av]]/10))</f>
        <v>3.6258518518518523E-2</v>
      </c>
      <c r="X626" s="2">
        <f>Table4[[#This Row],[av_lin]]-2*Table4[[#This Row],[std_lin]]</f>
        <v>-3.6258518518518523E-2</v>
      </c>
      <c r="Y626" s="2">
        <f>Table4[[#This Row],[av_lin]]+2*Table4[[#This Row],[std_lin]]</f>
        <v>0.10877555555555557</v>
      </c>
    </row>
    <row r="627" spans="1:25" x14ac:dyDescent="0.35">
      <c r="A627" s="1">
        <v>735</v>
      </c>
      <c r="B627" t="s">
        <v>75</v>
      </c>
      <c r="C627" t="s">
        <v>549</v>
      </c>
      <c r="D627" t="s">
        <v>714</v>
      </c>
      <c r="E627" s="2">
        <v>4.0405925925925928E-2</v>
      </c>
      <c r="F627" s="2">
        <v>6.7507426539421076E-3</v>
      </c>
      <c r="G627">
        <v>27</v>
      </c>
      <c r="H627" t="s">
        <v>58</v>
      </c>
      <c r="M627" s="2">
        <v>5.390741123381014E-2</v>
      </c>
      <c r="N627" s="2">
        <v>2.690444061804171E-2</v>
      </c>
      <c r="O627" s="2">
        <v>2.700297061576843E-2</v>
      </c>
      <c r="P627" s="2">
        <v>5.985404569130008</v>
      </c>
      <c r="R627" t="str">
        <f t="shared" si="27"/>
        <v>yes</v>
      </c>
      <c r="S627" t="str">
        <f t="shared" si="28"/>
        <v>no</v>
      </c>
      <c r="T6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7" s="2" t="b">
        <f t="shared" si="29"/>
        <v>1</v>
      </c>
      <c r="V627" s="2">
        <f>IF(Table4[[#This Row],[linear?]],Table4[[#This Row],[av]],10^(Table4[[#This Row],[av]]/10))</f>
        <v>4.0405925925925928E-2</v>
      </c>
      <c r="W627" s="2">
        <f>IF(Table4[[#This Row],[linear?]],Table4[[#This Row],[av]],10^(Table4[[#This Row],[av]]/10))</f>
        <v>4.0405925925925928E-2</v>
      </c>
      <c r="X627" s="2">
        <f>Table4[[#This Row],[av_lin]]-2*Table4[[#This Row],[std_lin]]</f>
        <v>-4.0405925925925928E-2</v>
      </c>
      <c r="Y627" s="2">
        <f>Table4[[#This Row],[av_lin]]+2*Table4[[#This Row],[std_lin]]</f>
        <v>0.12121777777777779</v>
      </c>
    </row>
    <row r="628" spans="1:25" x14ac:dyDescent="0.35">
      <c r="A628" s="1">
        <v>736</v>
      </c>
      <c r="B628" t="s">
        <v>75</v>
      </c>
      <c r="C628" t="s">
        <v>549</v>
      </c>
      <c r="D628" t="s">
        <v>715</v>
      </c>
      <c r="E628" s="2">
        <v>3.8045308641975313E-2</v>
      </c>
      <c r="F628" s="2">
        <v>6.6483513311045841E-3</v>
      </c>
      <c r="G628">
        <v>27</v>
      </c>
      <c r="H628" t="s">
        <v>58</v>
      </c>
      <c r="M628" s="2">
        <v>5.1342011304184483E-2</v>
      </c>
      <c r="N628" s="2">
        <v>2.474860597976614E-2</v>
      </c>
      <c r="O628" s="2">
        <v>2.659340532441834E-2</v>
      </c>
      <c r="P628" s="2">
        <v>5.7225177712824502</v>
      </c>
      <c r="R628" t="str">
        <f t="shared" si="27"/>
        <v>yes</v>
      </c>
      <c r="S628" t="str">
        <f t="shared" si="28"/>
        <v>no</v>
      </c>
      <c r="T6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8" s="2" t="b">
        <f t="shared" si="29"/>
        <v>1</v>
      </c>
      <c r="V628" s="2">
        <f>IF(Table4[[#This Row],[linear?]],Table4[[#This Row],[av]],10^(Table4[[#This Row],[av]]/10))</f>
        <v>3.8045308641975313E-2</v>
      </c>
      <c r="W628" s="2">
        <f>IF(Table4[[#This Row],[linear?]],Table4[[#This Row],[av]],10^(Table4[[#This Row],[av]]/10))</f>
        <v>3.8045308641975313E-2</v>
      </c>
      <c r="X628" s="2">
        <f>Table4[[#This Row],[av_lin]]-2*Table4[[#This Row],[std_lin]]</f>
        <v>-3.8045308641975313E-2</v>
      </c>
      <c r="Y628" s="2">
        <f>Table4[[#This Row],[av_lin]]+2*Table4[[#This Row],[std_lin]]</f>
        <v>0.11413592592592595</v>
      </c>
    </row>
    <row r="629" spans="1:25" x14ac:dyDescent="0.35">
      <c r="A629" s="1">
        <v>737</v>
      </c>
      <c r="B629" t="s">
        <v>75</v>
      </c>
      <c r="C629" t="s">
        <v>549</v>
      </c>
      <c r="D629" t="s">
        <v>716</v>
      </c>
      <c r="E629" s="2">
        <v>7.6438518518518517E-2</v>
      </c>
      <c r="F629" s="2">
        <v>7.1647435603355578E-3</v>
      </c>
      <c r="G629">
        <v>27</v>
      </c>
      <c r="H629" t="s">
        <v>58</v>
      </c>
      <c r="M629" s="2">
        <v>9.0768005639189631E-2</v>
      </c>
      <c r="N629" s="2">
        <v>6.2109031397847403E-2</v>
      </c>
      <c r="O629" s="2">
        <v>2.8658974241342231E-2</v>
      </c>
      <c r="P629" s="2">
        <v>10.66870263741003</v>
      </c>
      <c r="R629" t="str">
        <f t="shared" si="27"/>
        <v>yes</v>
      </c>
      <c r="S629" t="str">
        <f t="shared" si="28"/>
        <v>no</v>
      </c>
      <c r="T6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9" s="2" t="b">
        <f t="shared" si="29"/>
        <v>1</v>
      </c>
      <c r="V629" s="2">
        <f>IF(Table4[[#This Row],[linear?]],Table4[[#This Row],[av]],10^(Table4[[#This Row],[av]]/10))</f>
        <v>7.6438518518518517E-2</v>
      </c>
      <c r="W629" s="2">
        <f>IF(Table4[[#This Row],[linear?]],Table4[[#This Row],[av]],10^(Table4[[#This Row],[av]]/10))</f>
        <v>7.6438518518518517E-2</v>
      </c>
      <c r="X629" s="2">
        <f>Table4[[#This Row],[av_lin]]-2*Table4[[#This Row],[std_lin]]</f>
        <v>-7.6438518518518517E-2</v>
      </c>
      <c r="Y629" s="2">
        <f>Table4[[#This Row],[av_lin]]+2*Table4[[#This Row],[std_lin]]</f>
        <v>0.22931555555555555</v>
      </c>
    </row>
    <row r="630" spans="1:25" x14ac:dyDescent="0.35">
      <c r="A630" s="1">
        <v>739</v>
      </c>
      <c r="B630" t="s">
        <v>75</v>
      </c>
      <c r="C630" t="s">
        <v>549</v>
      </c>
      <c r="D630" t="s">
        <v>718</v>
      </c>
      <c r="E630" s="2">
        <v>3.9777407407407407E-2</v>
      </c>
      <c r="F630" s="2">
        <v>6.7755453653424559E-3</v>
      </c>
      <c r="G630">
        <v>27</v>
      </c>
      <c r="H630" t="s">
        <v>58</v>
      </c>
      <c r="M630" s="2">
        <v>5.3328498138092317E-2</v>
      </c>
      <c r="N630" s="2">
        <v>2.62263166767225E-2</v>
      </c>
      <c r="O630" s="2">
        <v>2.710218146136982E-2</v>
      </c>
      <c r="P630" s="2">
        <v>5.8707314706905427</v>
      </c>
      <c r="R630" t="str">
        <f t="shared" si="27"/>
        <v>yes</v>
      </c>
      <c r="S630" t="str">
        <f t="shared" si="28"/>
        <v>no</v>
      </c>
      <c r="T6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0" s="2" t="b">
        <f t="shared" si="29"/>
        <v>1</v>
      </c>
      <c r="V630" s="2">
        <f>IF(Table4[[#This Row],[linear?]],Table4[[#This Row],[av]],10^(Table4[[#This Row],[av]]/10))</f>
        <v>3.9777407407407407E-2</v>
      </c>
      <c r="W630" s="2">
        <f>IF(Table4[[#This Row],[linear?]],Table4[[#This Row],[av]],10^(Table4[[#This Row],[av]]/10))</f>
        <v>3.9777407407407407E-2</v>
      </c>
      <c r="X630" s="2">
        <f>Table4[[#This Row],[av_lin]]-2*Table4[[#This Row],[std_lin]]</f>
        <v>-3.9777407407407407E-2</v>
      </c>
      <c r="Y630" s="2">
        <f>Table4[[#This Row],[av_lin]]+2*Table4[[#This Row],[std_lin]]</f>
        <v>0.11933222222222223</v>
      </c>
    </row>
    <row r="631" spans="1:25" x14ac:dyDescent="0.35">
      <c r="A631" s="1">
        <v>740</v>
      </c>
      <c r="B631" t="s">
        <v>75</v>
      </c>
      <c r="C631" t="s">
        <v>549</v>
      </c>
      <c r="D631" t="s">
        <v>719</v>
      </c>
      <c r="E631" s="2">
        <v>4.541382716049383E-2</v>
      </c>
      <c r="F631" s="2">
        <v>8.2224254231210957E-3</v>
      </c>
      <c r="G631">
        <v>27</v>
      </c>
      <c r="H631" t="s">
        <v>58</v>
      </c>
      <c r="M631" s="2">
        <v>6.1858678006736022E-2</v>
      </c>
      <c r="N631" s="2">
        <v>2.8968976314251639E-2</v>
      </c>
      <c r="O631" s="2">
        <v>3.2889701692484383E-2</v>
      </c>
      <c r="P631" s="2">
        <v>5.5231668058420036</v>
      </c>
      <c r="R631" t="str">
        <f t="shared" si="27"/>
        <v>yes</v>
      </c>
      <c r="S631" t="str">
        <f t="shared" si="28"/>
        <v>no</v>
      </c>
      <c r="T6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1" s="2" t="b">
        <f t="shared" si="29"/>
        <v>1</v>
      </c>
      <c r="V631" s="2">
        <f>IF(Table4[[#This Row],[linear?]],Table4[[#This Row],[av]],10^(Table4[[#This Row],[av]]/10))</f>
        <v>4.541382716049383E-2</v>
      </c>
      <c r="W631" s="2">
        <f>IF(Table4[[#This Row],[linear?]],Table4[[#This Row],[av]],10^(Table4[[#This Row],[av]]/10))</f>
        <v>4.541382716049383E-2</v>
      </c>
      <c r="X631" s="2">
        <f>Table4[[#This Row],[av_lin]]-2*Table4[[#This Row],[std_lin]]</f>
        <v>-4.541382716049383E-2</v>
      </c>
      <c r="Y631" s="2">
        <f>Table4[[#This Row],[av_lin]]+2*Table4[[#This Row],[std_lin]]</f>
        <v>0.13624148148148149</v>
      </c>
    </row>
    <row r="632" spans="1:25" x14ac:dyDescent="0.35">
      <c r="A632" s="1">
        <v>741</v>
      </c>
      <c r="B632" t="s">
        <v>75</v>
      </c>
      <c r="C632" t="s">
        <v>549</v>
      </c>
      <c r="D632" t="s">
        <v>720</v>
      </c>
      <c r="E632" s="2">
        <v>4.1947283950617288E-2</v>
      </c>
      <c r="F632" s="2">
        <v>8.5440265632841794E-3</v>
      </c>
      <c r="G632">
        <v>27</v>
      </c>
      <c r="H632" t="s">
        <v>58</v>
      </c>
      <c r="M632" s="2">
        <v>5.9035337077185647E-2</v>
      </c>
      <c r="N632" s="2">
        <v>2.4859230824048929E-2</v>
      </c>
      <c r="O632" s="2">
        <v>3.4176106253136718E-2</v>
      </c>
      <c r="P632" s="2">
        <v>4.9095451237096182</v>
      </c>
      <c r="R632" t="str">
        <f t="shared" si="27"/>
        <v>yes</v>
      </c>
      <c r="S632" t="str">
        <f t="shared" si="28"/>
        <v>no</v>
      </c>
      <c r="T6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2" s="2" t="b">
        <f t="shared" si="29"/>
        <v>1</v>
      </c>
      <c r="V632" s="2">
        <f>IF(Table4[[#This Row],[linear?]],Table4[[#This Row],[av]],10^(Table4[[#This Row],[av]]/10))</f>
        <v>4.1947283950617288E-2</v>
      </c>
      <c r="W632" s="2">
        <f>IF(Table4[[#This Row],[linear?]],Table4[[#This Row],[av]],10^(Table4[[#This Row],[av]]/10))</f>
        <v>4.1947283950617288E-2</v>
      </c>
      <c r="X632" s="2">
        <f>Table4[[#This Row],[av_lin]]-2*Table4[[#This Row],[std_lin]]</f>
        <v>-4.1947283950617288E-2</v>
      </c>
      <c r="Y632" s="2">
        <f>Table4[[#This Row],[av_lin]]+2*Table4[[#This Row],[std_lin]]</f>
        <v>0.12584185185185187</v>
      </c>
    </row>
    <row r="633" spans="1:25" x14ac:dyDescent="0.35">
      <c r="A633" s="1">
        <v>743</v>
      </c>
      <c r="B633" t="s">
        <v>75</v>
      </c>
      <c r="C633" t="s">
        <v>549</v>
      </c>
      <c r="D633" t="s">
        <v>722</v>
      </c>
      <c r="E633" s="2">
        <v>3.4503456790123448E-2</v>
      </c>
      <c r="F633" s="2">
        <v>8.1759519094031542E-3</v>
      </c>
      <c r="G633">
        <v>27</v>
      </c>
      <c r="H633" t="s">
        <v>58</v>
      </c>
      <c r="M633" s="2">
        <v>5.0855360608929763E-2</v>
      </c>
      <c r="N633" s="2">
        <v>1.8151552971317139E-2</v>
      </c>
      <c r="O633" s="2">
        <v>3.2703807637612617E-2</v>
      </c>
      <c r="P633" s="2">
        <v>4.2201149385970647</v>
      </c>
      <c r="R633" t="str">
        <f t="shared" si="27"/>
        <v>yes</v>
      </c>
      <c r="S633" t="str">
        <f t="shared" si="28"/>
        <v>no</v>
      </c>
      <c r="T6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3" s="2" t="b">
        <f t="shared" si="29"/>
        <v>1</v>
      </c>
      <c r="V633" s="2">
        <f>IF(Table4[[#This Row],[linear?]],Table4[[#This Row],[av]],10^(Table4[[#This Row],[av]]/10))</f>
        <v>3.4503456790123448E-2</v>
      </c>
      <c r="W633" s="2">
        <f>IF(Table4[[#This Row],[linear?]],Table4[[#This Row],[av]],10^(Table4[[#This Row],[av]]/10))</f>
        <v>3.4503456790123448E-2</v>
      </c>
      <c r="X633" s="2">
        <f>Table4[[#This Row],[av_lin]]-2*Table4[[#This Row],[std_lin]]</f>
        <v>-3.4503456790123448E-2</v>
      </c>
      <c r="Y633" s="2">
        <f>Table4[[#This Row],[av_lin]]+2*Table4[[#This Row],[std_lin]]</f>
        <v>0.10351037037037034</v>
      </c>
    </row>
    <row r="634" spans="1:25" x14ac:dyDescent="0.35">
      <c r="A634" s="1">
        <v>744</v>
      </c>
      <c r="B634" t="s">
        <v>75</v>
      </c>
      <c r="C634" t="s">
        <v>549</v>
      </c>
      <c r="D634" t="s">
        <v>723</v>
      </c>
      <c r="E634" s="2">
        <v>3.588518518518518E-2</v>
      </c>
      <c r="F634" s="2">
        <v>1.259914273255156E-2</v>
      </c>
      <c r="G634">
        <v>27</v>
      </c>
      <c r="H634" t="s">
        <v>58</v>
      </c>
      <c r="M634" s="2">
        <v>6.1083470650288303E-2</v>
      </c>
      <c r="N634" s="2">
        <v>1.068689972008206E-2</v>
      </c>
      <c r="O634" s="2">
        <v>5.0396570930206233E-2</v>
      </c>
      <c r="P634" s="2">
        <v>2.848224355175454</v>
      </c>
      <c r="R634" t="str">
        <f t="shared" si="27"/>
        <v>yes</v>
      </c>
      <c r="S634" t="str">
        <f t="shared" si="28"/>
        <v>no</v>
      </c>
      <c r="T6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4" s="2" t="b">
        <f t="shared" si="29"/>
        <v>1</v>
      </c>
      <c r="V634" s="2">
        <f>IF(Table4[[#This Row],[linear?]],Table4[[#This Row],[av]],10^(Table4[[#This Row],[av]]/10))</f>
        <v>3.588518518518518E-2</v>
      </c>
      <c r="W634" s="2">
        <f>IF(Table4[[#This Row],[linear?]],Table4[[#This Row],[av]],10^(Table4[[#This Row],[av]]/10))</f>
        <v>3.588518518518518E-2</v>
      </c>
      <c r="X634" s="2">
        <f>Table4[[#This Row],[av_lin]]-2*Table4[[#This Row],[std_lin]]</f>
        <v>-3.588518518518518E-2</v>
      </c>
      <c r="Y634" s="2">
        <f>Table4[[#This Row],[av_lin]]+2*Table4[[#This Row],[std_lin]]</f>
        <v>0.10765555555555553</v>
      </c>
    </row>
    <row r="635" spans="1:25" x14ac:dyDescent="0.35">
      <c r="A635" s="1">
        <v>745</v>
      </c>
      <c r="B635" t="s">
        <v>75</v>
      </c>
      <c r="C635" t="s">
        <v>549</v>
      </c>
      <c r="D635" t="s">
        <v>724</v>
      </c>
      <c r="E635" s="2">
        <v>3.3275061728395061E-2</v>
      </c>
      <c r="F635" s="2">
        <v>6.6219385454230929E-3</v>
      </c>
      <c r="G635">
        <v>27</v>
      </c>
      <c r="H635" t="s">
        <v>58</v>
      </c>
      <c r="M635" s="2">
        <v>4.6518938819241247E-2</v>
      </c>
      <c r="N635" s="2">
        <v>2.0031184637548879E-2</v>
      </c>
      <c r="O635" s="2">
        <v>2.6487754181692372E-2</v>
      </c>
      <c r="P635" s="2">
        <v>5.0249728988188664</v>
      </c>
      <c r="R635" t="str">
        <f t="shared" si="27"/>
        <v>yes</v>
      </c>
      <c r="S635" t="str">
        <f t="shared" si="28"/>
        <v>no</v>
      </c>
      <c r="T6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5" s="2" t="b">
        <f t="shared" si="29"/>
        <v>1</v>
      </c>
      <c r="V635" s="2">
        <f>IF(Table4[[#This Row],[linear?]],Table4[[#This Row],[av]],10^(Table4[[#This Row],[av]]/10))</f>
        <v>3.3275061728395061E-2</v>
      </c>
      <c r="W635" s="2">
        <f>IF(Table4[[#This Row],[linear?]],Table4[[#This Row],[av]],10^(Table4[[#This Row],[av]]/10))</f>
        <v>3.3275061728395061E-2</v>
      </c>
      <c r="X635" s="2">
        <f>Table4[[#This Row],[av_lin]]-2*Table4[[#This Row],[std_lin]]</f>
        <v>-3.3275061728395061E-2</v>
      </c>
      <c r="Y635" s="2">
        <f>Table4[[#This Row],[av_lin]]+2*Table4[[#This Row],[std_lin]]</f>
        <v>9.9825185185185183E-2</v>
      </c>
    </row>
    <row r="636" spans="1:25" x14ac:dyDescent="0.35">
      <c r="A636" s="1">
        <v>746</v>
      </c>
      <c r="B636" t="s">
        <v>75</v>
      </c>
      <c r="C636" t="s">
        <v>549</v>
      </c>
      <c r="D636" t="s">
        <v>725</v>
      </c>
      <c r="E636" s="2">
        <v>7.6013456790123446E-2</v>
      </c>
      <c r="F636" s="2">
        <v>8.3465200667384408E-3</v>
      </c>
      <c r="G636">
        <v>27</v>
      </c>
      <c r="H636" t="s">
        <v>58</v>
      </c>
      <c r="M636" s="2">
        <v>9.2706496923600334E-2</v>
      </c>
      <c r="N636" s="2">
        <v>5.9320416656646557E-2</v>
      </c>
      <c r="O636" s="2">
        <v>3.338608026695377E-2</v>
      </c>
      <c r="P636" s="2">
        <v>9.1072035030555103</v>
      </c>
      <c r="R636" t="str">
        <f t="shared" si="27"/>
        <v>yes</v>
      </c>
      <c r="S636" t="str">
        <f t="shared" si="28"/>
        <v>no</v>
      </c>
      <c r="T6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6" s="2" t="b">
        <f t="shared" si="29"/>
        <v>1</v>
      </c>
      <c r="V636" s="2">
        <f>IF(Table4[[#This Row],[linear?]],Table4[[#This Row],[av]],10^(Table4[[#This Row],[av]]/10))</f>
        <v>7.6013456790123446E-2</v>
      </c>
      <c r="W636" s="2">
        <f>IF(Table4[[#This Row],[linear?]],Table4[[#This Row],[av]],10^(Table4[[#This Row],[av]]/10))</f>
        <v>7.6013456790123446E-2</v>
      </c>
      <c r="X636" s="2">
        <f>Table4[[#This Row],[av_lin]]-2*Table4[[#This Row],[std_lin]]</f>
        <v>-7.6013456790123446E-2</v>
      </c>
      <c r="Y636" s="2">
        <f>Table4[[#This Row],[av_lin]]+2*Table4[[#This Row],[std_lin]]</f>
        <v>0.22804037037037034</v>
      </c>
    </row>
    <row r="637" spans="1:25" x14ac:dyDescent="0.35">
      <c r="A637" s="1">
        <v>748</v>
      </c>
      <c r="B637" t="s">
        <v>75</v>
      </c>
      <c r="C637" t="s">
        <v>549</v>
      </c>
      <c r="D637" t="s">
        <v>727</v>
      </c>
      <c r="E637" s="2">
        <v>4.3585679012345682E-2</v>
      </c>
      <c r="F637" s="2">
        <v>9.0869608898960005E-3</v>
      </c>
      <c r="G637">
        <v>27</v>
      </c>
      <c r="H637" t="s">
        <v>58</v>
      </c>
      <c r="M637" s="2">
        <v>6.1759600792137687E-2</v>
      </c>
      <c r="N637" s="2">
        <v>2.5411757232553681E-2</v>
      </c>
      <c r="O637" s="2">
        <v>3.6347843559584009E-2</v>
      </c>
      <c r="P637" s="2">
        <v>4.7965078248338884</v>
      </c>
      <c r="R637" t="str">
        <f t="shared" si="27"/>
        <v>yes</v>
      </c>
      <c r="S637" t="str">
        <f t="shared" si="28"/>
        <v>no</v>
      </c>
      <c r="T6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7" s="2" t="b">
        <f t="shared" si="29"/>
        <v>1</v>
      </c>
      <c r="V637" s="2">
        <f>IF(Table4[[#This Row],[linear?]],Table4[[#This Row],[av]],10^(Table4[[#This Row],[av]]/10))</f>
        <v>4.3585679012345682E-2</v>
      </c>
      <c r="W637" s="2">
        <f>IF(Table4[[#This Row],[linear?]],Table4[[#This Row],[av]],10^(Table4[[#This Row],[av]]/10))</f>
        <v>4.3585679012345682E-2</v>
      </c>
      <c r="X637" s="2">
        <f>Table4[[#This Row],[av_lin]]-2*Table4[[#This Row],[std_lin]]</f>
        <v>-4.3585679012345682E-2</v>
      </c>
      <c r="Y637" s="2">
        <f>Table4[[#This Row],[av_lin]]+2*Table4[[#This Row],[std_lin]]</f>
        <v>0.13075703703703706</v>
      </c>
    </row>
    <row r="638" spans="1:25" x14ac:dyDescent="0.35">
      <c r="A638" s="1">
        <v>749</v>
      </c>
      <c r="B638" t="s">
        <v>75</v>
      </c>
      <c r="C638" t="s">
        <v>549</v>
      </c>
      <c r="D638" t="s">
        <v>728</v>
      </c>
      <c r="E638" s="2">
        <v>4.4747777777777782E-2</v>
      </c>
      <c r="F638" s="2">
        <v>1.033605841424629E-2</v>
      </c>
      <c r="G638">
        <v>27</v>
      </c>
      <c r="H638" t="s">
        <v>58</v>
      </c>
      <c r="M638" s="2">
        <v>6.541989460627036E-2</v>
      </c>
      <c r="N638" s="2">
        <v>2.4075660949285201E-2</v>
      </c>
      <c r="O638" s="2">
        <v>4.1344233656985148E-2</v>
      </c>
      <c r="P638" s="2">
        <v>4.3292883983803234</v>
      </c>
      <c r="R638" t="str">
        <f t="shared" si="27"/>
        <v>yes</v>
      </c>
      <c r="S638" t="str">
        <f t="shared" si="28"/>
        <v>no</v>
      </c>
      <c r="T6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8" s="2" t="b">
        <f t="shared" si="29"/>
        <v>1</v>
      </c>
      <c r="V638" s="2">
        <f>IF(Table4[[#This Row],[linear?]],Table4[[#This Row],[av]],10^(Table4[[#This Row],[av]]/10))</f>
        <v>4.4747777777777782E-2</v>
      </c>
      <c r="W638" s="2">
        <f>IF(Table4[[#This Row],[linear?]],Table4[[#This Row],[av]],10^(Table4[[#This Row],[av]]/10))</f>
        <v>4.4747777777777782E-2</v>
      </c>
      <c r="X638" s="2">
        <f>Table4[[#This Row],[av_lin]]-2*Table4[[#This Row],[std_lin]]</f>
        <v>-4.4747777777777782E-2</v>
      </c>
      <c r="Y638" s="2">
        <f>Table4[[#This Row],[av_lin]]+2*Table4[[#This Row],[std_lin]]</f>
        <v>0.13424333333333335</v>
      </c>
    </row>
    <row r="639" spans="1:25" x14ac:dyDescent="0.35">
      <c r="A639" s="1">
        <v>750</v>
      </c>
      <c r="B639" t="s">
        <v>75</v>
      </c>
      <c r="C639" t="s">
        <v>549</v>
      </c>
      <c r="D639" t="s">
        <v>729</v>
      </c>
      <c r="E639" s="2">
        <v>4.1697777777777778E-2</v>
      </c>
      <c r="F639" s="2">
        <v>8.557087049730178E-3</v>
      </c>
      <c r="G639">
        <v>27</v>
      </c>
      <c r="H639" t="s">
        <v>58</v>
      </c>
      <c r="M639" s="2">
        <v>5.8811951877238131E-2</v>
      </c>
      <c r="N639" s="2">
        <v>2.4583603678317419E-2</v>
      </c>
      <c r="O639" s="2">
        <v>3.4228348198920712E-2</v>
      </c>
      <c r="P639" s="2">
        <v>4.8728939574235826</v>
      </c>
      <c r="R639" t="str">
        <f t="shared" si="27"/>
        <v>yes</v>
      </c>
      <c r="S639" t="str">
        <f t="shared" si="28"/>
        <v>no</v>
      </c>
      <c r="T6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9" s="2" t="b">
        <f t="shared" si="29"/>
        <v>1</v>
      </c>
      <c r="V639" s="2">
        <f>IF(Table4[[#This Row],[linear?]],Table4[[#This Row],[av]],10^(Table4[[#This Row],[av]]/10))</f>
        <v>4.1697777777777778E-2</v>
      </c>
      <c r="W639" s="2">
        <f>IF(Table4[[#This Row],[linear?]],Table4[[#This Row],[av]],10^(Table4[[#This Row],[av]]/10))</f>
        <v>4.1697777777777778E-2</v>
      </c>
      <c r="X639" s="2">
        <f>Table4[[#This Row],[av_lin]]-2*Table4[[#This Row],[std_lin]]</f>
        <v>-4.1697777777777778E-2</v>
      </c>
      <c r="Y639" s="2">
        <f>Table4[[#This Row],[av_lin]]+2*Table4[[#This Row],[std_lin]]</f>
        <v>0.12509333333333333</v>
      </c>
    </row>
    <row r="640" spans="1:25" x14ac:dyDescent="0.35">
      <c r="A640" s="1">
        <v>751</v>
      </c>
      <c r="B640" t="s">
        <v>75</v>
      </c>
      <c r="C640" t="s">
        <v>549</v>
      </c>
      <c r="D640" t="s">
        <v>730</v>
      </c>
      <c r="E640" s="2">
        <v>4.6143209876543219E-3</v>
      </c>
      <c r="F640" s="2">
        <v>2.217422103422146E-3</v>
      </c>
      <c r="G640">
        <v>27</v>
      </c>
      <c r="H640" t="s">
        <v>58</v>
      </c>
      <c r="M640" s="2">
        <v>9.049165194498613E-3</v>
      </c>
      <c r="N640" s="2">
        <v>1.7947678081002989E-4</v>
      </c>
      <c r="O640" s="2">
        <v>8.869688413688584E-3</v>
      </c>
      <c r="P640" s="2">
        <v>2.080939384762623</v>
      </c>
      <c r="R640" t="str">
        <f t="shared" si="27"/>
        <v>yes</v>
      </c>
      <c r="S640" t="str">
        <f t="shared" si="28"/>
        <v>no</v>
      </c>
      <c r="T6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0" s="2" t="b">
        <f t="shared" si="29"/>
        <v>1</v>
      </c>
      <c r="V640" s="2">
        <f>IF(Table4[[#This Row],[linear?]],Table4[[#This Row],[av]],10^(Table4[[#This Row],[av]]/10))</f>
        <v>4.6143209876543219E-3</v>
      </c>
      <c r="W640" s="2">
        <f>IF(Table4[[#This Row],[linear?]],Table4[[#This Row],[av]],10^(Table4[[#This Row],[av]]/10))</f>
        <v>4.6143209876543219E-3</v>
      </c>
      <c r="X640" s="2">
        <f>Table4[[#This Row],[av_lin]]-2*Table4[[#This Row],[std_lin]]</f>
        <v>-4.6143209876543219E-3</v>
      </c>
      <c r="Y640" s="2">
        <f>Table4[[#This Row],[av_lin]]+2*Table4[[#This Row],[std_lin]]</f>
        <v>1.3842962962962967E-2</v>
      </c>
    </row>
    <row r="641" spans="1:25" x14ac:dyDescent="0.35">
      <c r="A641" s="1">
        <v>753</v>
      </c>
      <c r="B641" t="s">
        <v>75</v>
      </c>
      <c r="C641" t="s">
        <v>549</v>
      </c>
      <c r="D641" t="s">
        <v>732</v>
      </c>
      <c r="E641" s="2">
        <v>2.5534567901234579E-3</v>
      </c>
      <c r="F641" s="2">
        <v>1.360844902337848E-3</v>
      </c>
      <c r="G641">
        <v>27</v>
      </c>
      <c r="H641" t="s">
        <v>58</v>
      </c>
      <c r="M641" s="2">
        <v>5.275146594799154E-3</v>
      </c>
      <c r="N641" s="2">
        <v>-1.6823301455223821E-4</v>
      </c>
      <c r="O641" s="2">
        <v>5.4433796093513922E-3</v>
      </c>
      <c r="P641" s="2">
        <v>1.8763760555936799</v>
      </c>
      <c r="R641" t="str">
        <f t="shared" si="27"/>
        <v>yes</v>
      </c>
      <c r="S641" t="str">
        <f t="shared" si="28"/>
        <v>no</v>
      </c>
      <c r="T6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1" s="2" t="b">
        <f t="shared" si="29"/>
        <v>1</v>
      </c>
      <c r="V641" s="2">
        <f>IF(Table4[[#This Row],[linear?]],Table4[[#This Row],[av]],10^(Table4[[#This Row],[av]]/10))</f>
        <v>2.5534567901234579E-3</v>
      </c>
      <c r="W641" s="2">
        <f>IF(Table4[[#This Row],[linear?]],Table4[[#This Row],[av]],10^(Table4[[#This Row],[av]]/10))</f>
        <v>2.5534567901234579E-3</v>
      </c>
      <c r="X641" s="2">
        <f>Table4[[#This Row],[av_lin]]-2*Table4[[#This Row],[std_lin]]</f>
        <v>-2.5534567901234579E-3</v>
      </c>
      <c r="Y641" s="2">
        <f>Table4[[#This Row],[av_lin]]+2*Table4[[#This Row],[std_lin]]</f>
        <v>7.6603703703703738E-3</v>
      </c>
    </row>
    <row r="642" spans="1:25" x14ac:dyDescent="0.35">
      <c r="A642" s="1">
        <v>755</v>
      </c>
      <c r="B642" t="s">
        <v>75</v>
      </c>
      <c r="C642" t="s">
        <v>549</v>
      </c>
      <c r="D642" t="s">
        <v>734</v>
      </c>
      <c r="E642" s="2">
        <v>2.2228395061728402E-2</v>
      </c>
      <c r="F642" s="2">
        <v>2.9972581151869061E-3</v>
      </c>
      <c r="G642">
        <v>27</v>
      </c>
      <c r="H642" t="s">
        <v>58</v>
      </c>
      <c r="M642" s="2">
        <v>2.822291129210221E-2</v>
      </c>
      <c r="N642" s="2">
        <v>1.623387883135459E-2</v>
      </c>
      <c r="O642" s="2">
        <v>1.1989032460747621E-2</v>
      </c>
      <c r="P642" s="2">
        <v>7.416243182093198</v>
      </c>
      <c r="R642" t="str">
        <f t="shared" ref="R642:R705" si="30">IF(H642="yes","yes","no")</f>
        <v>yes</v>
      </c>
      <c r="S642" t="str">
        <f t="shared" ref="S642:S705" si="31">IF(I642,"yes","no")</f>
        <v>no</v>
      </c>
      <c r="T6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2" s="2" t="b">
        <f t="shared" ref="U642:U705" si="32">NOT(ISNUMBER(SEARCH("RFIC*POWER", D642)))</f>
        <v>1</v>
      </c>
      <c r="V642" s="2">
        <f>IF(Table4[[#This Row],[linear?]],Table4[[#This Row],[av]],10^(Table4[[#This Row],[av]]/10))</f>
        <v>2.2228395061728402E-2</v>
      </c>
      <c r="W642" s="2">
        <f>IF(Table4[[#This Row],[linear?]],Table4[[#This Row],[av]],10^(Table4[[#This Row],[av]]/10))</f>
        <v>2.2228395061728402E-2</v>
      </c>
      <c r="X642" s="2">
        <f>Table4[[#This Row],[av_lin]]-2*Table4[[#This Row],[std_lin]]</f>
        <v>-2.2228395061728402E-2</v>
      </c>
      <c r="Y642" s="2">
        <f>Table4[[#This Row],[av_lin]]+2*Table4[[#This Row],[std_lin]]</f>
        <v>6.6685185185185208E-2</v>
      </c>
    </row>
    <row r="643" spans="1:25" x14ac:dyDescent="0.35">
      <c r="A643" s="1">
        <v>757</v>
      </c>
      <c r="B643" t="s">
        <v>75</v>
      </c>
      <c r="C643" t="s">
        <v>549</v>
      </c>
      <c r="D643" t="s">
        <v>736</v>
      </c>
      <c r="E643" s="2">
        <v>3.8187654320987661E-3</v>
      </c>
      <c r="F643" s="2">
        <v>2.256064984931385E-3</v>
      </c>
      <c r="G643">
        <v>27</v>
      </c>
      <c r="H643" t="s">
        <v>58</v>
      </c>
      <c r="M643" s="2">
        <v>8.3308954019615366E-3</v>
      </c>
      <c r="N643" s="2">
        <v>-6.9336453776400403E-4</v>
      </c>
      <c r="O643" s="2">
        <v>9.0242599397255402E-3</v>
      </c>
      <c r="P643" s="2">
        <v>1.692666415907744</v>
      </c>
      <c r="R643" t="str">
        <f t="shared" si="30"/>
        <v>yes</v>
      </c>
      <c r="S643" t="str">
        <f t="shared" si="31"/>
        <v>no</v>
      </c>
      <c r="T6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3" s="2" t="b">
        <f t="shared" si="32"/>
        <v>1</v>
      </c>
      <c r="V643" s="2">
        <f>IF(Table4[[#This Row],[linear?]],Table4[[#This Row],[av]],10^(Table4[[#This Row],[av]]/10))</f>
        <v>3.8187654320987661E-3</v>
      </c>
      <c r="W643" s="2">
        <f>IF(Table4[[#This Row],[linear?]],Table4[[#This Row],[av]],10^(Table4[[#This Row],[av]]/10))</f>
        <v>3.8187654320987661E-3</v>
      </c>
      <c r="X643" s="2">
        <f>Table4[[#This Row],[av_lin]]-2*Table4[[#This Row],[std_lin]]</f>
        <v>-3.8187654320987661E-3</v>
      </c>
      <c r="Y643" s="2">
        <f>Table4[[#This Row],[av_lin]]+2*Table4[[#This Row],[std_lin]]</f>
        <v>1.1456296296296298E-2</v>
      </c>
    </row>
    <row r="644" spans="1:25" x14ac:dyDescent="0.35">
      <c r="A644" s="1">
        <v>759</v>
      </c>
      <c r="B644" t="s">
        <v>75</v>
      </c>
      <c r="C644" t="s">
        <v>549</v>
      </c>
      <c r="D644" t="s">
        <v>738</v>
      </c>
      <c r="E644" s="2">
        <v>2.9445679012345678E-3</v>
      </c>
      <c r="F644" s="2">
        <v>1.5388440735853259E-3</v>
      </c>
      <c r="G644">
        <v>27</v>
      </c>
      <c r="H644" t="s">
        <v>58</v>
      </c>
      <c r="M644" s="2">
        <v>6.0222560484052192E-3</v>
      </c>
      <c r="N644" s="2">
        <v>-1.33120245936084E-4</v>
      </c>
      <c r="O644" s="2">
        <v>6.1553762943413037E-3</v>
      </c>
      <c r="P644" s="2">
        <v>1.91349334983243</v>
      </c>
      <c r="R644" t="str">
        <f t="shared" si="30"/>
        <v>yes</v>
      </c>
      <c r="S644" t="str">
        <f t="shared" si="31"/>
        <v>no</v>
      </c>
      <c r="T6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4" s="2" t="b">
        <f t="shared" si="32"/>
        <v>1</v>
      </c>
      <c r="V644" s="2">
        <f>IF(Table4[[#This Row],[linear?]],Table4[[#This Row],[av]],10^(Table4[[#This Row],[av]]/10))</f>
        <v>2.9445679012345678E-3</v>
      </c>
      <c r="W644" s="2">
        <f>IF(Table4[[#This Row],[linear?]],Table4[[#This Row],[av]],10^(Table4[[#This Row],[av]]/10))</f>
        <v>2.9445679012345678E-3</v>
      </c>
      <c r="X644" s="2">
        <f>Table4[[#This Row],[av_lin]]-2*Table4[[#This Row],[std_lin]]</f>
        <v>-2.9445679012345678E-3</v>
      </c>
      <c r="Y644" s="2">
        <f>Table4[[#This Row],[av_lin]]+2*Table4[[#This Row],[std_lin]]</f>
        <v>8.833703703703703E-3</v>
      </c>
    </row>
    <row r="645" spans="1:25" x14ac:dyDescent="0.35">
      <c r="A645" s="1">
        <v>761</v>
      </c>
      <c r="B645" t="s">
        <v>75</v>
      </c>
      <c r="C645" t="s">
        <v>549</v>
      </c>
      <c r="D645" t="s">
        <v>740</v>
      </c>
      <c r="E645" s="2">
        <v>2.1836296296296291E-2</v>
      </c>
      <c r="F645" s="2">
        <v>2.8207855383608118E-3</v>
      </c>
      <c r="G645">
        <v>27</v>
      </c>
      <c r="H645" t="s">
        <v>58</v>
      </c>
      <c r="M645" s="2">
        <v>2.7477867373017911E-2</v>
      </c>
      <c r="N645" s="2">
        <v>1.6194725219574671E-2</v>
      </c>
      <c r="O645" s="2">
        <v>1.1283142153443251E-2</v>
      </c>
      <c r="P645" s="2">
        <v>7.7412110914981476</v>
      </c>
      <c r="R645" t="str">
        <f t="shared" si="30"/>
        <v>yes</v>
      </c>
      <c r="S645" t="str">
        <f t="shared" si="31"/>
        <v>no</v>
      </c>
      <c r="T6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5" s="2" t="b">
        <f t="shared" si="32"/>
        <v>1</v>
      </c>
      <c r="V645" s="2">
        <f>IF(Table4[[#This Row],[linear?]],Table4[[#This Row],[av]],10^(Table4[[#This Row],[av]]/10))</f>
        <v>2.1836296296296291E-2</v>
      </c>
      <c r="W645" s="2">
        <f>IF(Table4[[#This Row],[linear?]],Table4[[#This Row],[av]],10^(Table4[[#This Row],[av]]/10))</f>
        <v>2.1836296296296291E-2</v>
      </c>
      <c r="X645" s="2">
        <f>Table4[[#This Row],[av_lin]]-2*Table4[[#This Row],[std_lin]]</f>
        <v>-2.1836296296296291E-2</v>
      </c>
      <c r="Y645" s="2">
        <f>Table4[[#This Row],[av_lin]]+2*Table4[[#This Row],[std_lin]]</f>
        <v>6.5508888888888867E-2</v>
      </c>
    </row>
    <row r="646" spans="1:25" x14ac:dyDescent="0.35">
      <c r="A646" s="1">
        <v>763</v>
      </c>
      <c r="B646" t="s">
        <v>75</v>
      </c>
      <c r="C646" t="s">
        <v>549</v>
      </c>
      <c r="D646" t="s">
        <v>742</v>
      </c>
      <c r="E646" s="2">
        <v>3.8827160493827158E-3</v>
      </c>
      <c r="F646" s="2">
        <v>1.673096045011884E-3</v>
      </c>
      <c r="G646">
        <v>27</v>
      </c>
      <c r="H646" t="s">
        <v>58</v>
      </c>
      <c r="M646" s="2">
        <v>7.2289081394064838E-3</v>
      </c>
      <c r="N646" s="2">
        <v>5.3652395935894787E-4</v>
      </c>
      <c r="O646" s="2">
        <v>6.6923841800475359E-3</v>
      </c>
      <c r="P646" s="2">
        <v>2.3206773221169961</v>
      </c>
      <c r="R646" t="str">
        <f t="shared" si="30"/>
        <v>yes</v>
      </c>
      <c r="S646" t="str">
        <f t="shared" si="31"/>
        <v>no</v>
      </c>
      <c r="T6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6" s="2" t="b">
        <f t="shared" si="32"/>
        <v>1</v>
      </c>
      <c r="V646" s="2">
        <f>IF(Table4[[#This Row],[linear?]],Table4[[#This Row],[av]],10^(Table4[[#This Row],[av]]/10))</f>
        <v>3.8827160493827158E-3</v>
      </c>
      <c r="W646" s="2">
        <f>IF(Table4[[#This Row],[linear?]],Table4[[#This Row],[av]],10^(Table4[[#This Row],[av]]/10))</f>
        <v>3.8827160493827158E-3</v>
      </c>
      <c r="X646" s="2">
        <f>Table4[[#This Row],[av_lin]]-2*Table4[[#This Row],[std_lin]]</f>
        <v>-3.8827160493827158E-3</v>
      </c>
      <c r="Y646" s="2">
        <f>Table4[[#This Row],[av_lin]]+2*Table4[[#This Row],[std_lin]]</f>
        <v>1.1648148148148147E-2</v>
      </c>
    </row>
    <row r="647" spans="1:25" x14ac:dyDescent="0.35">
      <c r="A647" s="1">
        <v>765</v>
      </c>
      <c r="B647" t="s">
        <v>75</v>
      </c>
      <c r="C647" t="s">
        <v>549</v>
      </c>
      <c r="D647" t="s">
        <v>744</v>
      </c>
      <c r="E647" s="2">
        <v>1.7076543209876549E-3</v>
      </c>
      <c r="F647" s="2">
        <v>1.674694852625974E-3</v>
      </c>
      <c r="G647">
        <v>27</v>
      </c>
      <c r="H647" t="s">
        <v>58</v>
      </c>
      <c r="M647" s="2">
        <v>5.0570440262396026E-3</v>
      </c>
      <c r="N647" s="2">
        <v>-1.641735384264293E-3</v>
      </c>
      <c r="O647" s="2">
        <v>6.6987794105038958E-3</v>
      </c>
      <c r="P647" s="2">
        <v>1.0196808799585191</v>
      </c>
      <c r="R647" t="str">
        <f t="shared" si="30"/>
        <v>yes</v>
      </c>
      <c r="S647" t="str">
        <f t="shared" si="31"/>
        <v>no</v>
      </c>
      <c r="T6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7" s="2" t="b">
        <f t="shared" si="32"/>
        <v>1</v>
      </c>
      <c r="V647" s="2">
        <f>IF(Table4[[#This Row],[linear?]],Table4[[#This Row],[av]],10^(Table4[[#This Row],[av]]/10))</f>
        <v>1.7076543209876549E-3</v>
      </c>
      <c r="W647" s="2">
        <f>IF(Table4[[#This Row],[linear?]],Table4[[#This Row],[av]],10^(Table4[[#This Row],[av]]/10))</f>
        <v>1.7076543209876549E-3</v>
      </c>
      <c r="X647" s="2">
        <f>Table4[[#This Row],[av_lin]]-2*Table4[[#This Row],[std_lin]]</f>
        <v>-1.7076543209876549E-3</v>
      </c>
      <c r="Y647" s="2">
        <f>Table4[[#This Row],[av_lin]]+2*Table4[[#This Row],[std_lin]]</f>
        <v>5.1229629629629646E-3</v>
      </c>
    </row>
    <row r="648" spans="1:25" x14ac:dyDescent="0.35">
      <c r="A648" s="1">
        <v>767</v>
      </c>
      <c r="B648" t="s">
        <v>75</v>
      </c>
      <c r="C648" t="s">
        <v>549</v>
      </c>
      <c r="D648" t="s">
        <v>746</v>
      </c>
      <c r="E648" s="2">
        <v>2.2058888888888888E-2</v>
      </c>
      <c r="F648" s="2">
        <v>1.648383511916648E-3</v>
      </c>
      <c r="G648">
        <v>27</v>
      </c>
      <c r="H648" t="s">
        <v>58</v>
      </c>
      <c r="M648" s="2">
        <v>2.535565591272218E-2</v>
      </c>
      <c r="N648" s="2">
        <v>1.8762121865055589E-2</v>
      </c>
      <c r="O648" s="2">
        <v>6.593534047666591E-3</v>
      </c>
      <c r="P648" s="2">
        <v>13.382133908413129</v>
      </c>
      <c r="R648" t="str">
        <f t="shared" si="30"/>
        <v>yes</v>
      </c>
      <c r="S648" t="str">
        <f t="shared" si="31"/>
        <v>no</v>
      </c>
      <c r="T6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8" s="2" t="b">
        <f t="shared" si="32"/>
        <v>1</v>
      </c>
      <c r="V648" s="2">
        <f>IF(Table4[[#This Row],[linear?]],Table4[[#This Row],[av]],10^(Table4[[#This Row],[av]]/10))</f>
        <v>2.2058888888888888E-2</v>
      </c>
      <c r="W648" s="2">
        <f>IF(Table4[[#This Row],[linear?]],Table4[[#This Row],[av]],10^(Table4[[#This Row],[av]]/10))</f>
        <v>2.2058888888888888E-2</v>
      </c>
      <c r="X648" s="2">
        <f>Table4[[#This Row],[av_lin]]-2*Table4[[#This Row],[std_lin]]</f>
        <v>-2.2058888888888888E-2</v>
      </c>
      <c r="Y648" s="2">
        <f>Table4[[#This Row],[av_lin]]+2*Table4[[#This Row],[std_lin]]</f>
        <v>6.6176666666666661E-2</v>
      </c>
    </row>
    <row r="649" spans="1:25" x14ac:dyDescent="0.35">
      <c r="A649" s="1">
        <v>770</v>
      </c>
      <c r="B649" t="s">
        <v>75</v>
      </c>
      <c r="C649" t="s">
        <v>549</v>
      </c>
      <c r="D649" t="s">
        <v>749</v>
      </c>
      <c r="E649" s="2">
        <v>3.9430246913580248E-2</v>
      </c>
      <c r="F649" s="2">
        <v>1.273410863966066E-2</v>
      </c>
      <c r="G649">
        <v>27</v>
      </c>
      <c r="H649" t="s">
        <v>58</v>
      </c>
      <c r="M649" s="2">
        <v>6.4898464192901573E-2</v>
      </c>
      <c r="N649" s="2">
        <v>1.3962029634258929E-2</v>
      </c>
      <c r="O649" s="2">
        <v>5.0936434558642649E-2</v>
      </c>
      <c r="P649" s="2">
        <v>3.0964277146791321</v>
      </c>
      <c r="R649" t="str">
        <f t="shared" si="30"/>
        <v>yes</v>
      </c>
      <c r="S649" t="str">
        <f t="shared" si="31"/>
        <v>no</v>
      </c>
      <c r="T6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9" s="2" t="b">
        <f t="shared" si="32"/>
        <v>1</v>
      </c>
      <c r="V649" s="2">
        <f>IF(Table4[[#This Row],[linear?]],Table4[[#This Row],[av]],10^(Table4[[#This Row],[av]]/10))</f>
        <v>3.9430246913580248E-2</v>
      </c>
      <c r="W649" s="2">
        <f>IF(Table4[[#This Row],[linear?]],Table4[[#This Row],[av]],10^(Table4[[#This Row],[av]]/10))</f>
        <v>3.9430246913580248E-2</v>
      </c>
      <c r="X649" s="2">
        <f>Table4[[#This Row],[av_lin]]-2*Table4[[#This Row],[std_lin]]</f>
        <v>-3.9430246913580248E-2</v>
      </c>
      <c r="Y649" s="2">
        <f>Table4[[#This Row],[av_lin]]+2*Table4[[#This Row],[std_lin]]</f>
        <v>0.11829074074074075</v>
      </c>
    </row>
    <row r="650" spans="1:25" x14ac:dyDescent="0.35">
      <c r="A650" s="1">
        <v>771</v>
      </c>
      <c r="B650" t="s">
        <v>75</v>
      </c>
      <c r="C650" t="s">
        <v>549</v>
      </c>
      <c r="D650" t="s">
        <v>750</v>
      </c>
      <c r="E650" s="2">
        <v>3.5437283950617293E-2</v>
      </c>
      <c r="F650" s="2">
        <v>1.1753269597357639E-2</v>
      </c>
      <c r="G650">
        <v>27</v>
      </c>
      <c r="H650" t="s">
        <v>58</v>
      </c>
      <c r="M650" s="2">
        <v>5.8943823145332572E-2</v>
      </c>
      <c r="N650" s="2">
        <v>1.1930744755902009E-2</v>
      </c>
      <c r="O650" s="2">
        <v>4.7013078389430557E-2</v>
      </c>
      <c r="P650" s="2">
        <v>3.015100067013206</v>
      </c>
      <c r="R650" t="str">
        <f t="shared" si="30"/>
        <v>yes</v>
      </c>
      <c r="S650" t="str">
        <f t="shared" si="31"/>
        <v>no</v>
      </c>
      <c r="T6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0" s="2" t="b">
        <f t="shared" si="32"/>
        <v>1</v>
      </c>
      <c r="V650" s="2">
        <f>IF(Table4[[#This Row],[linear?]],Table4[[#This Row],[av]],10^(Table4[[#This Row],[av]]/10))</f>
        <v>3.5437283950617293E-2</v>
      </c>
      <c r="W650" s="2">
        <f>IF(Table4[[#This Row],[linear?]],Table4[[#This Row],[av]],10^(Table4[[#This Row],[av]]/10))</f>
        <v>3.5437283950617293E-2</v>
      </c>
      <c r="X650" s="2">
        <f>Table4[[#This Row],[av_lin]]-2*Table4[[#This Row],[std_lin]]</f>
        <v>-3.5437283950617293E-2</v>
      </c>
      <c r="Y650" s="2">
        <f>Table4[[#This Row],[av_lin]]+2*Table4[[#This Row],[std_lin]]</f>
        <v>0.10631185185185188</v>
      </c>
    </row>
    <row r="651" spans="1:25" x14ac:dyDescent="0.35">
      <c r="A651" s="1">
        <v>772</v>
      </c>
      <c r="B651" t="s">
        <v>75</v>
      </c>
      <c r="C651" t="s">
        <v>549</v>
      </c>
      <c r="D651" t="s">
        <v>751</v>
      </c>
      <c r="E651" s="2">
        <v>3.2619753086419748E-2</v>
      </c>
      <c r="F651" s="2">
        <v>9.7646561506025478E-3</v>
      </c>
      <c r="G651">
        <v>27</v>
      </c>
      <c r="H651" t="s">
        <v>58</v>
      </c>
      <c r="M651" s="2">
        <v>5.2149065387624843E-2</v>
      </c>
      <c r="N651" s="2">
        <v>1.309044078521465E-2</v>
      </c>
      <c r="O651" s="2">
        <v>3.9058624602410191E-2</v>
      </c>
      <c r="P651" s="2">
        <v>3.3405941369893379</v>
      </c>
      <c r="R651" t="str">
        <f t="shared" si="30"/>
        <v>yes</v>
      </c>
      <c r="S651" t="str">
        <f t="shared" si="31"/>
        <v>no</v>
      </c>
      <c r="T6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1" s="2" t="b">
        <f t="shared" si="32"/>
        <v>1</v>
      </c>
      <c r="V651" s="2">
        <f>IF(Table4[[#This Row],[linear?]],Table4[[#This Row],[av]],10^(Table4[[#This Row],[av]]/10))</f>
        <v>3.2619753086419748E-2</v>
      </c>
      <c r="W651" s="2">
        <f>IF(Table4[[#This Row],[linear?]],Table4[[#This Row],[av]],10^(Table4[[#This Row],[av]]/10))</f>
        <v>3.2619753086419748E-2</v>
      </c>
      <c r="X651" s="2">
        <f>Table4[[#This Row],[av_lin]]-2*Table4[[#This Row],[std_lin]]</f>
        <v>-3.2619753086419748E-2</v>
      </c>
      <c r="Y651" s="2">
        <f>Table4[[#This Row],[av_lin]]+2*Table4[[#This Row],[std_lin]]</f>
        <v>9.7859259259259243E-2</v>
      </c>
    </row>
    <row r="652" spans="1:25" x14ac:dyDescent="0.35">
      <c r="A652" s="1">
        <v>773</v>
      </c>
      <c r="B652" t="s">
        <v>75</v>
      </c>
      <c r="C652" t="s">
        <v>549</v>
      </c>
      <c r="D652" t="s">
        <v>752</v>
      </c>
      <c r="E652" s="2">
        <v>7.5025679012345664E-2</v>
      </c>
      <c r="F652" s="2">
        <v>8.2927016215693667E-3</v>
      </c>
      <c r="G652">
        <v>27</v>
      </c>
      <c r="H652" t="s">
        <v>58</v>
      </c>
      <c r="M652" s="2">
        <v>9.1611082255484394E-2</v>
      </c>
      <c r="N652" s="2">
        <v>5.8440275769206927E-2</v>
      </c>
      <c r="O652" s="2">
        <v>3.317080648627746E-2</v>
      </c>
      <c r="P652" s="2">
        <v>9.0471938381580532</v>
      </c>
      <c r="R652" t="str">
        <f t="shared" si="30"/>
        <v>yes</v>
      </c>
      <c r="S652" t="str">
        <f t="shared" si="31"/>
        <v>no</v>
      </c>
      <c r="T6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2" s="2" t="b">
        <f t="shared" si="32"/>
        <v>1</v>
      </c>
      <c r="V652" s="2">
        <f>IF(Table4[[#This Row],[linear?]],Table4[[#This Row],[av]],10^(Table4[[#This Row],[av]]/10))</f>
        <v>7.5025679012345664E-2</v>
      </c>
      <c r="W652" s="2">
        <f>IF(Table4[[#This Row],[linear?]],Table4[[#This Row],[av]],10^(Table4[[#This Row],[av]]/10))</f>
        <v>7.5025679012345664E-2</v>
      </c>
      <c r="X652" s="2">
        <f>Table4[[#This Row],[av_lin]]-2*Table4[[#This Row],[std_lin]]</f>
        <v>-7.5025679012345664E-2</v>
      </c>
      <c r="Y652" s="2">
        <f>Table4[[#This Row],[av_lin]]+2*Table4[[#This Row],[std_lin]]</f>
        <v>0.22507703703703699</v>
      </c>
    </row>
    <row r="653" spans="1:25" x14ac:dyDescent="0.35">
      <c r="A653" s="1">
        <v>775</v>
      </c>
      <c r="B653" t="s">
        <v>75</v>
      </c>
      <c r="C653" t="s">
        <v>549</v>
      </c>
      <c r="D653" t="s">
        <v>754</v>
      </c>
      <c r="E653" s="2">
        <v>4.1061234567901228E-2</v>
      </c>
      <c r="F653" s="2">
        <v>5.7898293825518381E-3</v>
      </c>
      <c r="G653">
        <v>27</v>
      </c>
      <c r="H653" t="s">
        <v>58</v>
      </c>
      <c r="M653" s="2">
        <v>5.2640893333004903E-2</v>
      </c>
      <c r="N653" s="2">
        <v>2.948157580279755E-2</v>
      </c>
      <c r="O653" s="2">
        <v>2.3159317530207349E-2</v>
      </c>
      <c r="P653" s="2">
        <v>7.0919593402256176</v>
      </c>
      <c r="R653" t="str">
        <f t="shared" si="30"/>
        <v>yes</v>
      </c>
      <c r="S653" t="str">
        <f t="shared" si="31"/>
        <v>no</v>
      </c>
      <c r="T6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3" s="2" t="b">
        <f t="shared" si="32"/>
        <v>1</v>
      </c>
      <c r="V653" s="2">
        <f>IF(Table4[[#This Row],[linear?]],Table4[[#This Row],[av]],10^(Table4[[#This Row],[av]]/10))</f>
        <v>4.1061234567901228E-2</v>
      </c>
      <c r="W653" s="2">
        <f>IF(Table4[[#This Row],[linear?]],Table4[[#This Row],[av]],10^(Table4[[#This Row],[av]]/10))</f>
        <v>4.1061234567901228E-2</v>
      </c>
      <c r="X653" s="2">
        <f>Table4[[#This Row],[av_lin]]-2*Table4[[#This Row],[std_lin]]</f>
        <v>-4.1061234567901228E-2</v>
      </c>
      <c r="Y653" s="2">
        <f>Table4[[#This Row],[av_lin]]+2*Table4[[#This Row],[std_lin]]</f>
        <v>0.12318370370370368</v>
      </c>
    </row>
    <row r="654" spans="1:25" x14ac:dyDescent="0.35">
      <c r="A654" s="1">
        <v>776</v>
      </c>
      <c r="B654" t="s">
        <v>75</v>
      </c>
      <c r="C654" t="s">
        <v>549</v>
      </c>
      <c r="D654" t="s">
        <v>755</v>
      </c>
      <c r="E654" s="2">
        <v>4.5206419753086417E-2</v>
      </c>
      <c r="F654" s="2">
        <v>1.0655213266139061E-2</v>
      </c>
      <c r="G654">
        <v>27</v>
      </c>
      <c r="H654" t="s">
        <v>58</v>
      </c>
      <c r="M654" s="2">
        <v>6.6516846285364542E-2</v>
      </c>
      <c r="N654" s="2">
        <v>2.38959932208083E-2</v>
      </c>
      <c r="O654" s="2">
        <v>4.2620853064556249E-2</v>
      </c>
      <c r="P654" s="2">
        <v>4.2426574319959212</v>
      </c>
      <c r="R654" t="str">
        <f t="shared" si="30"/>
        <v>yes</v>
      </c>
      <c r="S654" t="str">
        <f t="shared" si="31"/>
        <v>no</v>
      </c>
      <c r="T6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4" s="2" t="b">
        <f t="shared" si="32"/>
        <v>1</v>
      </c>
      <c r="V654" s="2">
        <f>IF(Table4[[#This Row],[linear?]],Table4[[#This Row],[av]],10^(Table4[[#This Row],[av]]/10))</f>
        <v>4.5206419753086417E-2</v>
      </c>
      <c r="W654" s="2">
        <f>IF(Table4[[#This Row],[linear?]],Table4[[#This Row],[av]],10^(Table4[[#This Row],[av]]/10))</f>
        <v>4.5206419753086417E-2</v>
      </c>
      <c r="X654" s="2">
        <f>Table4[[#This Row],[av_lin]]-2*Table4[[#This Row],[std_lin]]</f>
        <v>-4.5206419753086417E-2</v>
      </c>
      <c r="Y654" s="2">
        <f>Table4[[#This Row],[av_lin]]+2*Table4[[#This Row],[std_lin]]</f>
        <v>0.13561925925925924</v>
      </c>
    </row>
    <row r="655" spans="1:25" x14ac:dyDescent="0.35">
      <c r="A655" s="1">
        <v>777</v>
      </c>
      <c r="B655" t="s">
        <v>75</v>
      </c>
      <c r="C655" t="s">
        <v>549</v>
      </c>
      <c r="D655" t="s">
        <v>756</v>
      </c>
      <c r="E655" s="2">
        <v>4.1076666666666671E-2</v>
      </c>
      <c r="F655" s="2">
        <v>8.6193472842742338E-3</v>
      </c>
      <c r="G655">
        <v>27</v>
      </c>
      <c r="H655" t="s">
        <v>58</v>
      </c>
      <c r="M655" s="2">
        <v>5.8315361235215142E-2</v>
      </c>
      <c r="N655" s="2">
        <v>2.38379720981182E-2</v>
      </c>
      <c r="O655" s="2">
        <v>3.4477389137096928E-2</v>
      </c>
      <c r="P655" s="2">
        <v>4.7656354143671571</v>
      </c>
      <c r="R655" t="str">
        <f t="shared" si="30"/>
        <v>yes</v>
      </c>
      <c r="S655" t="str">
        <f t="shared" si="31"/>
        <v>no</v>
      </c>
      <c r="T6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5" s="2" t="b">
        <f t="shared" si="32"/>
        <v>1</v>
      </c>
      <c r="V655" s="2">
        <f>IF(Table4[[#This Row],[linear?]],Table4[[#This Row],[av]],10^(Table4[[#This Row],[av]]/10))</f>
        <v>4.1076666666666671E-2</v>
      </c>
      <c r="W655" s="2">
        <f>IF(Table4[[#This Row],[linear?]],Table4[[#This Row],[av]],10^(Table4[[#This Row],[av]]/10))</f>
        <v>4.1076666666666671E-2</v>
      </c>
      <c r="X655" s="2">
        <f>Table4[[#This Row],[av_lin]]-2*Table4[[#This Row],[std_lin]]</f>
        <v>-4.1076666666666671E-2</v>
      </c>
      <c r="Y655" s="2">
        <f>Table4[[#This Row],[av_lin]]+2*Table4[[#This Row],[std_lin]]</f>
        <v>0.12323000000000001</v>
      </c>
    </row>
    <row r="656" spans="1:25" x14ac:dyDescent="0.35">
      <c r="A656" s="1">
        <v>779</v>
      </c>
      <c r="B656" t="s">
        <v>75</v>
      </c>
      <c r="C656" t="s">
        <v>549</v>
      </c>
      <c r="D656" t="s">
        <v>758</v>
      </c>
      <c r="E656" s="2">
        <v>4.0042469135802471E-2</v>
      </c>
      <c r="F656" s="2">
        <v>9.709082281707436E-3</v>
      </c>
      <c r="G656">
        <v>27</v>
      </c>
      <c r="H656" t="s">
        <v>58</v>
      </c>
      <c r="M656" s="2">
        <v>5.9460633699217343E-2</v>
      </c>
      <c r="N656" s="2">
        <v>2.0624304572387599E-2</v>
      </c>
      <c r="O656" s="2">
        <v>3.8836329126829737E-2</v>
      </c>
      <c r="P656" s="2">
        <v>4.1242280139334264</v>
      </c>
      <c r="R656" t="str">
        <f t="shared" si="30"/>
        <v>yes</v>
      </c>
      <c r="S656" t="str">
        <f t="shared" si="31"/>
        <v>no</v>
      </c>
      <c r="T6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6" s="2" t="b">
        <f t="shared" si="32"/>
        <v>1</v>
      </c>
      <c r="V656" s="2">
        <f>IF(Table4[[#This Row],[linear?]],Table4[[#This Row],[av]],10^(Table4[[#This Row],[av]]/10))</f>
        <v>4.0042469135802471E-2</v>
      </c>
      <c r="W656" s="2">
        <f>IF(Table4[[#This Row],[linear?]],Table4[[#This Row],[av]],10^(Table4[[#This Row],[av]]/10))</f>
        <v>4.0042469135802471E-2</v>
      </c>
      <c r="X656" s="2">
        <f>Table4[[#This Row],[av_lin]]-2*Table4[[#This Row],[std_lin]]</f>
        <v>-4.0042469135802471E-2</v>
      </c>
      <c r="Y656" s="2">
        <f>Table4[[#This Row],[av_lin]]+2*Table4[[#This Row],[std_lin]]</f>
        <v>0.1201274074074074</v>
      </c>
    </row>
    <row r="657" spans="1:25" x14ac:dyDescent="0.35">
      <c r="A657" s="1">
        <v>780</v>
      </c>
      <c r="B657" t="s">
        <v>75</v>
      </c>
      <c r="C657" t="s">
        <v>549</v>
      </c>
      <c r="D657" t="s">
        <v>759</v>
      </c>
      <c r="E657" s="2">
        <v>3.8504197530864197E-2</v>
      </c>
      <c r="F657" s="2">
        <v>1.054335605348407E-2</v>
      </c>
      <c r="G657">
        <v>27</v>
      </c>
      <c r="H657" t="s">
        <v>58</v>
      </c>
      <c r="M657" s="2">
        <v>5.959090963783234E-2</v>
      </c>
      <c r="N657" s="2">
        <v>1.7417485423896061E-2</v>
      </c>
      <c r="O657" s="2">
        <v>4.2173424213936293E-2</v>
      </c>
      <c r="P657" s="2">
        <v>3.6519868375440492</v>
      </c>
      <c r="R657" t="str">
        <f t="shared" si="30"/>
        <v>yes</v>
      </c>
      <c r="S657" t="str">
        <f t="shared" si="31"/>
        <v>no</v>
      </c>
      <c r="T6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7" s="2" t="b">
        <f t="shared" si="32"/>
        <v>1</v>
      </c>
      <c r="V657" s="2">
        <f>IF(Table4[[#This Row],[linear?]],Table4[[#This Row],[av]],10^(Table4[[#This Row],[av]]/10))</f>
        <v>3.8504197530864197E-2</v>
      </c>
      <c r="W657" s="2">
        <f>IF(Table4[[#This Row],[linear?]],Table4[[#This Row],[av]],10^(Table4[[#This Row],[av]]/10))</f>
        <v>3.8504197530864197E-2</v>
      </c>
      <c r="X657" s="2">
        <f>Table4[[#This Row],[av_lin]]-2*Table4[[#This Row],[std_lin]]</f>
        <v>-3.8504197530864197E-2</v>
      </c>
      <c r="Y657" s="2">
        <f>Table4[[#This Row],[av_lin]]+2*Table4[[#This Row],[std_lin]]</f>
        <v>0.11551259259259258</v>
      </c>
    </row>
    <row r="658" spans="1:25" x14ac:dyDescent="0.35">
      <c r="A658" s="1">
        <v>781</v>
      </c>
      <c r="B658" t="s">
        <v>75</v>
      </c>
      <c r="C658" t="s">
        <v>549</v>
      </c>
      <c r="D658" t="s">
        <v>760</v>
      </c>
      <c r="E658" s="2">
        <v>3.4263580246913582E-2</v>
      </c>
      <c r="F658" s="2">
        <v>8.1813705245812277E-3</v>
      </c>
      <c r="G658">
        <v>27</v>
      </c>
      <c r="H658" t="s">
        <v>58</v>
      </c>
      <c r="M658" s="2">
        <v>5.0626321296076041E-2</v>
      </c>
      <c r="N658" s="2">
        <v>1.790083919775113E-2</v>
      </c>
      <c r="O658" s="2">
        <v>3.2725482098324918E-2</v>
      </c>
      <c r="P658" s="2">
        <v>4.1880000598881812</v>
      </c>
      <c r="R658" t="str">
        <f t="shared" si="30"/>
        <v>yes</v>
      </c>
      <c r="S658" t="str">
        <f t="shared" si="31"/>
        <v>no</v>
      </c>
      <c r="T6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8" s="2" t="b">
        <f t="shared" si="32"/>
        <v>1</v>
      </c>
      <c r="V658" s="2">
        <f>IF(Table4[[#This Row],[linear?]],Table4[[#This Row],[av]],10^(Table4[[#This Row],[av]]/10))</f>
        <v>3.4263580246913582E-2</v>
      </c>
      <c r="W658" s="2">
        <f>IF(Table4[[#This Row],[linear?]],Table4[[#This Row],[av]],10^(Table4[[#This Row],[av]]/10))</f>
        <v>3.4263580246913582E-2</v>
      </c>
      <c r="X658" s="2">
        <f>Table4[[#This Row],[av_lin]]-2*Table4[[#This Row],[std_lin]]</f>
        <v>-3.4263580246913582E-2</v>
      </c>
      <c r="Y658" s="2">
        <f>Table4[[#This Row],[av_lin]]+2*Table4[[#This Row],[std_lin]]</f>
        <v>0.10279074074074074</v>
      </c>
    </row>
    <row r="659" spans="1:25" x14ac:dyDescent="0.35">
      <c r="A659" s="1">
        <v>782</v>
      </c>
      <c r="B659" t="s">
        <v>75</v>
      </c>
      <c r="C659" t="s">
        <v>549</v>
      </c>
      <c r="D659" t="s">
        <v>761</v>
      </c>
      <c r="E659" s="2">
        <v>7.6402222222222219E-2</v>
      </c>
      <c r="F659" s="2">
        <v>6.3844945705437851E-3</v>
      </c>
      <c r="G659">
        <v>27</v>
      </c>
      <c r="H659" t="s">
        <v>58</v>
      </c>
      <c r="M659" s="2">
        <v>8.9171211363309785E-2</v>
      </c>
      <c r="N659" s="2">
        <v>6.3633233081134652E-2</v>
      </c>
      <c r="O659" s="2">
        <v>2.553797828217513E-2</v>
      </c>
      <c r="P659" s="2">
        <v>11.96683956388968</v>
      </c>
      <c r="R659" t="str">
        <f t="shared" si="30"/>
        <v>yes</v>
      </c>
      <c r="S659" t="str">
        <f t="shared" si="31"/>
        <v>no</v>
      </c>
      <c r="T6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9" s="2" t="b">
        <f t="shared" si="32"/>
        <v>1</v>
      </c>
      <c r="V659" s="2">
        <f>IF(Table4[[#This Row],[linear?]],Table4[[#This Row],[av]],10^(Table4[[#This Row],[av]]/10))</f>
        <v>7.6402222222222219E-2</v>
      </c>
      <c r="W659" s="2">
        <f>IF(Table4[[#This Row],[linear?]],Table4[[#This Row],[av]],10^(Table4[[#This Row],[av]]/10))</f>
        <v>7.6402222222222219E-2</v>
      </c>
      <c r="X659" s="2">
        <f>Table4[[#This Row],[av_lin]]-2*Table4[[#This Row],[std_lin]]</f>
        <v>-7.6402222222222219E-2</v>
      </c>
      <c r="Y659" s="2">
        <f>Table4[[#This Row],[av_lin]]+2*Table4[[#This Row],[std_lin]]</f>
        <v>0.22920666666666667</v>
      </c>
    </row>
    <row r="660" spans="1:25" x14ac:dyDescent="0.35">
      <c r="A660" s="1">
        <v>784</v>
      </c>
      <c r="B660" t="s">
        <v>75</v>
      </c>
      <c r="C660" t="s">
        <v>549</v>
      </c>
      <c r="D660" t="s">
        <v>763</v>
      </c>
      <c r="E660" s="2">
        <v>4.2326543209876548E-2</v>
      </c>
      <c r="F660" s="2">
        <v>6.0498100685190698E-3</v>
      </c>
      <c r="G660">
        <v>27</v>
      </c>
      <c r="H660" t="s">
        <v>58</v>
      </c>
      <c r="M660" s="2">
        <v>5.4426163346914691E-2</v>
      </c>
      <c r="N660" s="2">
        <v>3.0226923072838412E-2</v>
      </c>
      <c r="O660" s="2">
        <v>2.4199240274076279E-2</v>
      </c>
      <c r="P660" s="2">
        <v>6.9963424852174976</v>
      </c>
      <c r="R660" t="str">
        <f t="shared" si="30"/>
        <v>yes</v>
      </c>
      <c r="S660" t="str">
        <f t="shared" si="31"/>
        <v>no</v>
      </c>
      <c r="T6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0" s="2" t="b">
        <f t="shared" si="32"/>
        <v>1</v>
      </c>
      <c r="V660" s="2">
        <f>IF(Table4[[#This Row],[linear?]],Table4[[#This Row],[av]],10^(Table4[[#This Row],[av]]/10))</f>
        <v>4.2326543209876548E-2</v>
      </c>
      <c r="W660" s="2">
        <f>IF(Table4[[#This Row],[linear?]],Table4[[#This Row],[av]],10^(Table4[[#This Row],[av]]/10))</f>
        <v>4.2326543209876548E-2</v>
      </c>
      <c r="X660" s="2">
        <f>Table4[[#This Row],[av_lin]]-2*Table4[[#This Row],[std_lin]]</f>
        <v>-4.2326543209876548E-2</v>
      </c>
      <c r="Y660" s="2">
        <f>Table4[[#This Row],[av_lin]]+2*Table4[[#This Row],[std_lin]]</f>
        <v>0.12697962962962964</v>
      </c>
    </row>
    <row r="661" spans="1:25" x14ac:dyDescent="0.35">
      <c r="A661" s="1">
        <v>785</v>
      </c>
      <c r="B661" t="s">
        <v>75</v>
      </c>
      <c r="C661" t="s">
        <v>549</v>
      </c>
      <c r="D661" t="s">
        <v>764</v>
      </c>
      <c r="E661" s="2">
        <v>4.3996790123456787E-2</v>
      </c>
      <c r="F661" s="2">
        <v>5.4081384647754333E-3</v>
      </c>
      <c r="G661">
        <v>27</v>
      </c>
      <c r="H661" t="s">
        <v>58</v>
      </c>
      <c r="M661" s="2">
        <v>5.4813067053007647E-2</v>
      </c>
      <c r="N661" s="2">
        <v>3.3180513193905921E-2</v>
      </c>
      <c r="O661" s="2">
        <v>2.163255385910173E-2</v>
      </c>
      <c r="P661" s="2">
        <v>8.1352928387501446</v>
      </c>
      <c r="R661" t="str">
        <f t="shared" si="30"/>
        <v>yes</v>
      </c>
      <c r="S661" t="str">
        <f t="shared" si="31"/>
        <v>no</v>
      </c>
      <c r="T6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1" s="2" t="b">
        <f t="shared" si="32"/>
        <v>1</v>
      </c>
      <c r="V661" s="2">
        <f>IF(Table4[[#This Row],[linear?]],Table4[[#This Row],[av]],10^(Table4[[#This Row],[av]]/10))</f>
        <v>4.3996790123456787E-2</v>
      </c>
      <c r="W661" s="2">
        <f>IF(Table4[[#This Row],[linear?]],Table4[[#This Row],[av]],10^(Table4[[#This Row],[av]]/10))</f>
        <v>4.3996790123456787E-2</v>
      </c>
      <c r="X661" s="2">
        <f>Table4[[#This Row],[av_lin]]-2*Table4[[#This Row],[std_lin]]</f>
        <v>-4.3996790123456787E-2</v>
      </c>
      <c r="Y661" s="2">
        <f>Table4[[#This Row],[av_lin]]+2*Table4[[#This Row],[std_lin]]</f>
        <v>0.13199037037037037</v>
      </c>
    </row>
    <row r="662" spans="1:25" x14ac:dyDescent="0.35">
      <c r="A662" s="1">
        <v>786</v>
      </c>
      <c r="B662" t="s">
        <v>75</v>
      </c>
      <c r="C662" t="s">
        <v>549</v>
      </c>
      <c r="D662" t="s">
        <v>765</v>
      </c>
      <c r="E662" s="2">
        <v>4.1565308641975308E-2</v>
      </c>
      <c r="F662" s="2">
        <v>5.1915712485878706E-3</v>
      </c>
      <c r="G662">
        <v>27</v>
      </c>
      <c r="H662" t="s">
        <v>58</v>
      </c>
      <c r="M662" s="2">
        <v>5.1948451139151051E-2</v>
      </c>
      <c r="N662" s="2">
        <v>3.1182166144799569E-2</v>
      </c>
      <c r="O662" s="2">
        <v>2.0766284994351489E-2</v>
      </c>
      <c r="P662" s="2">
        <v>8.0063061165309541</v>
      </c>
      <c r="R662" t="str">
        <f t="shared" si="30"/>
        <v>yes</v>
      </c>
      <c r="S662" t="str">
        <f t="shared" si="31"/>
        <v>no</v>
      </c>
      <c r="T6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2" s="2" t="b">
        <f t="shared" si="32"/>
        <v>1</v>
      </c>
      <c r="V662" s="2">
        <f>IF(Table4[[#This Row],[linear?]],Table4[[#This Row],[av]],10^(Table4[[#This Row],[av]]/10))</f>
        <v>4.1565308641975308E-2</v>
      </c>
      <c r="W662" s="2">
        <f>IF(Table4[[#This Row],[linear?]],Table4[[#This Row],[av]],10^(Table4[[#This Row],[av]]/10))</f>
        <v>4.1565308641975308E-2</v>
      </c>
      <c r="X662" s="2">
        <f>Table4[[#This Row],[av_lin]]-2*Table4[[#This Row],[std_lin]]</f>
        <v>-4.1565308641975308E-2</v>
      </c>
      <c r="Y662" s="2">
        <f>Table4[[#This Row],[av_lin]]+2*Table4[[#This Row],[std_lin]]</f>
        <v>0.12469592592592593</v>
      </c>
    </row>
    <row r="663" spans="1:25" x14ac:dyDescent="0.35">
      <c r="A663" s="1">
        <v>788</v>
      </c>
      <c r="B663" t="s">
        <v>75</v>
      </c>
      <c r="C663" t="s">
        <v>549</v>
      </c>
      <c r="D663" t="s">
        <v>767</v>
      </c>
      <c r="E663" s="2">
        <v>3.2961604938271598E-2</v>
      </c>
      <c r="F663" s="2">
        <v>8.614085618382207E-3</v>
      </c>
      <c r="G663">
        <v>27</v>
      </c>
      <c r="H663" t="s">
        <v>58</v>
      </c>
      <c r="M663" s="2">
        <v>5.0189776175036012E-2</v>
      </c>
      <c r="N663" s="2">
        <v>1.573343370150718E-2</v>
      </c>
      <c r="O663" s="2">
        <v>3.4456342473528828E-2</v>
      </c>
      <c r="P663" s="2">
        <v>3.8264775158413209</v>
      </c>
      <c r="R663" t="str">
        <f t="shared" si="30"/>
        <v>yes</v>
      </c>
      <c r="S663" t="str">
        <f t="shared" si="31"/>
        <v>no</v>
      </c>
      <c r="T6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3" s="2" t="b">
        <f t="shared" si="32"/>
        <v>1</v>
      </c>
      <c r="V663" s="2">
        <f>IF(Table4[[#This Row],[linear?]],Table4[[#This Row],[av]],10^(Table4[[#This Row],[av]]/10))</f>
        <v>3.2961604938271598E-2</v>
      </c>
      <c r="W663" s="2">
        <f>IF(Table4[[#This Row],[linear?]],Table4[[#This Row],[av]],10^(Table4[[#This Row],[av]]/10))</f>
        <v>3.2961604938271598E-2</v>
      </c>
      <c r="X663" s="2">
        <f>Table4[[#This Row],[av_lin]]-2*Table4[[#This Row],[std_lin]]</f>
        <v>-3.2961604938271598E-2</v>
      </c>
      <c r="Y663" s="2">
        <f>Table4[[#This Row],[av_lin]]+2*Table4[[#This Row],[std_lin]]</f>
        <v>9.8884814814814787E-2</v>
      </c>
    </row>
    <row r="664" spans="1:25" x14ac:dyDescent="0.35">
      <c r="A664" s="1">
        <v>789</v>
      </c>
      <c r="B664" t="s">
        <v>75</v>
      </c>
      <c r="C664" t="s">
        <v>549</v>
      </c>
      <c r="D664" t="s">
        <v>768</v>
      </c>
      <c r="E664" s="2">
        <v>3.5377037037037033E-2</v>
      </c>
      <c r="F664" s="2">
        <v>1.0029078016963341E-2</v>
      </c>
      <c r="G664">
        <v>27</v>
      </c>
      <c r="H664" t="s">
        <v>58</v>
      </c>
      <c r="M664" s="2">
        <v>5.5435193070963708E-2</v>
      </c>
      <c r="N664" s="2">
        <v>1.531888100311035E-2</v>
      </c>
      <c r="O664" s="2">
        <v>4.0116312067853363E-2</v>
      </c>
      <c r="P664" s="2">
        <v>3.5274465885298478</v>
      </c>
      <c r="R664" t="str">
        <f t="shared" si="30"/>
        <v>yes</v>
      </c>
      <c r="S664" t="str">
        <f t="shared" si="31"/>
        <v>no</v>
      </c>
      <c r="T6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4" s="2" t="b">
        <f t="shared" si="32"/>
        <v>1</v>
      </c>
      <c r="V664" s="2">
        <f>IF(Table4[[#This Row],[linear?]],Table4[[#This Row],[av]],10^(Table4[[#This Row],[av]]/10))</f>
        <v>3.5377037037037033E-2</v>
      </c>
      <c r="W664" s="2">
        <f>IF(Table4[[#This Row],[linear?]],Table4[[#This Row],[av]],10^(Table4[[#This Row],[av]]/10))</f>
        <v>3.5377037037037033E-2</v>
      </c>
      <c r="X664" s="2">
        <f>Table4[[#This Row],[av_lin]]-2*Table4[[#This Row],[std_lin]]</f>
        <v>-3.5377037037037033E-2</v>
      </c>
      <c r="Y664" s="2">
        <f>Table4[[#This Row],[av_lin]]+2*Table4[[#This Row],[std_lin]]</f>
        <v>0.10613111111111109</v>
      </c>
    </row>
    <row r="665" spans="1:25" x14ac:dyDescent="0.35">
      <c r="A665" s="1">
        <v>790</v>
      </c>
      <c r="B665" t="s">
        <v>75</v>
      </c>
      <c r="C665" t="s">
        <v>549</v>
      </c>
      <c r="D665" t="s">
        <v>769</v>
      </c>
      <c r="E665" s="2">
        <v>2.6925802469135798E-2</v>
      </c>
      <c r="F665" s="2">
        <v>5.2162674219504964E-3</v>
      </c>
      <c r="G665">
        <v>27</v>
      </c>
      <c r="H665" t="s">
        <v>58</v>
      </c>
      <c r="M665" s="2">
        <v>3.7358337313036789E-2</v>
      </c>
      <c r="N665" s="2">
        <v>1.6493267625234811E-2</v>
      </c>
      <c r="O665" s="2">
        <v>2.0865069687801979E-2</v>
      </c>
      <c r="P665" s="2">
        <v>5.1618907335597353</v>
      </c>
      <c r="R665" t="str">
        <f t="shared" si="30"/>
        <v>yes</v>
      </c>
      <c r="S665" t="str">
        <f t="shared" si="31"/>
        <v>no</v>
      </c>
      <c r="T6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5" s="2" t="b">
        <f t="shared" si="32"/>
        <v>1</v>
      </c>
      <c r="V665" s="2">
        <f>IF(Table4[[#This Row],[linear?]],Table4[[#This Row],[av]],10^(Table4[[#This Row],[av]]/10))</f>
        <v>2.6925802469135798E-2</v>
      </c>
      <c r="W665" s="2">
        <f>IF(Table4[[#This Row],[linear?]],Table4[[#This Row],[av]],10^(Table4[[#This Row],[av]]/10))</f>
        <v>2.6925802469135798E-2</v>
      </c>
      <c r="X665" s="2">
        <f>Table4[[#This Row],[av_lin]]-2*Table4[[#This Row],[std_lin]]</f>
        <v>-2.6925802469135798E-2</v>
      </c>
      <c r="Y665" s="2">
        <f>Table4[[#This Row],[av_lin]]+2*Table4[[#This Row],[std_lin]]</f>
        <v>8.0777407407407395E-2</v>
      </c>
    </row>
    <row r="666" spans="1:25" x14ac:dyDescent="0.35">
      <c r="A666" s="1">
        <v>791</v>
      </c>
      <c r="B666" t="s">
        <v>75</v>
      </c>
      <c r="C666" t="s">
        <v>549</v>
      </c>
      <c r="D666" t="s">
        <v>770</v>
      </c>
      <c r="E666" s="2">
        <v>7.244271604938271E-2</v>
      </c>
      <c r="F666" s="2">
        <v>5.8354165075910659E-3</v>
      </c>
      <c r="G666">
        <v>27</v>
      </c>
      <c r="H666" t="s">
        <v>58</v>
      </c>
      <c r="M666" s="2">
        <v>8.4113549064564835E-2</v>
      </c>
      <c r="N666" s="2">
        <v>6.0771883034200579E-2</v>
      </c>
      <c r="O666" s="2">
        <v>2.334166603036426E-2</v>
      </c>
      <c r="P666" s="2">
        <v>12.41431797629952</v>
      </c>
      <c r="R666" t="str">
        <f t="shared" si="30"/>
        <v>yes</v>
      </c>
      <c r="S666" t="str">
        <f t="shared" si="31"/>
        <v>no</v>
      </c>
      <c r="T6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6" s="2" t="b">
        <f t="shared" si="32"/>
        <v>1</v>
      </c>
      <c r="V666" s="2">
        <f>IF(Table4[[#This Row],[linear?]],Table4[[#This Row],[av]],10^(Table4[[#This Row],[av]]/10))</f>
        <v>7.244271604938271E-2</v>
      </c>
      <c r="W666" s="2">
        <f>IF(Table4[[#This Row],[linear?]],Table4[[#This Row],[av]],10^(Table4[[#This Row],[av]]/10))</f>
        <v>7.244271604938271E-2</v>
      </c>
      <c r="X666" s="2">
        <f>Table4[[#This Row],[av_lin]]-2*Table4[[#This Row],[std_lin]]</f>
        <v>-7.244271604938271E-2</v>
      </c>
      <c r="Y666" s="2">
        <f>Table4[[#This Row],[av_lin]]+2*Table4[[#This Row],[std_lin]]</f>
        <v>0.21732814814814813</v>
      </c>
    </row>
    <row r="667" spans="1:25" x14ac:dyDescent="0.35">
      <c r="A667" s="1">
        <v>793</v>
      </c>
      <c r="B667" t="s">
        <v>75</v>
      </c>
      <c r="C667" t="s">
        <v>549</v>
      </c>
      <c r="D667" t="s">
        <v>772</v>
      </c>
      <c r="E667" s="2">
        <v>3.694222222222223E-2</v>
      </c>
      <c r="F667" s="2">
        <v>3.9720877687399719E-3</v>
      </c>
      <c r="G667">
        <v>27</v>
      </c>
      <c r="H667" t="s">
        <v>58</v>
      </c>
      <c r="M667" s="2">
        <v>4.4886397759702171E-2</v>
      </c>
      <c r="N667" s="2">
        <v>2.899804668474229E-2</v>
      </c>
      <c r="O667" s="2">
        <v>1.5888351074959881E-2</v>
      </c>
      <c r="P667" s="2">
        <v>9.300454665920201</v>
      </c>
      <c r="R667" t="str">
        <f t="shared" si="30"/>
        <v>yes</v>
      </c>
      <c r="S667" t="str">
        <f t="shared" si="31"/>
        <v>no</v>
      </c>
      <c r="T6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7" s="2" t="b">
        <f t="shared" si="32"/>
        <v>1</v>
      </c>
      <c r="V667" s="2">
        <f>IF(Table4[[#This Row],[linear?]],Table4[[#This Row],[av]],10^(Table4[[#This Row],[av]]/10))</f>
        <v>3.694222222222223E-2</v>
      </c>
      <c r="W667" s="2">
        <f>IF(Table4[[#This Row],[linear?]],Table4[[#This Row],[av]],10^(Table4[[#This Row],[av]]/10))</f>
        <v>3.694222222222223E-2</v>
      </c>
      <c r="X667" s="2">
        <f>Table4[[#This Row],[av_lin]]-2*Table4[[#This Row],[std_lin]]</f>
        <v>-3.694222222222223E-2</v>
      </c>
      <c r="Y667" s="2">
        <f>Table4[[#This Row],[av_lin]]+2*Table4[[#This Row],[std_lin]]</f>
        <v>0.11082666666666668</v>
      </c>
    </row>
    <row r="668" spans="1:25" x14ac:dyDescent="0.35">
      <c r="A668" s="1">
        <v>794</v>
      </c>
      <c r="B668" t="s">
        <v>75</v>
      </c>
      <c r="C668" t="s">
        <v>549</v>
      </c>
      <c r="D668" t="s">
        <v>773</v>
      </c>
      <c r="E668" s="2">
        <v>4.3022592592592591E-2</v>
      </c>
      <c r="F668" s="2">
        <v>4.6382023865415654E-3</v>
      </c>
      <c r="G668">
        <v>27</v>
      </c>
      <c r="H668" t="s">
        <v>58</v>
      </c>
      <c r="M668" s="2">
        <v>5.2298997365675733E-2</v>
      </c>
      <c r="N668" s="2">
        <v>3.3746187819509457E-2</v>
      </c>
      <c r="O668" s="2">
        <v>1.8552809546166268E-2</v>
      </c>
      <c r="P668" s="2">
        <v>9.2757040351298699</v>
      </c>
      <c r="R668" t="str">
        <f t="shared" si="30"/>
        <v>yes</v>
      </c>
      <c r="S668" t="str">
        <f t="shared" si="31"/>
        <v>no</v>
      </c>
      <c r="T6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8" s="2" t="b">
        <f t="shared" si="32"/>
        <v>1</v>
      </c>
      <c r="V668" s="2">
        <f>IF(Table4[[#This Row],[linear?]],Table4[[#This Row],[av]],10^(Table4[[#This Row],[av]]/10))</f>
        <v>4.3022592592592591E-2</v>
      </c>
      <c r="W668" s="2">
        <f>IF(Table4[[#This Row],[linear?]],Table4[[#This Row],[av]],10^(Table4[[#This Row],[av]]/10))</f>
        <v>4.3022592592592591E-2</v>
      </c>
      <c r="X668" s="2">
        <f>Table4[[#This Row],[av_lin]]-2*Table4[[#This Row],[std_lin]]</f>
        <v>-4.3022592592592591E-2</v>
      </c>
      <c r="Y668" s="2">
        <f>Table4[[#This Row],[av_lin]]+2*Table4[[#This Row],[std_lin]]</f>
        <v>0.12906777777777778</v>
      </c>
    </row>
    <row r="669" spans="1:25" x14ac:dyDescent="0.35">
      <c r="A669" s="1">
        <v>795</v>
      </c>
      <c r="B669" t="s">
        <v>75</v>
      </c>
      <c r="C669" t="s">
        <v>549</v>
      </c>
      <c r="D669" t="s">
        <v>774</v>
      </c>
      <c r="E669" s="2">
        <v>3.6496296296296298E-2</v>
      </c>
      <c r="F669" s="2">
        <v>5.04994497100336E-3</v>
      </c>
      <c r="G669">
        <v>27</v>
      </c>
      <c r="H669" t="s">
        <v>58</v>
      </c>
      <c r="M669" s="2">
        <v>4.6596186238303007E-2</v>
      </c>
      <c r="N669" s="2">
        <v>2.6396406354289581E-2</v>
      </c>
      <c r="O669" s="2">
        <v>2.019977988401344E-2</v>
      </c>
      <c r="P669" s="2">
        <v>7.2270681177432614</v>
      </c>
      <c r="R669" t="str">
        <f t="shared" si="30"/>
        <v>yes</v>
      </c>
      <c r="S669" t="str">
        <f t="shared" si="31"/>
        <v>no</v>
      </c>
      <c r="T6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9" s="2" t="b">
        <f t="shared" si="32"/>
        <v>1</v>
      </c>
      <c r="V669" s="2">
        <f>IF(Table4[[#This Row],[linear?]],Table4[[#This Row],[av]],10^(Table4[[#This Row],[av]]/10))</f>
        <v>3.6496296296296298E-2</v>
      </c>
      <c r="W669" s="2">
        <f>IF(Table4[[#This Row],[linear?]],Table4[[#This Row],[av]],10^(Table4[[#This Row],[av]]/10))</f>
        <v>3.6496296296296298E-2</v>
      </c>
      <c r="X669" s="2">
        <f>Table4[[#This Row],[av_lin]]-2*Table4[[#This Row],[std_lin]]</f>
        <v>-3.6496296296296298E-2</v>
      </c>
      <c r="Y669" s="2">
        <f>Table4[[#This Row],[av_lin]]+2*Table4[[#This Row],[std_lin]]</f>
        <v>0.10948888888888889</v>
      </c>
    </row>
    <row r="670" spans="1:25" x14ac:dyDescent="0.35">
      <c r="A670" s="1">
        <v>796</v>
      </c>
      <c r="B670" t="s">
        <v>75</v>
      </c>
      <c r="C670" t="s">
        <v>549</v>
      </c>
      <c r="D670" t="s">
        <v>775</v>
      </c>
      <c r="E670" s="2">
        <v>3.4861728395061738E-3</v>
      </c>
      <c r="F670" s="2">
        <v>2.1136107263599992E-3</v>
      </c>
      <c r="G670">
        <v>27</v>
      </c>
      <c r="H670" t="s">
        <v>58</v>
      </c>
      <c r="M670" s="2">
        <v>7.7133942922261722E-3</v>
      </c>
      <c r="N670" s="2">
        <v>-7.4104861321382456E-4</v>
      </c>
      <c r="O670" s="2">
        <v>8.4544429054399968E-3</v>
      </c>
      <c r="P670" s="2">
        <v>1.649392102352718</v>
      </c>
      <c r="R670" t="str">
        <f t="shared" si="30"/>
        <v>yes</v>
      </c>
      <c r="S670" t="str">
        <f t="shared" si="31"/>
        <v>no</v>
      </c>
      <c r="T6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0" s="2" t="b">
        <f t="shared" si="32"/>
        <v>1</v>
      </c>
      <c r="V670" s="2">
        <f>IF(Table4[[#This Row],[linear?]],Table4[[#This Row],[av]],10^(Table4[[#This Row],[av]]/10))</f>
        <v>3.4861728395061738E-3</v>
      </c>
      <c r="W670" s="2">
        <f>IF(Table4[[#This Row],[linear?]],Table4[[#This Row],[av]],10^(Table4[[#This Row],[av]]/10))</f>
        <v>3.4861728395061738E-3</v>
      </c>
      <c r="X670" s="2">
        <f>Table4[[#This Row],[av_lin]]-2*Table4[[#This Row],[std_lin]]</f>
        <v>-3.4861728395061738E-3</v>
      </c>
      <c r="Y670" s="2">
        <f>Table4[[#This Row],[av_lin]]+2*Table4[[#This Row],[std_lin]]</f>
        <v>1.0458518518518522E-2</v>
      </c>
    </row>
    <row r="671" spans="1:25" x14ac:dyDescent="0.35">
      <c r="A671" s="1">
        <v>798</v>
      </c>
      <c r="B671" t="s">
        <v>75</v>
      </c>
      <c r="C671" t="s">
        <v>549</v>
      </c>
      <c r="D671" t="s">
        <v>777</v>
      </c>
      <c r="E671" s="2">
        <v>2.7129629629629639E-3</v>
      </c>
      <c r="F671" s="2">
        <v>2.0818020889629232E-3</v>
      </c>
      <c r="G671">
        <v>27</v>
      </c>
      <c r="H671" t="s">
        <v>58</v>
      </c>
      <c r="M671" s="2">
        <v>6.8765671408888103E-3</v>
      </c>
      <c r="N671" s="2">
        <v>-1.450641214962882E-3</v>
      </c>
      <c r="O671" s="2">
        <v>8.3272083558516927E-3</v>
      </c>
      <c r="P671" s="2">
        <v>1.303180056041956</v>
      </c>
      <c r="R671" t="str">
        <f t="shared" si="30"/>
        <v>yes</v>
      </c>
      <c r="S671" t="str">
        <f t="shared" si="31"/>
        <v>no</v>
      </c>
      <c r="T6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1" s="2" t="b">
        <f t="shared" si="32"/>
        <v>1</v>
      </c>
      <c r="V671" s="2">
        <f>IF(Table4[[#This Row],[linear?]],Table4[[#This Row],[av]],10^(Table4[[#This Row],[av]]/10))</f>
        <v>2.7129629629629639E-3</v>
      </c>
      <c r="W671" s="2">
        <f>IF(Table4[[#This Row],[linear?]],Table4[[#This Row],[av]],10^(Table4[[#This Row],[av]]/10))</f>
        <v>2.7129629629629639E-3</v>
      </c>
      <c r="X671" s="2">
        <f>Table4[[#This Row],[av_lin]]-2*Table4[[#This Row],[std_lin]]</f>
        <v>-2.7129629629629639E-3</v>
      </c>
      <c r="Y671" s="2">
        <f>Table4[[#This Row],[av_lin]]+2*Table4[[#This Row],[std_lin]]</f>
        <v>8.1388888888888917E-3</v>
      </c>
    </row>
    <row r="672" spans="1:25" x14ac:dyDescent="0.35">
      <c r="A672" s="1">
        <v>800</v>
      </c>
      <c r="B672" t="s">
        <v>75</v>
      </c>
      <c r="C672" t="s">
        <v>549</v>
      </c>
      <c r="D672" t="s">
        <v>779</v>
      </c>
      <c r="E672" s="2">
        <v>2.5413950617283951E-2</v>
      </c>
      <c r="F672" s="2">
        <v>3.310986360455276E-3</v>
      </c>
      <c r="G672">
        <v>27</v>
      </c>
      <c r="H672" t="s">
        <v>58</v>
      </c>
      <c r="M672" s="2">
        <v>3.2035923338194501E-2</v>
      </c>
      <c r="N672" s="2">
        <v>1.87919778963734E-2</v>
      </c>
      <c r="O672" s="2">
        <v>1.3243945441821101E-2</v>
      </c>
      <c r="P672" s="2">
        <v>7.6756434036742496</v>
      </c>
      <c r="R672" t="str">
        <f t="shared" si="30"/>
        <v>yes</v>
      </c>
      <c r="S672" t="str">
        <f t="shared" si="31"/>
        <v>no</v>
      </c>
      <c r="T6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2" s="2" t="b">
        <f t="shared" si="32"/>
        <v>1</v>
      </c>
      <c r="V672" s="2">
        <f>IF(Table4[[#This Row],[linear?]],Table4[[#This Row],[av]],10^(Table4[[#This Row],[av]]/10))</f>
        <v>2.5413950617283951E-2</v>
      </c>
      <c r="W672" s="2">
        <f>IF(Table4[[#This Row],[linear?]],Table4[[#This Row],[av]],10^(Table4[[#This Row],[av]]/10))</f>
        <v>2.5413950617283951E-2</v>
      </c>
      <c r="X672" s="2">
        <f>Table4[[#This Row],[av_lin]]-2*Table4[[#This Row],[std_lin]]</f>
        <v>-2.5413950617283951E-2</v>
      </c>
      <c r="Y672" s="2">
        <f>Table4[[#This Row],[av_lin]]+2*Table4[[#This Row],[std_lin]]</f>
        <v>7.6241851851851852E-2</v>
      </c>
    </row>
    <row r="673" spans="1:25" x14ac:dyDescent="0.35">
      <c r="A673" s="1">
        <v>802</v>
      </c>
      <c r="B673" t="s">
        <v>75</v>
      </c>
      <c r="C673" t="s">
        <v>549</v>
      </c>
      <c r="D673" t="s">
        <v>781</v>
      </c>
      <c r="E673" s="2">
        <v>3.8853086419753089E-3</v>
      </c>
      <c r="F673" s="2">
        <v>1.6075366224980331E-3</v>
      </c>
      <c r="G673">
        <v>27</v>
      </c>
      <c r="H673" t="s">
        <v>58</v>
      </c>
      <c r="M673" s="2">
        <v>7.100381886971375E-3</v>
      </c>
      <c r="N673" s="2">
        <v>6.7023539697924281E-4</v>
      </c>
      <c r="O673" s="2">
        <v>6.4301464899921322E-3</v>
      </c>
      <c r="P673" s="2">
        <v>2.416933205501552</v>
      </c>
      <c r="R673" t="str">
        <f t="shared" si="30"/>
        <v>yes</v>
      </c>
      <c r="S673" t="str">
        <f t="shared" si="31"/>
        <v>no</v>
      </c>
      <c r="T6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3" s="2" t="b">
        <f t="shared" si="32"/>
        <v>1</v>
      </c>
      <c r="V673" s="2">
        <f>IF(Table4[[#This Row],[linear?]],Table4[[#This Row],[av]],10^(Table4[[#This Row],[av]]/10))</f>
        <v>3.8853086419753089E-3</v>
      </c>
      <c r="W673" s="2">
        <f>IF(Table4[[#This Row],[linear?]],Table4[[#This Row],[av]],10^(Table4[[#This Row],[av]]/10))</f>
        <v>3.8853086419753089E-3</v>
      </c>
      <c r="X673" s="2">
        <f>Table4[[#This Row],[av_lin]]-2*Table4[[#This Row],[std_lin]]</f>
        <v>-3.8853086419753089E-3</v>
      </c>
      <c r="Y673" s="2">
        <f>Table4[[#This Row],[av_lin]]+2*Table4[[#This Row],[std_lin]]</f>
        <v>1.1655925925925927E-2</v>
      </c>
    </row>
    <row r="674" spans="1:25" x14ac:dyDescent="0.35">
      <c r="A674" s="1">
        <v>804</v>
      </c>
      <c r="B674" t="s">
        <v>75</v>
      </c>
      <c r="C674" t="s">
        <v>549</v>
      </c>
      <c r="D674" t="s">
        <v>783</v>
      </c>
      <c r="E674" s="2">
        <v>2.7176543209876539E-3</v>
      </c>
      <c r="F674" s="2">
        <v>1.75240141795562E-3</v>
      </c>
      <c r="G674">
        <v>27</v>
      </c>
      <c r="H674" t="s">
        <v>58</v>
      </c>
      <c r="M674" s="2">
        <v>6.2224571568988939E-3</v>
      </c>
      <c r="N674" s="2">
        <v>-7.8714851492358608E-4</v>
      </c>
      <c r="O674" s="2">
        <v>7.0096056718224799E-3</v>
      </c>
      <c r="P674" s="2">
        <v>1.5508172346482769</v>
      </c>
      <c r="R674" t="str">
        <f t="shared" si="30"/>
        <v>yes</v>
      </c>
      <c r="S674" t="str">
        <f t="shared" si="31"/>
        <v>no</v>
      </c>
      <c r="T6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4" s="2" t="b">
        <f t="shared" si="32"/>
        <v>1</v>
      </c>
      <c r="V674" s="2">
        <f>IF(Table4[[#This Row],[linear?]],Table4[[#This Row],[av]],10^(Table4[[#This Row],[av]]/10))</f>
        <v>2.7176543209876539E-3</v>
      </c>
      <c r="W674" s="2">
        <f>IF(Table4[[#This Row],[linear?]],Table4[[#This Row],[av]],10^(Table4[[#This Row],[av]]/10))</f>
        <v>2.7176543209876539E-3</v>
      </c>
      <c r="X674" s="2">
        <f>Table4[[#This Row],[av_lin]]-2*Table4[[#This Row],[std_lin]]</f>
        <v>-2.7176543209876539E-3</v>
      </c>
      <c r="Y674" s="2">
        <f>Table4[[#This Row],[av_lin]]+2*Table4[[#This Row],[std_lin]]</f>
        <v>8.1529629629629626E-3</v>
      </c>
    </row>
    <row r="675" spans="1:25" x14ac:dyDescent="0.35">
      <c r="A675" s="1">
        <v>806</v>
      </c>
      <c r="B675" t="s">
        <v>75</v>
      </c>
      <c r="C675" t="s">
        <v>549</v>
      </c>
      <c r="D675" t="s">
        <v>785</v>
      </c>
      <c r="E675" s="2">
        <v>2.283913580246914E-2</v>
      </c>
      <c r="F675" s="2">
        <v>3.5597797337563052E-3</v>
      </c>
      <c r="G675">
        <v>27</v>
      </c>
      <c r="H675" t="s">
        <v>58</v>
      </c>
      <c r="M675" s="2">
        <v>2.9958695269981749E-2</v>
      </c>
      <c r="N675" s="2">
        <v>1.571957633495653E-2</v>
      </c>
      <c r="O675" s="2">
        <v>1.4239118935025221E-2</v>
      </c>
      <c r="P675" s="2">
        <v>6.4158845520391568</v>
      </c>
      <c r="R675" t="str">
        <f t="shared" si="30"/>
        <v>yes</v>
      </c>
      <c r="S675" t="str">
        <f t="shared" si="31"/>
        <v>no</v>
      </c>
      <c r="T6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5" s="2" t="b">
        <f t="shared" si="32"/>
        <v>1</v>
      </c>
      <c r="V675" s="2">
        <f>IF(Table4[[#This Row],[linear?]],Table4[[#This Row],[av]],10^(Table4[[#This Row],[av]]/10))</f>
        <v>2.283913580246914E-2</v>
      </c>
      <c r="W675" s="2">
        <f>IF(Table4[[#This Row],[linear?]],Table4[[#This Row],[av]],10^(Table4[[#This Row],[av]]/10))</f>
        <v>2.283913580246914E-2</v>
      </c>
      <c r="X675" s="2">
        <f>Table4[[#This Row],[av_lin]]-2*Table4[[#This Row],[std_lin]]</f>
        <v>-2.283913580246914E-2</v>
      </c>
      <c r="Y675" s="2">
        <f>Table4[[#This Row],[av_lin]]+2*Table4[[#This Row],[std_lin]]</f>
        <v>6.8517407407407416E-2</v>
      </c>
    </row>
    <row r="676" spans="1:25" x14ac:dyDescent="0.35">
      <c r="A676" s="1">
        <v>808</v>
      </c>
      <c r="B676" t="s">
        <v>75</v>
      </c>
      <c r="C676" t="s">
        <v>549</v>
      </c>
      <c r="D676" t="s">
        <v>787</v>
      </c>
      <c r="E676" s="2">
        <v>3.6971604938271611E-3</v>
      </c>
      <c r="F676" s="2">
        <v>2.1748881234390578E-3</v>
      </c>
      <c r="G676">
        <v>27</v>
      </c>
      <c r="H676" t="s">
        <v>58</v>
      </c>
      <c r="M676" s="2">
        <v>8.046936740705276E-3</v>
      </c>
      <c r="N676" s="2">
        <v>-6.5261575305095455E-4</v>
      </c>
      <c r="O676" s="2">
        <v>8.6995524937562296E-3</v>
      </c>
      <c r="P676" s="2">
        <v>1.6999313454252529</v>
      </c>
      <c r="R676" t="str">
        <f t="shared" si="30"/>
        <v>yes</v>
      </c>
      <c r="S676" t="str">
        <f t="shared" si="31"/>
        <v>no</v>
      </c>
      <c r="T6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6" s="2" t="b">
        <f t="shared" si="32"/>
        <v>1</v>
      </c>
      <c r="V676" s="2">
        <f>IF(Table4[[#This Row],[linear?]],Table4[[#This Row],[av]],10^(Table4[[#This Row],[av]]/10))</f>
        <v>3.6971604938271611E-3</v>
      </c>
      <c r="W676" s="2">
        <f>IF(Table4[[#This Row],[linear?]],Table4[[#This Row],[av]],10^(Table4[[#This Row],[av]]/10))</f>
        <v>3.6971604938271611E-3</v>
      </c>
      <c r="X676" s="2">
        <f>Table4[[#This Row],[av_lin]]-2*Table4[[#This Row],[std_lin]]</f>
        <v>-3.6971604938271611E-3</v>
      </c>
      <c r="Y676" s="2">
        <f>Table4[[#This Row],[av_lin]]+2*Table4[[#This Row],[std_lin]]</f>
        <v>1.1091481481481483E-2</v>
      </c>
    </row>
    <row r="677" spans="1:25" x14ac:dyDescent="0.35">
      <c r="A677" s="1">
        <v>810</v>
      </c>
      <c r="B677" t="s">
        <v>75</v>
      </c>
      <c r="C677" t="s">
        <v>549</v>
      </c>
      <c r="D677" t="s">
        <v>789</v>
      </c>
      <c r="E677" s="2">
        <v>2.2572839506172851E-3</v>
      </c>
      <c r="F677" s="2">
        <v>1.5099562082666099E-3</v>
      </c>
      <c r="G677">
        <v>27</v>
      </c>
      <c r="H677" t="s">
        <v>58</v>
      </c>
      <c r="M677" s="2">
        <v>5.2771963671505049E-3</v>
      </c>
      <c r="N677" s="2">
        <v>-7.6262846591593474E-4</v>
      </c>
      <c r="O677" s="2">
        <v>6.0398248330664397E-3</v>
      </c>
      <c r="P677" s="2">
        <v>1.4949333883057361</v>
      </c>
      <c r="R677" t="str">
        <f t="shared" si="30"/>
        <v>yes</v>
      </c>
      <c r="S677" t="str">
        <f t="shared" si="31"/>
        <v>no</v>
      </c>
      <c r="T6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7" s="2" t="b">
        <f t="shared" si="32"/>
        <v>1</v>
      </c>
      <c r="V677" s="2">
        <f>IF(Table4[[#This Row],[linear?]],Table4[[#This Row],[av]],10^(Table4[[#This Row],[av]]/10))</f>
        <v>2.2572839506172851E-3</v>
      </c>
      <c r="W677" s="2">
        <f>IF(Table4[[#This Row],[linear?]],Table4[[#This Row],[av]],10^(Table4[[#This Row],[av]]/10))</f>
        <v>2.2572839506172851E-3</v>
      </c>
      <c r="X677" s="2">
        <f>Table4[[#This Row],[av_lin]]-2*Table4[[#This Row],[std_lin]]</f>
        <v>-2.2572839506172851E-3</v>
      </c>
      <c r="Y677" s="2">
        <f>Table4[[#This Row],[av_lin]]+2*Table4[[#This Row],[std_lin]]</f>
        <v>6.7718518518518553E-3</v>
      </c>
    </row>
    <row r="678" spans="1:25" x14ac:dyDescent="0.35">
      <c r="A678" s="1">
        <v>812</v>
      </c>
      <c r="B678" t="s">
        <v>75</v>
      </c>
      <c r="C678" t="s">
        <v>549</v>
      </c>
      <c r="D678" t="s">
        <v>791</v>
      </c>
      <c r="E678" s="2">
        <v>2.1940864197530861E-2</v>
      </c>
      <c r="F678" s="2">
        <v>2.785769783477359E-3</v>
      </c>
      <c r="G678">
        <v>27</v>
      </c>
      <c r="H678" t="s">
        <v>58</v>
      </c>
      <c r="M678" s="2">
        <v>2.751240376448558E-2</v>
      </c>
      <c r="N678" s="2">
        <v>1.6369324630576141E-2</v>
      </c>
      <c r="O678" s="2">
        <v>1.1143079133909431E-2</v>
      </c>
      <c r="P678" s="2">
        <v>7.8760507518115892</v>
      </c>
      <c r="R678" t="str">
        <f t="shared" si="30"/>
        <v>yes</v>
      </c>
      <c r="S678" t="str">
        <f t="shared" si="31"/>
        <v>no</v>
      </c>
      <c r="T6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8" s="2" t="b">
        <f t="shared" si="32"/>
        <v>1</v>
      </c>
      <c r="V678" s="2">
        <f>IF(Table4[[#This Row],[linear?]],Table4[[#This Row],[av]],10^(Table4[[#This Row],[av]]/10))</f>
        <v>2.1940864197530861E-2</v>
      </c>
      <c r="W678" s="2">
        <f>IF(Table4[[#This Row],[linear?]],Table4[[#This Row],[av]],10^(Table4[[#This Row],[av]]/10))</f>
        <v>2.1940864197530861E-2</v>
      </c>
      <c r="X678" s="2">
        <f>Table4[[#This Row],[av_lin]]-2*Table4[[#This Row],[std_lin]]</f>
        <v>-2.1940864197530861E-2</v>
      </c>
      <c r="Y678" s="2">
        <f>Table4[[#This Row],[av_lin]]+2*Table4[[#This Row],[std_lin]]</f>
        <v>6.5822592592592585E-2</v>
      </c>
    </row>
    <row r="679" spans="1:25" x14ac:dyDescent="0.35">
      <c r="A679" s="1">
        <v>815</v>
      </c>
      <c r="B679" t="s">
        <v>75</v>
      </c>
      <c r="C679" t="s">
        <v>549</v>
      </c>
      <c r="D679" t="s">
        <v>794</v>
      </c>
      <c r="E679" s="2">
        <v>3.5666049382716038E-2</v>
      </c>
      <c r="F679" s="2">
        <v>3.8414216595632649E-3</v>
      </c>
      <c r="G679">
        <v>27</v>
      </c>
      <c r="H679" t="s">
        <v>58</v>
      </c>
      <c r="M679" s="2">
        <v>4.334889270184257E-2</v>
      </c>
      <c r="N679" s="2">
        <v>2.7983206063589509E-2</v>
      </c>
      <c r="O679" s="2">
        <v>1.536568663825306E-2</v>
      </c>
      <c r="P679" s="2">
        <v>9.2845963144725303</v>
      </c>
      <c r="R679" t="str">
        <f t="shared" si="30"/>
        <v>yes</v>
      </c>
      <c r="S679" t="str">
        <f t="shared" si="31"/>
        <v>no</v>
      </c>
      <c r="T6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9" s="2" t="b">
        <f t="shared" si="32"/>
        <v>1</v>
      </c>
      <c r="V679" s="2">
        <f>IF(Table4[[#This Row],[linear?]],Table4[[#This Row],[av]],10^(Table4[[#This Row],[av]]/10))</f>
        <v>3.5666049382716038E-2</v>
      </c>
      <c r="W679" s="2">
        <f>IF(Table4[[#This Row],[linear?]],Table4[[#This Row],[av]],10^(Table4[[#This Row],[av]]/10))</f>
        <v>3.5666049382716038E-2</v>
      </c>
      <c r="X679" s="2">
        <f>Table4[[#This Row],[av_lin]]-2*Table4[[#This Row],[std_lin]]</f>
        <v>-3.5666049382716038E-2</v>
      </c>
      <c r="Y679" s="2">
        <f>Table4[[#This Row],[av_lin]]+2*Table4[[#This Row],[std_lin]]</f>
        <v>0.10699814814814812</v>
      </c>
    </row>
    <row r="680" spans="1:25" x14ac:dyDescent="0.35">
      <c r="A680" s="1">
        <v>816</v>
      </c>
      <c r="B680" t="s">
        <v>75</v>
      </c>
      <c r="C680" t="s">
        <v>549</v>
      </c>
      <c r="D680" t="s">
        <v>795</v>
      </c>
      <c r="E680" s="2">
        <v>3.9772222222222223E-2</v>
      </c>
      <c r="F680" s="2">
        <v>9.0381382086188421E-3</v>
      </c>
      <c r="G680">
        <v>27</v>
      </c>
      <c r="H680" t="s">
        <v>58</v>
      </c>
      <c r="M680" s="2">
        <v>5.7848498639459907E-2</v>
      </c>
      <c r="N680" s="2">
        <v>2.1695945804984539E-2</v>
      </c>
      <c r="O680" s="2">
        <v>3.6152552834475368E-2</v>
      </c>
      <c r="P680" s="2">
        <v>4.4004883864571918</v>
      </c>
      <c r="R680" t="str">
        <f t="shared" si="30"/>
        <v>yes</v>
      </c>
      <c r="S680" t="str">
        <f t="shared" si="31"/>
        <v>no</v>
      </c>
      <c r="T6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0" s="2" t="b">
        <f t="shared" si="32"/>
        <v>1</v>
      </c>
      <c r="V680" s="2">
        <f>IF(Table4[[#This Row],[linear?]],Table4[[#This Row],[av]],10^(Table4[[#This Row],[av]]/10))</f>
        <v>3.9772222222222223E-2</v>
      </c>
      <c r="W680" s="2">
        <f>IF(Table4[[#This Row],[linear?]],Table4[[#This Row],[av]],10^(Table4[[#This Row],[av]]/10))</f>
        <v>3.9772222222222223E-2</v>
      </c>
      <c r="X680" s="2">
        <f>Table4[[#This Row],[av_lin]]-2*Table4[[#This Row],[std_lin]]</f>
        <v>-3.9772222222222223E-2</v>
      </c>
      <c r="Y680" s="2">
        <f>Table4[[#This Row],[av_lin]]+2*Table4[[#This Row],[std_lin]]</f>
        <v>0.11931666666666667</v>
      </c>
    </row>
    <row r="681" spans="1:25" x14ac:dyDescent="0.35">
      <c r="A681" s="1">
        <v>817</v>
      </c>
      <c r="B681" t="s">
        <v>75</v>
      </c>
      <c r="C681" t="s">
        <v>549</v>
      </c>
      <c r="D681" t="s">
        <v>796</v>
      </c>
      <c r="E681" s="2">
        <v>3.258802469135802E-2</v>
      </c>
      <c r="F681" s="2">
        <v>5.9918096156845093E-3</v>
      </c>
      <c r="G681">
        <v>27</v>
      </c>
      <c r="H681" t="s">
        <v>58</v>
      </c>
      <c r="M681" s="2">
        <v>4.4571643922727042E-2</v>
      </c>
      <c r="N681" s="2">
        <v>2.0604405459989001E-2</v>
      </c>
      <c r="O681" s="2">
        <v>2.3967238462738041E-2</v>
      </c>
      <c r="P681" s="2">
        <v>5.4387617066559848</v>
      </c>
      <c r="R681" t="str">
        <f t="shared" si="30"/>
        <v>yes</v>
      </c>
      <c r="S681" t="str">
        <f t="shared" si="31"/>
        <v>no</v>
      </c>
      <c r="T6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1" s="2" t="b">
        <f t="shared" si="32"/>
        <v>1</v>
      </c>
      <c r="V681" s="2">
        <f>IF(Table4[[#This Row],[linear?]],Table4[[#This Row],[av]],10^(Table4[[#This Row],[av]]/10))</f>
        <v>3.258802469135802E-2</v>
      </c>
      <c r="W681" s="2">
        <f>IF(Table4[[#This Row],[linear?]],Table4[[#This Row],[av]],10^(Table4[[#This Row],[av]]/10))</f>
        <v>3.258802469135802E-2</v>
      </c>
      <c r="X681" s="2">
        <f>Table4[[#This Row],[av_lin]]-2*Table4[[#This Row],[std_lin]]</f>
        <v>-3.258802469135802E-2</v>
      </c>
      <c r="Y681" s="2">
        <f>Table4[[#This Row],[av_lin]]+2*Table4[[#This Row],[std_lin]]</f>
        <v>9.7764074074074059E-2</v>
      </c>
    </row>
    <row r="682" spans="1:25" x14ac:dyDescent="0.35">
      <c r="A682" s="1">
        <v>818</v>
      </c>
      <c r="B682" t="s">
        <v>75</v>
      </c>
      <c r="C682" t="s">
        <v>549</v>
      </c>
      <c r="D682" t="s">
        <v>797</v>
      </c>
      <c r="E682" s="2">
        <v>7.3556913580246908E-2</v>
      </c>
      <c r="F682" s="2">
        <v>5.6027980679162837E-3</v>
      </c>
      <c r="G682">
        <v>27</v>
      </c>
      <c r="H682" t="s">
        <v>58</v>
      </c>
      <c r="M682" s="2">
        <v>8.4762509716079473E-2</v>
      </c>
      <c r="N682" s="2">
        <v>6.2351317444414342E-2</v>
      </c>
      <c r="O682" s="2">
        <v>2.2411192271665131E-2</v>
      </c>
      <c r="P682" s="2">
        <v>13.128603367210619</v>
      </c>
      <c r="R682" t="str">
        <f t="shared" si="30"/>
        <v>yes</v>
      </c>
      <c r="S682" t="str">
        <f t="shared" si="31"/>
        <v>no</v>
      </c>
      <c r="T6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2" s="2" t="b">
        <f t="shared" si="32"/>
        <v>1</v>
      </c>
      <c r="V682" s="2">
        <f>IF(Table4[[#This Row],[linear?]],Table4[[#This Row],[av]],10^(Table4[[#This Row],[av]]/10))</f>
        <v>7.3556913580246908E-2</v>
      </c>
      <c r="W682" s="2">
        <f>IF(Table4[[#This Row],[linear?]],Table4[[#This Row],[av]],10^(Table4[[#This Row],[av]]/10))</f>
        <v>7.3556913580246908E-2</v>
      </c>
      <c r="X682" s="2">
        <f>Table4[[#This Row],[av_lin]]-2*Table4[[#This Row],[std_lin]]</f>
        <v>-7.3556913580246908E-2</v>
      </c>
      <c r="Y682" s="2">
        <f>Table4[[#This Row],[av_lin]]+2*Table4[[#This Row],[std_lin]]</f>
        <v>0.22067074074074072</v>
      </c>
    </row>
    <row r="683" spans="1:25" x14ac:dyDescent="0.35">
      <c r="A683" s="1">
        <v>820</v>
      </c>
      <c r="B683" t="s">
        <v>75</v>
      </c>
      <c r="C683" t="s">
        <v>549</v>
      </c>
      <c r="D683" t="s">
        <v>799</v>
      </c>
      <c r="E683" s="2">
        <v>3.8205432098765438E-2</v>
      </c>
      <c r="F683" s="2">
        <v>5.3290829481102463E-3</v>
      </c>
      <c r="G683">
        <v>27</v>
      </c>
      <c r="H683" t="s">
        <v>58</v>
      </c>
      <c r="M683" s="2">
        <v>4.8863597994985929E-2</v>
      </c>
      <c r="N683" s="2">
        <v>2.754726620254495E-2</v>
      </c>
      <c r="O683" s="2">
        <v>2.1316331792440978E-2</v>
      </c>
      <c r="P683" s="2">
        <v>7.169232018111769</v>
      </c>
      <c r="R683" t="str">
        <f t="shared" si="30"/>
        <v>yes</v>
      </c>
      <c r="S683" t="str">
        <f t="shared" si="31"/>
        <v>no</v>
      </c>
      <c r="T6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3" s="2" t="b">
        <f t="shared" si="32"/>
        <v>1</v>
      </c>
      <c r="V683" s="2">
        <f>IF(Table4[[#This Row],[linear?]],Table4[[#This Row],[av]],10^(Table4[[#This Row],[av]]/10))</f>
        <v>3.8205432098765438E-2</v>
      </c>
      <c r="W683" s="2">
        <f>IF(Table4[[#This Row],[linear?]],Table4[[#This Row],[av]],10^(Table4[[#This Row],[av]]/10))</f>
        <v>3.8205432098765438E-2</v>
      </c>
      <c r="X683" s="2">
        <f>Table4[[#This Row],[av_lin]]-2*Table4[[#This Row],[std_lin]]</f>
        <v>-3.8205432098765438E-2</v>
      </c>
      <c r="Y683" s="2">
        <f>Table4[[#This Row],[av_lin]]+2*Table4[[#This Row],[std_lin]]</f>
        <v>0.11461629629629631</v>
      </c>
    </row>
    <row r="684" spans="1:25" x14ac:dyDescent="0.35">
      <c r="A684" s="1">
        <v>821</v>
      </c>
      <c r="B684" t="s">
        <v>75</v>
      </c>
      <c r="C684" t="s">
        <v>549</v>
      </c>
      <c r="D684" t="s">
        <v>800</v>
      </c>
      <c r="E684" s="2">
        <v>4.06962962962963E-2</v>
      </c>
      <c r="F684" s="2">
        <v>7.5134578551073854E-3</v>
      </c>
      <c r="G684">
        <v>27</v>
      </c>
      <c r="H684" t="s">
        <v>58</v>
      </c>
      <c r="M684" s="2">
        <v>5.5723212006511071E-2</v>
      </c>
      <c r="N684" s="2">
        <v>2.5669380586081529E-2</v>
      </c>
      <c r="O684" s="2">
        <v>3.0053831420429541E-2</v>
      </c>
      <c r="P684" s="2">
        <v>5.4164536596997586</v>
      </c>
      <c r="R684" t="str">
        <f t="shared" si="30"/>
        <v>yes</v>
      </c>
      <c r="S684" t="str">
        <f t="shared" si="31"/>
        <v>no</v>
      </c>
      <c r="T6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4" s="2" t="b">
        <f t="shared" si="32"/>
        <v>1</v>
      </c>
      <c r="V684" s="2">
        <f>IF(Table4[[#This Row],[linear?]],Table4[[#This Row],[av]],10^(Table4[[#This Row],[av]]/10))</f>
        <v>4.06962962962963E-2</v>
      </c>
      <c r="W684" s="2">
        <f>IF(Table4[[#This Row],[linear?]],Table4[[#This Row],[av]],10^(Table4[[#This Row],[av]]/10))</f>
        <v>4.06962962962963E-2</v>
      </c>
      <c r="X684" s="2">
        <f>Table4[[#This Row],[av_lin]]-2*Table4[[#This Row],[std_lin]]</f>
        <v>-4.06962962962963E-2</v>
      </c>
      <c r="Y684" s="2">
        <f>Table4[[#This Row],[av_lin]]+2*Table4[[#This Row],[std_lin]]</f>
        <v>0.1220888888888889</v>
      </c>
    </row>
    <row r="685" spans="1:25" x14ac:dyDescent="0.35">
      <c r="A685" s="1">
        <v>822</v>
      </c>
      <c r="B685" t="s">
        <v>75</v>
      </c>
      <c r="C685" t="s">
        <v>549</v>
      </c>
      <c r="D685" t="s">
        <v>801</v>
      </c>
      <c r="E685" s="2">
        <v>3.9678024691358033E-2</v>
      </c>
      <c r="F685" s="2">
        <v>5.7978791850327093E-3</v>
      </c>
      <c r="G685">
        <v>27</v>
      </c>
      <c r="H685" t="s">
        <v>58</v>
      </c>
      <c r="M685" s="2">
        <v>5.1273783061423453E-2</v>
      </c>
      <c r="N685" s="2">
        <v>2.8082266321292609E-2</v>
      </c>
      <c r="O685" s="2">
        <v>2.3191516740130841E-2</v>
      </c>
      <c r="P685" s="2">
        <v>6.8435411337627219</v>
      </c>
      <c r="R685" t="str">
        <f t="shared" si="30"/>
        <v>yes</v>
      </c>
      <c r="S685" t="str">
        <f t="shared" si="31"/>
        <v>no</v>
      </c>
      <c r="T6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5" s="2" t="b">
        <f t="shared" si="32"/>
        <v>1</v>
      </c>
      <c r="V685" s="2">
        <f>IF(Table4[[#This Row],[linear?]],Table4[[#This Row],[av]],10^(Table4[[#This Row],[av]]/10))</f>
        <v>3.9678024691358033E-2</v>
      </c>
      <c r="W685" s="2">
        <f>IF(Table4[[#This Row],[linear?]],Table4[[#This Row],[av]],10^(Table4[[#This Row],[av]]/10))</f>
        <v>3.9678024691358033E-2</v>
      </c>
      <c r="X685" s="2">
        <f>Table4[[#This Row],[av_lin]]-2*Table4[[#This Row],[std_lin]]</f>
        <v>-3.9678024691358033E-2</v>
      </c>
      <c r="Y685" s="2">
        <f>Table4[[#This Row],[av_lin]]+2*Table4[[#This Row],[std_lin]]</f>
        <v>0.1190340740740741</v>
      </c>
    </row>
    <row r="686" spans="1:25" x14ac:dyDescent="0.35">
      <c r="A686" s="1">
        <v>824</v>
      </c>
      <c r="B686" t="s">
        <v>75</v>
      </c>
      <c r="C686" t="s">
        <v>549</v>
      </c>
      <c r="D686" t="s">
        <v>803</v>
      </c>
      <c r="E686" s="2">
        <v>3.7068641975308653E-2</v>
      </c>
      <c r="F686" s="2">
        <v>1.1424293550658569E-2</v>
      </c>
      <c r="G686">
        <v>27</v>
      </c>
      <c r="H686" t="s">
        <v>58</v>
      </c>
      <c r="M686" s="2">
        <v>5.9917229076625791E-2</v>
      </c>
      <c r="N686" s="2">
        <v>1.422005487399151E-2</v>
      </c>
      <c r="O686" s="2">
        <v>4.5697174202634278E-2</v>
      </c>
      <c r="P686" s="2">
        <v>3.2447207182602358</v>
      </c>
      <c r="R686" t="str">
        <f t="shared" si="30"/>
        <v>yes</v>
      </c>
      <c r="S686" t="str">
        <f t="shared" si="31"/>
        <v>no</v>
      </c>
      <c r="T6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6" s="2" t="b">
        <f t="shared" si="32"/>
        <v>1</v>
      </c>
      <c r="V686" s="2">
        <f>IF(Table4[[#This Row],[linear?]],Table4[[#This Row],[av]],10^(Table4[[#This Row],[av]]/10))</f>
        <v>3.7068641975308653E-2</v>
      </c>
      <c r="W686" s="2">
        <f>IF(Table4[[#This Row],[linear?]],Table4[[#This Row],[av]],10^(Table4[[#This Row],[av]]/10))</f>
        <v>3.7068641975308653E-2</v>
      </c>
      <c r="X686" s="2">
        <f>Table4[[#This Row],[av_lin]]-2*Table4[[#This Row],[std_lin]]</f>
        <v>-3.7068641975308653E-2</v>
      </c>
      <c r="Y686" s="2">
        <f>Table4[[#This Row],[av_lin]]+2*Table4[[#This Row],[std_lin]]</f>
        <v>0.11120592592592596</v>
      </c>
    </row>
    <row r="687" spans="1:25" x14ac:dyDescent="0.35">
      <c r="A687" s="1">
        <v>825</v>
      </c>
      <c r="B687" t="s">
        <v>75</v>
      </c>
      <c r="C687" t="s">
        <v>549</v>
      </c>
      <c r="D687" t="s">
        <v>804</v>
      </c>
      <c r="E687" s="2">
        <v>3.8700617283950613E-2</v>
      </c>
      <c r="F687" s="2">
        <v>1.2757288921067049E-2</v>
      </c>
      <c r="G687">
        <v>27</v>
      </c>
      <c r="H687" t="s">
        <v>58</v>
      </c>
      <c r="M687" s="2">
        <v>6.4215195126084715E-2</v>
      </c>
      <c r="N687" s="2">
        <v>1.3186039441816511E-2</v>
      </c>
      <c r="O687" s="2">
        <v>5.1029155684268197E-2</v>
      </c>
      <c r="P687" s="2">
        <v>3.0336082786399419</v>
      </c>
      <c r="R687" t="str">
        <f t="shared" si="30"/>
        <v>yes</v>
      </c>
      <c r="S687" t="str">
        <f t="shared" si="31"/>
        <v>no</v>
      </c>
      <c r="T6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7" s="2" t="b">
        <f t="shared" si="32"/>
        <v>1</v>
      </c>
      <c r="V687" s="2">
        <f>IF(Table4[[#This Row],[linear?]],Table4[[#This Row],[av]],10^(Table4[[#This Row],[av]]/10))</f>
        <v>3.8700617283950613E-2</v>
      </c>
      <c r="W687" s="2">
        <f>IF(Table4[[#This Row],[linear?]],Table4[[#This Row],[av]],10^(Table4[[#This Row],[av]]/10))</f>
        <v>3.8700617283950613E-2</v>
      </c>
      <c r="X687" s="2">
        <f>Table4[[#This Row],[av_lin]]-2*Table4[[#This Row],[std_lin]]</f>
        <v>-3.8700617283950613E-2</v>
      </c>
      <c r="Y687" s="2">
        <f>Table4[[#This Row],[av_lin]]+2*Table4[[#This Row],[std_lin]]</f>
        <v>0.11610185185185184</v>
      </c>
    </row>
    <row r="688" spans="1:25" x14ac:dyDescent="0.35">
      <c r="A688" s="1">
        <v>826</v>
      </c>
      <c r="B688" t="s">
        <v>75</v>
      </c>
      <c r="C688" t="s">
        <v>549</v>
      </c>
      <c r="D688" t="s">
        <v>805</v>
      </c>
      <c r="E688" s="2">
        <v>3.5739012345679007E-2</v>
      </c>
      <c r="F688" s="2">
        <v>8.5563555316449345E-3</v>
      </c>
      <c r="G688">
        <v>27</v>
      </c>
      <c r="H688" t="s">
        <v>58</v>
      </c>
      <c r="M688" s="2">
        <v>5.2851723408968883E-2</v>
      </c>
      <c r="N688" s="2">
        <v>1.8626301282389141E-2</v>
      </c>
      <c r="O688" s="2">
        <v>3.4225422126579738E-2</v>
      </c>
      <c r="P688" s="2">
        <v>4.1768966020055371</v>
      </c>
      <c r="R688" t="str">
        <f t="shared" si="30"/>
        <v>yes</v>
      </c>
      <c r="S688" t="str">
        <f t="shared" si="31"/>
        <v>no</v>
      </c>
      <c r="T6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8" s="2" t="b">
        <f t="shared" si="32"/>
        <v>1</v>
      </c>
      <c r="V688" s="2">
        <f>IF(Table4[[#This Row],[linear?]],Table4[[#This Row],[av]],10^(Table4[[#This Row],[av]]/10))</f>
        <v>3.5739012345679007E-2</v>
      </c>
      <c r="W688" s="2">
        <f>IF(Table4[[#This Row],[linear?]],Table4[[#This Row],[av]],10^(Table4[[#This Row],[av]]/10))</f>
        <v>3.5739012345679007E-2</v>
      </c>
      <c r="X688" s="2">
        <f>Table4[[#This Row],[av_lin]]-2*Table4[[#This Row],[std_lin]]</f>
        <v>-3.5739012345679007E-2</v>
      </c>
      <c r="Y688" s="2">
        <f>Table4[[#This Row],[av_lin]]+2*Table4[[#This Row],[std_lin]]</f>
        <v>0.10721703703703703</v>
      </c>
    </row>
    <row r="689" spans="1:25" x14ac:dyDescent="0.35">
      <c r="A689" s="1">
        <v>827</v>
      </c>
      <c r="B689" t="s">
        <v>75</v>
      </c>
      <c r="C689" t="s">
        <v>549</v>
      </c>
      <c r="D689" t="s">
        <v>806</v>
      </c>
      <c r="E689" s="2">
        <v>8.0207283950617284E-2</v>
      </c>
      <c r="F689" s="2">
        <v>9.9840245245986121E-3</v>
      </c>
      <c r="G689">
        <v>27</v>
      </c>
      <c r="H689" t="s">
        <v>58</v>
      </c>
      <c r="M689" s="2">
        <v>0.1001753329998145</v>
      </c>
      <c r="N689" s="2">
        <v>6.0239234901420059E-2</v>
      </c>
      <c r="O689" s="2">
        <v>3.9936098098394462E-2</v>
      </c>
      <c r="P689" s="2">
        <v>8.0335623929010591</v>
      </c>
      <c r="R689" t="str">
        <f t="shared" si="30"/>
        <v>yes</v>
      </c>
      <c r="S689" t="str">
        <f t="shared" si="31"/>
        <v>no</v>
      </c>
      <c r="T6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9" s="2" t="b">
        <f t="shared" si="32"/>
        <v>1</v>
      </c>
      <c r="V689" s="2">
        <f>IF(Table4[[#This Row],[linear?]],Table4[[#This Row],[av]],10^(Table4[[#This Row],[av]]/10))</f>
        <v>8.0207283950617284E-2</v>
      </c>
      <c r="W689" s="2">
        <f>IF(Table4[[#This Row],[linear?]],Table4[[#This Row],[av]],10^(Table4[[#This Row],[av]]/10))</f>
        <v>8.0207283950617284E-2</v>
      </c>
      <c r="X689" s="2">
        <f>Table4[[#This Row],[av_lin]]-2*Table4[[#This Row],[std_lin]]</f>
        <v>-8.0207283950617284E-2</v>
      </c>
      <c r="Y689" s="2">
        <f>Table4[[#This Row],[av_lin]]+2*Table4[[#This Row],[std_lin]]</f>
        <v>0.24062185185185186</v>
      </c>
    </row>
    <row r="690" spans="1:25" x14ac:dyDescent="0.35">
      <c r="A690" s="1">
        <v>829</v>
      </c>
      <c r="B690" t="s">
        <v>75</v>
      </c>
      <c r="C690" t="s">
        <v>549</v>
      </c>
      <c r="D690" t="s">
        <v>808</v>
      </c>
      <c r="E690" s="2">
        <v>4.7240740740740743E-2</v>
      </c>
      <c r="F690" s="2">
        <v>1.150917526755379E-2</v>
      </c>
      <c r="G690">
        <v>27</v>
      </c>
      <c r="H690" t="s">
        <v>58</v>
      </c>
      <c r="M690" s="2">
        <v>7.0259091275848326E-2</v>
      </c>
      <c r="N690" s="2">
        <v>2.422239020563316E-2</v>
      </c>
      <c r="O690" s="2">
        <v>4.6036701070215173E-2</v>
      </c>
      <c r="P690" s="2">
        <v>4.1046156342687699</v>
      </c>
      <c r="R690" t="str">
        <f t="shared" si="30"/>
        <v>yes</v>
      </c>
      <c r="S690" t="str">
        <f t="shared" si="31"/>
        <v>no</v>
      </c>
      <c r="T6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0" s="2" t="b">
        <f t="shared" si="32"/>
        <v>1</v>
      </c>
      <c r="V690" s="2">
        <f>IF(Table4[[#This Row],[linear?]],Table4[[#This Row],[av]],10^(Table4[[#This Row],[av]]/10))</f>
        <v>4.7240740740740743E-2</v>
      </c>
      <c r="W690" s="2">
        <f>IF(Table4[[#This Row],[linear?]],Table4[[#This Row],[av]],10^(Table4[[#This Row],[av]]/10))</f>
        <v>4.7240740740740743E-2</v>
      </c>
      <c r="X690" s="2">
        <f>Table4[[#This Row],[av_lin]]-2*Table4[[#This Row],[std_lin]]</f>
        <v>-4.7240740740740743E-2</v>
      </c>
      <c r="Y690" s="2">
        <f>Table4[[#This Row],[av_lin]]+2*Table4[[#This Row],[std_lin]]</f>
        <v>0.14172222222222222</v>
      </c>
    </row>
    <row r="691" spans="1:25" x14ac:dyDescent="0.35">
      <c r="A691" s="1">
        <v>830</v>
      </c>
      <c r="B691" t="s">
        <v>75</v>
      </c>
      <c r="C691" t="s">
        <v>549</v>
      </c>
      <c r="D691" t="s">
        <v>809</v>
      </c>
      <c r="E691" s="2">
        <v>5.1908888888888893E-2</v>
      </c>
      <c r="F691" s="2">
        <v>1.1719291152093921E-2</v>
      </c>
      <c r="G691">
        <v>27</v>
      </c>
      <c r="H691" t="s">
        <v>58</v>
      </c>
      <c r="M691" s="2">
        <v>7.5347471193076734E-2</v>
      </c>
      <c r="N691" s="2">
        <v>2.8470306584701049E-2</v>
      </c>
      <c r="O691" s="2">
        <v>4.6877164608375682E-2</v>
      </c>
      <c r="P691" s="2">
        <v>4.4293539784284803</v>
      </c>
      <c r="R691" t="str">
        <f t="shared" si="30"/>
        <v>yes</v>
      </c>
      <c r="S691" t="str">
        <f t="shared" si="31"/>
        <v>no</v>
      </c>
      <c r="T6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1" s="2" t="b">
        <f t="shared" si="32"/>
        <v>1</v>
      </c>
      <c r="V691" s="2">
        <f>IF(Table4[[#This Row],[linear?]],Table4[[#This Row],[av]],10^(Table4[[#This Row],[av]]/10))</f>
        <v>5.1908888888888893E-2</v>
      </c>
      <c r="W691" s="2">
        <f>IF(Table4[[#This Row],[linear?]],Table4[[#This Row],[av]],10^(Table4[[#This Row],[av]]/10))</f>
        <v>5.1908888888888893E-2</v>
      </c>
      <c r="X691" s="2">
        <f>Table4[[#This Row],[av_lin]]-2*Table4[[#This Row],[std_lin]]</f>
        <v>-5.1908888888888893E-2</v>
      </c>
      <c r="Y691" s="2">
        <f>Table4[[#This Row],[av_lin]]+2*Table4[[#This Row],[std_lin]]</f>
        <v>0.15572666666666668</v>
      </c>
    </row>
    <row r="692" spans="1:25" x14ac:dyDescent="0.35">
      <c r="A692" s="1">
        <v>831</v>
      </c>
      <c r="B692" t="s">
        <v>75</v>
      </c>
      <c r="C692" t="s">
        <v>549</v>
      </c>
      <c r="D692" t="s">
        <v>810</v>
      </c>
      <c r="E692" s="2">
        <v>5.0519259259259257E-2</v>
      </c>
      <c r="F692" s="2">
        <v>1.4754353286023919E-2</v>
      </c>
      <c r="G692">
        <v>27</v>
      </c>
      <c r="H692" t="s">
        <v>58</v>
      </c>
      <c r="M692" s="2">
        <v>8.0027965831307099E-2</v>
      </c>
      <c r="N692" s="2">
        <v>2.1010552687211421E-2</v>
      </c>
      <c r="O692" s="2">
        <v>5.9017413144095678E-2</v>
      </c>
      <c r="P692" s="2">
        <v>3.4240239663444751</v>
      </c>
      <c r="R692" t="str">
        <f t="shared" si="30"/>
        <v>yes</v>
      </c>
      <c r="S692" t="str">
        <f t="shared" si="31"/>
        <v>no</v>
      </c>
      <c r="T6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2" s="2" t="b">
        <f t="shared" si="32"/>
        <v>1</v>
      </c>
      <c r="V692" s="2">
        <f>IF(Table4[[#This Row],[linear?]],Table4[[#This Row],[av]],10^(Table4[[#This Row],[av]]/10))</f>
        <v>5.0519259259259257E-2</v>
      </c>
      <c r="W692" s="2">
        <f>IF(Table4[[#This Row],[linear?]],Table4[[#This Row],[av]],10^(Table4[[#This Row],[av]]/10))</f>
        <v>5.0519259259259257E-2</v>
      </c>
      <c r="X692" s="2">
        <f>Table4[[#This Row],[av_lin]]-2*Table4[[#This Row],[std_lin]]</f>
        <v>-5.0519259259259257E-2</v>
      </c>
      <c r="Y692" s="2">
        <f>Table4[[#This Row],[av_lin]]+2*Table4[[#This Row],[std_lin]]</f>
        <v>0.15155777777777776</v>
      </c>
    </row>
    <row r="693" spans="1:25" x14ac:dyDescent="0.35">
      <c r="A693" s="1">
        <v>833</v>
      </c>
      <c r="B693" t="s">
        <v>75</v>
      </c>
      <c r="C693" t="s">
        <v>549</v>
      </c>
      <c r="D693" t="s">
        <v>812</v>
      </c>
      <c r="E693" s="2">
        <v>4.1107407407407398E-2</v>
      </c>
      <c r="F693" s="2">
        <v>9.1461847975296811E-3</v>
      </c>
      <c r="G693">
        <v>27</v>
      </c>
      <c r="H693" t="s">
        <v>58</v>
      </c>
      <c r="M693" s="2">
        <v>5.9399777002466757E-2</v>
      </c>
      <c r="N693" s="2">
        <v>2.2815037812348039E-2</v>
      </c>
      <c r="O693" s="2">
        <v>3.6584739190118731E-2</v>
      </c>
      <c r="P693" s="2">
        <v>4.4944868617251439</v>
      </c>
      <c r="R693" t="str">
        <f t="shared" si="30"/>
        <v>yes</v>
      </c>
      <c r="S693" t="str">
        <f t="shared" si="31"/>
        <v>no</v>
      </c>
      <c r="T6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3" s="2" t="b">
        <f t="shared" si="32"/>
        <v>1</v>
      </c>
      <c r="V693" s="2">
        <f>IF(Table4[[#This Row],[linear?]],Table4[[#This Row],[av]],10^(Table4[[#This Row],[av]]/10))</f>
        <v>4.1107407407407398E-2</v>
      </c>
      <c r="W693" s="2">
        <f>IF(Table4[[#This Row],[linear?]],Table4[[#This Row],[av]],10^(Table4[[#This Row],[av]]/10))</f>
        <v>4.1107407407407398E-2</v>
      </c>
      <c r="X693" s="2">
        <f>Table4[[#This Row],[av_lin]]-2*Table4[[#This Row],[std_lin]]</f>
        <v>-4.1107407407407398E-2</v>
      </c>
      <c r="Y693" s="2">
        <f>Table4[[#This Row],[av_lin]]+2*Table4[[#This Row],[std_lin]]</f>
        <v>0.12332222222222219</v>
      </c>
    </row>
    <row r="694" spans="1:25" x14ac:dyDescent="0.35">
      <c r="A694" s="1">
        <v>834</v>
      </c>
      <c r="B694" t="s">
        <v>75</v>
      </c>
      <c r="C694" t="s">
        <v>549</v>
      </c>
      <c r="D694" t="s">
        <v>813</v>
      </c>
      <c r="E694" s="2">
        <v>3.7030123456790118E-2</v>
      </c>
      <c r="F694" s="2">
        <v>9.3988160080757267E-3</v>
      </c>
      <c r="G694">
        <v>27</v>
      </c>
      <c r="H694" t="s">
        <v>58</v>
      </c>
      <c r="M694" s="2">
        <v>5.5827755472941568E-2</v>
      </c>
      <c r="N694" s="2">
        <v>1.8232491440638661E-2</v>
      </c>
      <c r="O694" s="2">
        <v>3.75952640323029E-2</v>
      </c>
      <c r="P694" s="2">
        <v>3.9398710885469819</v>
      </c>
      <c r="R694" t="str">
        <f t="shared" si="30"/>
        <v>yes</v>
      </c>
      <c r="S694" t="str">
        <f t="shared" si="31"/>
        <v>no</v>
      </c>
      <c r="T6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4" s="2" t="b">
        <f t="shared" si="32"/>
        <v>1</v>
      </c>
      <c r="V694" s="2">
        <f>IF(Table4[[#This Row],[linear?]],Table4[[#This Row],[av]],10^(Table4[[#This Row],[av]]/10))</f>
        <v>3.7030123456790118E-2</v>
      </c>
      <c r="W694" s="2">
        <f>IF(Table4[[#This Row],[linear?]],Table4[[#This Row],[av]],10^(Table4[[#This Row],[av]]/10))</f>
        <v>3.7030123456790118E-2</v>
      </c>
      <c r="X694" s="2">
        <f>Table4[[#This Row],[av_lin]]-2*Table4[[#This Row],[std_lin]]</f>
        <v>-3.7030123456790118E-2</v>
      </c>
      <c r="Y694" s="2">
        <f>Table4[[#This Row],[av_lin]]+2*Table4[[#This Row],[std_lin]]</f>
        <v>0.11109037037037035</v>
      </c>
    </row>
    <row r="695" spans="1:25" x14ac:dyDescent="0.35">
      <c r="A695" s="1">
        <v>835</v>
      </c>
      <c r="B695" t="s">
        <v>75</v>
      </c>
      <c r="C695" t="s">
        <v>549</v>
      </c>
      <c r="D695" t="s">
        <v>814</v>
      </c>
      <c r="E695" s="2">
        <v>3.7954197530864188E-2</v>
      </c>
      <c r="F695" s="2">
        <v>9.1443962173718939E-3</v>
      </c>
      <c r="G695">
        <v>27</v>
      </c>
      <c r="H695" t="s">
        <v>58</v>
      </c>
      <c r="M695" s="2">
        <v>5.6242989965607983E-2</v>
      </c>
      <c r="N695" s="2">
        <v>1.96654050961204E-2</v>
      </c>
      <c r="O695" s="2">
        <v>3.6577584869487582E-2</v>
      </c>
      <c r="P695" s="2">
        <v>4.1505416682143998</v>
      </c>
      <c r="R695" t="str">
        <f t="shared" si="30"/>
        <v>yes</v>
      </c>
      <c r="S695" t="str">
        <f t="shared" si="31"/>
        <v>no</v>
      </c>
      <c r="T6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5" s="2" t="b">
        <f t="shared" si="32"/>
        <v>1</v>
      </c>
      <c r="V695" s="2">
        <f>IF(Table4[[#This Row],[linear?]],Table4[[#This Row],[av]],10^(Table4[[#This Row],[av]]/10))</f>
        <v>3.7954197530864188E-2</v>
      </c>
      <c r="W695" s="2">
        <f>IF(Table4[[#This Row],[linear?]],Table4[[#This Row],[av]],10^(Table4[[#This Row],[av]]/10))</f>
        <v>3.7954197530864188E-2</v>
      </c>
      <c r="X695" s="2">
        <f>Table4[[#This Row],[av_lin]]-2*Table4[[#This Row],[std_lin]]</f>
        <v>-3.7954197530864188E-2</v>
      </c>
      <c r="Y695" s="2">
        <f>Table4[[#This Row],[av_lin]]+2*Table4[[#This Row],[std_lin]]</f>
        <v>0.11386259259259257</v>
      </c>
    </row>
    <row r="696" spans="1:25" x14ac:dyDescent="0.35">
      <c r="A696" s="1">
        <v>836</v>
      </c>
      <c r="B696" t="s">
        <v>75</v>
      </c>
      <c r="C696" t="s">
        <v>549</v>
      </c>
      <c r="D696" t="s">
        <v>815</v>
      </c>
      <c r="E696" s="2">
        <v>8.0053950617283945E-2</v>
      </c>
      <c r="F696" s="2">
        <v>8.8120243389775699E-3</v>
      </c>
      <c r="G696">
        <v>27</v>
      </c>
      <c r="H696" t="s">
        <v>58</v>
      </c>
      <c r="M696" s="2">
        <v>9.7677999295239085E-2</v>
      </c>
      <c r="N696" s="2">
        <v>6.2429901939328812E-2</v>
      </c>
      <c r="O696" s="2">
        <v>3.5248097355910279E-2</v>
      </c>
      <c r="P696" s="2">
        <v>9.0846265895098899</v>
      </c>
      <c r="R696" t="str">
        <f t="shared" si="30"/>
        <v>yes</v>
      </c>
      <c r="S696" t="str">
        <f t="shared" si="31"/>
        <v>no</v>
      </c>
      <c r="T6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6" s="2" t="b">
        <f t="shared" si="32"/>
        <v>1</v>
      </c>
      <c r="V696" s="2">
        <f>IF(Table4[[#This Row],[linear?]],Table4[[#This Row],[av]],10^(Table4[[#This Row],[av]]/10))</f>
        <v>8.0053950617283945E-2</v>
      </c>
      <c r="W696" s="2">
        <f>IF(Table4[[#This Row],[linear?]],Table4[[#This Row],[av]],10^(Table4[[#This Row],[av]]/10))</f>
        <v>8.0053950617283945E-2</v>
      </c>
      <c r="X696" s="2">
        <f>Table4[[#This Row],[av_lin]]-2*Table4[[#This Row],[std_lin]]</f>
        <v>-8.0053950617283945E-2</v>
      </c>
      <c r="Y696" s="2">
        <f>Table4[[#This Row],[av_lin]]+2*Table4[[#This Row],[std_lin]]</f>
        <v>0.24016185185185185</v>
      </c>
    </row>
    <row r="697" spans="1:25" x14ac:dyDescent="0.35">
      <c r="A697" s="1">
        <v>838</v>
      </c>
      <c r="B697" t="s">
        <v>75</v>
      </c>
      <c r="C697" t="s">
        <v>549</v>
      </c>
      <c r="D697" t="s">
        <v>817</v>
      </c>
      <c r="E697" s="2">
        <v>4.9275555555555552E-2</v>
      </c>
      <c r="F697" s="2">
        <v>1.504027914756834E-2</v>
      </c>
      <c r="G697">
        <v>27</v>
      </c>
      <c r="H697" t="s">
        <v>58</v>
      </c>
      <c r="M697" s="2">
        <v>7.9356113850692231E-2</v>
      </c>
      <c r="N697" s="2">
        <v>1.9194997260418869E-2</v>
      </c>
      <c r="O697" s="2">
        <v>6.0161116590273359E-2</v>
      </c>
      <c r="P697" s="2">
        <v>3.2762394282769849</v>
      </c>
      <c r="R697" t="str">
        <f t="shared" si="30"/>
        <v>yes</v>
      </c>
      <c r="S697" t="str">
        <f t="shared" si="31"/>
        <v>no</v>
      </c>
      <c r="T6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7" s="2" t="b">
        <f t="shared" si="32"/>
        <v>1</v>
      </c>
      <c r="V697" s="2">
        <f>IF(Table4[[#This Row],[linear?]],Table4[[#This Row],[av]],10^(Table4[[#This Row],[av]]/10))</f>
        <v>4.9275555555555552E-2</v>
      </c>
      <c r="W697" s="2">
        <f>IF(Table4[[#This Row],[linear?]],Table4[[#This Row],[av]],10^(Table4[[#This Row],[av]]/10))</f>
        <v>4.9275555555555552E-2</v>
      </c>
      <c r="X697" s="2">
        <f>Table4[[#This Row],[av_lin]]-2*Table4[[#This Row],[std_lin]]</f>
        <v>-4.9275555555555552E-2</v>
      </c>
      <c r="Y697" s="2">
        <f>Table4[[#This Row],[av_lin]]+2*Table4[[#This Row],[std_lin]]</f>
        <v>0.14782666666666666</v>
      </c>
    </row>
    <row r="698" spans="1:25" x14ac:dyDescent="0.35">
      <c r="A698" s="1">
        <v>839</v>
      </c>
      <c r="B698" t="s">
        <v>75</v>
      </c>
      <c r="C698" t="s">
        <v>549</v>
      </c>
      <c r="D698" t="s">
        <v>818</v>
      </c>
      <c r="E698" s="2">
        <v>4.9644691358024698E-2</v>
      </c>
      <c r="F698" s="2">
        <v>9.4720529764226926E-3</v>
      </c>
      <c r="G698">
        <v>27</v>
      </c>
      <c r="H698" t="s">
        <v>58</v>
      </c>
      <c r="M698" s="2">
        <v>6.8588797310870087E-2</v>
      </c>
      <c r="N698" s="2">
        <v>3.0700585405179309E-2</v>
      </c>
      <c r="O698" s="2">
        <v>3.7888211905690777E-2</v>
      </c>
      <c r="P698" s="2">
        <v>5.241175432780782</v>
      </c>
      <c r="R698" t="str">
        <f t="shared" si="30"/>
        <v>yes</v>
      </c>
      <c r="S698" t="str">
        <f t="shared" si="31"/>
        <v>no</v>
      </c>
      <c r="T6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8" s="2" t="b">
        <f t="shared" si="32"/>
        <v>1</v>
      </c>
      <c r="V698" s="2">
        <f>IF(Table4[[#This Row],[linear?]],Table4[[#This Row],[av]],10^(Table4[[#This Row],[av]]/10))</f>
        <v>4.9644691358024698E-2</v>
      </c>
      <c r="W698" s="2">
        <f>IF(Table4[[#This Row],[linear?]],Table4[[#This Row],[av]],10^(Table4[[#This Row],[av]]/10))</f>
        <v>4.9644691358024698E-2</v>
      </c>
      <c r="X698" s="2">
        <f>Table4[[#This Row],[av_lin]]-2*Table4[[#This Row],[std_lin]]</f>
        <v>-4.9644691358024698E-2</v>
      </c>
      <c r="Y698" s="2">
        <f>Table4[[#This Row],[av_lin]]+2*Table4[[#This Row],[std_lin]]</f>
        <v>0.14893407407407411</v>
      </c>
    </row>
    <row r="699" spans="1:25" x14ac:dyDescent="0.35">
      <c r="A699" s="1">
        <v>840</v>
      </c>
      <c r="B699" t="s">
        <v>75</v>
      </c>
      <c r="C699" t="s">
        <v>549</v>
      </c>
      <c r="D699" t="s">
        <v>819</v>
      </c>
      <c r="E699" s="2">
        <v>4.7540246913580241E-2</v>
      </c>
      <c r="F699" s="2">
        <v>1.3197375769180611E-2</v>
      </c>
      <c r="G699">
        <v>27</v>
      </c>
      <c r="H699" t="s">
        <v>58</v>
      </c>
      <c r="M699" s="2">
        <v>7.3934998451941458E-2</v>
      </c>
      <c r="N699" s="2">
        <v>2.1145495375219019E-2</v>
      </c>
      <c r="O699" s="2">
        <v>5.2789503076722442E-2</v>
      </c>
      <c r="P699" s="2">
        <v>3.602250003716601</v>
      </c>
      <c r="R699" t="str">
        <f t="shared" si="30"/>
        <v>yes</v>
      </c>
      <c r="S699" t="str">
        <f t="shared" si="31"/>
        <v>no</v>
      </c>
      <c r="T6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9" s="2" t="b">
        <f t="shared" si="32"/>
        <v>1</v>
      </c>
      <c r="V699" s="2">
        <f>IF(Table4[[#This Row],[linear?]],Table4[[#This Row],[av]],10^(Table4[[#This Row],[av]]/10))</f>
        <v>4.7540246913580241E-2</v>
      </c>
      <c r="W699" s="2">
        <f>IF(Table4[[#This Row],[linear?]],Table4[[#This Row],[av]],10^(Table4[[#This Row],[av]]/10))</f>
        <v>4.7540246913580241E-2</v>
      </c>
      <c r="X699" s="2">
        <f>Table4[[#This Row],[av_lin]]-2*Table4[[#This Row],[std_lin]]</f>
        <v>-4.7540246913580241E-2</v>
      </c>
      <c r="Y699" s="2">
        <f>Table4[[#This Row],[av_lin]]+2*Table4[[#This Row],[std_lin]]</f>
        <v>0.14262074074074071</v>
      </c>
    </row>
    <row r="700" spans="1:25" x14ac:dyDescent="0.35">
      <c r="A700" s="1">
        <v>841</v>
      </c>
      <c r="B700" t="s">
        <v>75</v>
      </c>
      <c r="C700" t="s">
        <v>820</v>
      </c>
      <c r="D700" t="s">
        <v>821</v>
      </c>
      <c r="G700">
        <v>27</v>
      </c>
      <c r="H700" t="s">
        <v>58</v>
      </c>
      <c r="R700" t="str">
        <f t="shared" si="30"/>
        <v>yes</v>
      </c>
      <c r="S700" t="str">
        <f t="shared" si="31"/>
        <v>no</v>
      </c>
      <c r="T7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0" s="2" t="b">
        <f t="shared" si="32"/>
        <v>1</v>
      </c>
      <c r="V700" s="2">
        <f>IF(Table4[[#This Row],[linear?]],Table4[[#This Row],[av]],10^(Table4[[#This Row],[av]]/10))</f>
        <v>0</v>
      </c>
      <c r="W700" s="2">
        <f>IF(Table4[[#This Row],[linear?]],Table4[[#This Row],[av]],10^(Table4[[#This Row],[av]]/10))</f>
        <v>0</v>
      </c>
      <c r="X700" s="2">
        <f>Table4[[#This Row],[av_lin]]-2*Table4[[#This Row],[std_lin]]</f>
        <v>0</v>
      </c>
      <c r="Y700" s="2">
        <f>Table4[[#This Row],[av_lin]]+2*Table4[[#This Row],[std_lin]]</f>
        <v>0</v>
      </c>
    </row>
    <row r="701" spans="1:25" x14ac:dyDescent="0.35">
      <c r="A701" s="1">
        <v>842</v>
      </c>
      <c r="B701" t="s">
        <v>75</v>
      </c>
      <c r="C701" t="s">
        <v>820</v>
      </c>
      <c r="D701" t="s">
        <v>822</v>
      </c>
      <c r="E701" s="2">
        <v>28.46097407407408</v>
      </c>
      <c r="F701" s="2">
        <v>3.8497400450423158</v>
      </c>
      <c r="G701">
        <v>27</v>
      </c>
      <c r="H701" t="s">
        <v>58</v>
      </c>
      <c r="M701" s="2">
        <v>36.160454164158708</v>
      </c>
      <c r="N701" s="2">
        <v>20.76149398398945</v>
      </c>
      <c r="O701" s="2">
        <v>15.39896018016927</v>
      </c>
      <c r="P701" s="2">
        <v>7.3929599767979246</v>
      </c>
      <c r="R701" t="str">
        <f t="shared" si="30"/>
        <v>yes</v>
      </c>
      <c r="S701" t="str">
        <f t="shared" si="31"/>
        <v>no</v>
      </c>
      <c r="T7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1" s="2" t="b">
        <f t="shared" si="32"/>
        <v>1</v>
      </c>
      <c r="V701" s="2">
        <f>IF(Table4[[#This Row],[linear?]],Table4[[#This Row],[av]],10^(Table4[[#This Row],[av]]/10))</f>
        <v>28.46097407407408</v>
      </c>
      <c r="W701" s="2">
        <f>IF(Table4[[#This Row],[linear?]],Table4[[#This Row],[av]],10^(Table4[[#This Row],[av]]/10))</f>
        <v>28.46097407407408</v>
      </c>
      <c r="X701" s="2">
        <f>Table4[[#This Row],[av_lin]]-2*Table4[[#This Row],[std_lin]]</f>
        <v>-28.46097407407408</v>
      </c>
      <c r="Y701" s="2">
        <f>Table4[[#This Row],[av_lin]]+2*Table4[[#This Row],[std_lin]]</f>
        <v>85.382922222222248</v>
      </c>
    </row>
    <row r="702" spans="1:25" x14ac:dyDescent="0.35">
      <c r="A702" s="1">
        <v>843</v>
      </c>
      <c r="B702" t="s">
        <v>75</v>
      </c>
      <c r="C702" t="s">
        <v>820</v>
      </c>
      <c r="D702" t="s">
        <v>823</v>
      </c>
      <c r="E702" s="2">
        <v>0.1481481481481482</v>
      </c>
      <c r="F702" s="2">
        <v>0.44752022124424351</v>
      </c>
      <c r="G702">
        <v>27</v>
      </c>
      <c r="H702" t="s">
        <v>58</v>
      </c>
      <c r="M702" s="2">
        <v>1.0431885906366349</v>
      </c>
      <c r="N702" s="2">
        <v>-0.74689229434033888</v>
      </c>
      <c r="O702" s="2">
        <v>1.790080884976974</v>
      </c>
      <c r="P702" s="2">
        <v>0.33104235544094718</v>
      </c>
      <c r="R702" t="str">
        <f t="shared" si="30"/>
        <v>yes</v>
      </c>
      <c r="S702" t="str">
        <f t="shared" si="31"/>
        <v>no</v>
      </c>
      <c r="T7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2" s="2" t="b">
        <f t="shared" si="32"/>
        <v>1</v>
      </c>
      <c r="V702" s="2">
        <f>IF(Table4[[#This Row],[linear?]],Table4[[#This Row],[av]],10^(Table4[[#This Row],[av]]/10))</f>
        <v>0.1481481481481482</v>
      </c>
      <c r="W702" s="2">
        <f>IF(Table4[[#This Row],[linear?]],Table4[[#This Row],[av]],10^(Table4[[#This Row],[av]]/10))</f>
        <v>0.1481481481481482</v>
      </c>
      <c r="X702" s="2">
        <f>Table4[[#This Row],[av_lin]]-2*Table4[[#This Row],[std_lin]]</f>
        <v>-0.1481481481481482</v>
      </c>
      <c r="Y702" s="2">
        <f>Table4[[#This Row],[av_lin]]+2*Table4[[#This Row],[std_lin]]</f>
        <v>0.44444444444444459</v>
      </c>
    </row>
    <row r="703" spans="1:25" x14ac:dyDescent="0.35">
      <c r="A703" s="1">
        <v>844</v>
      </c>
      <c r="B703" t="s">
        <v>75</v>
      </c>
      <c r="C703" t="s">
        <v>820</v>
      </c>
      <c r="D703" t="s">
        <v>824</v>
      </c>
      <c r="G703">
        <v>27</v>
      </c>
      <c r="H703" t="s">
        <v>58</v>
      </c>
      <c r="R703" t="str">
        <f t="shared" si="30"/>
        <v>yes</v>
      </c>
      <c r="S703" t="str">
        <f t="shared" si="31"/>
        <v>no</v>
      </c>
      <c r="T7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3" s="2" t="b">
        <f t="shared" si="32"/>
        <v>1</v>
      </c>
      <c r="V703" s="2">
        <f>IF(Table4[[#This Row],[linear?]],Table4[[#This Row],[av]],10^(Table4[[#This Row],[av]]/10))</f>
        <v>0</v>
      </c>
      <c r="W703" s="2">
        <f>IF(Table4[[#This Row],[linear?]],Table4[[#This Row],[av]],10^(Table4[[#This Row],[av]]/10))</f>
        <v>0</v>
      </c>
      <c r="X703" s="2">
        <f>Table4[[#This Row],[av_lin]]-2*Table4[[#This Row],[std_lin]]</f>
        <v>0</v>
      </c>
      <c r="Y703" s="2">
        <f>Table4[[#This Row],[av_lin]]+2*Table4[[#This Row],[std_lin]]</f>
        <v>0</v>
      </c>
    </row>
    <row r="704" spans="1:25" x14ac:dyDescent="0.35">
      <c r="A704" s="1">
        <v>845</v>
      </c>
      <c r="B704" t="s">
        <v>75</v>
      </c>
      <c r="C704" t="s">
        <v>820</v>
      </c>
      <c r="D704" t="s">
        <v>825</v>
      </c>
      <c r="E704" s="2">
        <v>100096395.5925926</v>
      </c>
      <c r="F704" s="2">
        <v>15.52837130869448</v>
      </c>
      <c r="G704">
        <v>27</v>
      </c>
      <c r="H704" t="s">
        <v>58</v>
      </c>
      <c r="M704" s="2">
        <v>100096426.64933521</v>
      </c>
      <c r="N704" s="2">
        <v>100096364.53585</v>
      </c>
      <c r="O704" s="2">
        <v>62.113485246896737</v>
      </c>
      <c r="P704" s="2">
        <v>6446033.1095088953</v>
      </c>
      <c r="R704" t="str">
        <f t="shared" si="30"/>
        <v>yes</v>
      </c>
      <c r="S704" t="str">
        <f t="shared" si="31"/>
        <v>no</v>
      </c>
      <c r="T7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4" s="2" t="b">
        <f t="shared" si="32"/>
        <v>1</v>
      </c>
      <c r="V704" s="2">
        <f>IF(Table4[[#This Row],[linear?]],Table4[[#This Row],[av]],10^(Table4[[#This Row],[av]]/10))</f>
        <v>100096395.5925926</v>
      </c>
      <c r="W704" s="2">
        <f>IF(Table4[[#This Row],[linear?]],Table4[[#This Row],[av]],10^(Table4[[#This Row],[av]]/10))</f>
        <v>100096395.5925926</v>
      </c>
      <c r="X704" s="2">
        <f>Table4[[#This Row],[av_lin]]-2*Table4[[#This Row],[std_lin]]</f>
        <v>-100096395.5925926</v>
      </c>
      <c r="Y704" s="2">
        <f>Table4[[#This Row],[av_lin]]+2*Table4[[#This Row],[std_lin]]</f>
        <v>300289186.77777779</v>
      </c>
    </row>
    <row r="705" spans="1:25" x14ac:dyDescent="0.35">
      <c r="A705" s="1">
        <v>893</v>
      </c>
      <c r="B705" t="s">
        <v>826</v>
      </c>
      <c r="C705" t="s">
        <v>820</v>
      </c>
      <c r="D705" t="s">
        <v>821</v>
      </c>
      <c r="G705">
        <v>12</v>
      </c>
      <c r="H705" t="s">
        <v>58</v>
      </c>
      <c r="R705" t="str">
        <f t="shared" si="30"/>
        <v>yes</v>
      </c>
      <c r="S705" t="str">
        <f t="shared" si="31"/>
        <v>no</v>
      </c>
      <c r="T7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5" s="2" t="b">
        <f t="shared" si="32"/>
        <v>1</v>
      </c>
      <c r="V705" s="2">
        <f>IF(Table4[[#This Row],[linear?]],Table4[[#This Row],[av]],10^(Table4[[#This Row],[av]]/10))</f>
        <v>0</v>
      </c>
      <c r="W705" s="2">
        <f>IF(Table4[[#This Row],[linear?]],Table4[[#This Row],[av]],10^(Table4[[#This Row],[av]]/10))</f>
        <v>0</v>
      </c>
      <c r="X705" s="2">
        <f>Table4[[#This Row],[av_lin]]-2*Table4[[#This Row],[std_lin]]</f>
        <v>0</v>
      </c>
      <c r="Y705" s="2">
        <f>Table4[[#This Row],[av_lin]]+2*Table4[[#This Row],[std_lin]]</f>
        <v>0</v>
      </c>
    </row>
    <row r="706" spans="1:25" x14ac:dyDescent="0.35">
      <c r="A706" s="1">
        <v>894</v>
      </c>
      <c r="B706" t="s">
        <v>826</v>
      </c>
      <c r="C706" t="s">
        <v>820</v>
      </c>
      <c r="D706" t="s">
        <v>822</v>
      </c>
      <c r="E706" s="2">
        <v>21.10779611111111</v>
      </c>
      <c r="F706" s="2">
        <v>2.9012359188745851</v>
      </c>
      <c r="G706">
        <v>12</v>
      </c>
      <c r="H706" t="s">
        <v>58</v>
      </c>
      <c r="M706" s="2">
        <v>26.91026794886028</v>
      </c>
      <c r="N706" s="2">
        <v>15.30532427336194</v>
      </c>
      <c r="O706" s="2">
        <v>11.60494367549834</v>
      </c>
      <c r="P706" s="2">
        <v>7.2754497398126139</v>
      </c>
      <c r="R706" t="str">
        <f t="shared" ref="R706:R769" si="33">IF(H706="yes","yes","no")</f>
        <v>yes</v>
      </c>
      <c r="S706" t="str">
        <f t="shared" ref="S706:S769" si="34">IF(I706,"yes","no")</f>
        <v>no</v>
      </c>
      <c r="T7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6" s="2" t="b">
        <f t="shared" ref="U706:U769" si="35">NOT(ISNUMBER(SEARCH("RFIC*POWER", D706)))</f>
        <v>1</v>
      </c>
      <c r="V706" s="2">
        <f>IF(Table4[[#This Row],[linear?]],Table4[[#This Row],[av]],10^(Table4[[#This Row],[av]]/10))</f>
        <v>21.10779611111111</v>
      </c>
      <c r="W706" s="2">
        <f>IF(Table4[[#This Row],[linear?]],Table4[[#This Row],[av]],10^(Table4[[#This Row],[av]]/10))</f>
        <v>21.10779611111111</v>
      </c>
      <c r="X706" s="2">
        <f>Table4[[#This Row],[av_lin]]-2*Table4[[#This Row],[std_lin]]</f>
        <v>-21.10779611111111</v>
      </c>
      <c r="Y706" s="2">
        <f>Table4[[#This Row],[av_lin]]+2*Table4[[#This Row],[std_lin]]</f>
        <v>63.323388333333327</v>
      </c>
    </row>
    <row r="707" spans="1:25" x14ac:dyDescent="0.35">
      <c r="A707" s="1">
        <v>895</v>
      </c>
      <c r="B707" t="s">
        <v>826</v>
      </c>
      <c r="C707" t="s">
        <v>820</v>
      </c>
      <c r="D707" t="s">
        <v>823</v>
      </c>
      <c r="E707" s="2">
        <v>0</v>
      </c>
      <c r="F707" s="2">
        <v>0</v>
      </c>
      <c r="G707">
        <v>12</v>
      </c>
      <c r="H707" t="s">
        <v>58</v>
      </c>
      <c r="M707" s="2">
        <v>0</v>
      </c>
      <c r="N707" s="2">
        <v>0</v>
      </c>
      <c r="O707" s="2">
        <v>0</v>
      </c>
      <c r="R707" t="str">
        <f t="shared" si="33"/>
        <v>yes</v>
      </c>
      <c r="S707" t="str">
        <f t="shared" si="34"/>
        <v>no</v>
      </c>
      <c r="T7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7" s="2" t="b">
        <f t="shared" si="35"/>
        <v>1</v>
      </c>
      <c r="V707" s="2">
        <f>IF(Table4[[#This Row],[linear?]],Table4[[#This Row],[av]],10^(Table4[[#This Row],[av]]/10))</f>
        <v>0</v>
      </c>
      <c r="W707" s="2">
        <f>IF(Table4[[#This Row],[linear?]],Table4[[#This Row],[av]],10^(Table4[[#This Row],[av]]/10))</f>
        <v>0</v>
      </c>
      <c r="X707" s="2">
        <f>Table4[[#This Row],[av_lin]]-2*Table4[[#This Row],[std_lin]]</f>
        <v>0</v>
      </c>
      <c r="Y707" s="2">
        <f>Table4[[#This Row],[av_lin]]+2*Table4[[#This Row],[std_lin]]</f>
        <v>0</v>
      </c>
    </row>
    <row r="708" spans="1:25" x14ac:dyDescent="0.35">
      <c r="A708" s="1">
        <v>896</v>
      </c>
      <c r="B708" t="s">
        <v>826</v>
      </c>
      <c r="C708" t="s">
        <v>820</v>
      </c>
      <c r="D708" t="s">
        <v>824</v>
      </c>
      <c r="G708">
        <v>12</v>
      </c>
      <c r="H708" t="s">
        <v>58</v>
      </c>
      <c r="R708" t="str">
        <f t="shared" si="33"/>
        <v>yes</v>
      </c>
      <c r="S708" t="str">
        <f t="shared" si="34"/>
        <v>no</v>
      </c>
      <c r="T7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8" s="2" t="b">
        <f t="shared" si="35"/>
        <v>1</v>
      </c>
      <c r="V708" s="2">
        <f>IF(Table4[[#This Row],[linear?]],Table4[[#This Row],[av]],10^(Table4[[#This Row],[av]]/10))</f>
        <v>0</v>
      </c>
      <c r="W708" s="2">
        <f>IF(Table4[[#This Row],[linear?]],Table4[[#This Row],[av]],10^(Table4[[#This Row],[av]]/10))</f>
        <v>0</v>
      </c>
      <c r="X708" s="2">
        <f>Table4[[#This Row],[av_lin]]-2*Table4[[#This Row],[std_lin]]</f>
        <v>0</v>
      </c>
      <c r="Y708" s="2">
        <f>Table4[[#This Row],[av_lin]]+2*Table4[[#This Row],[std_lin]]</f>
        <v>0</v>
      </c>
    </row>
    <row r="709" spans="1:25" x14ac:dyDescent="0.35">
      <c r="A709" s="1">
        <v>897</v>
      </c>
      <c r="B709" t="s">
        <v>826</v>
      </c>
      <c r="C709" t="s">
        <v>820</v>
      </c>
      <c r="D709" t="s">
        <v>825</v>
      </c>
      <c r="E709" s="2">
        <v>100096383.25</v>
      </c>
      <c r="F709" s="2">
        <v>12.910751333675361</v>
      </c>
      <c r="G709">
        <v>12</v>
      </c>
      <c r="H709" t="s">
        <v>58</v>
      </c>
      <c r="M709" s="2">
        <v>100096409.0715027</v>
      </c>
      <c r="N709" s="2">
        <v>100096357.4284973</v>
      </c>
      <c r="O709" s="2">
        <v>51.643005341291428</v>
      </c>
      <c r="P709" s="2">
        <v>7752947.9627507562</v>
      </c>
      <c r="R709" t="str">
        <f t="shared" si="33"/>
        <v>yes</v>
      </c>
      <c r="S709" t="str">
        <f t="shared" si="34"/>
        <v>no</v>
      </c>
      <c r="T7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9" s="2" t="b">
        <f t="shared" si="35"/>
        <v>1</v>
      </c>
      <c r="V709" s="2">
        <f>IF(Table4[[#This Row],[linear?]],Table4[[#This Row],[av]],10^(Table4[[#This Row],[av]]/10))</f>
        <v>100096383.25</v>
      </c>
      <c r="W709" s="2">
        <f>IF(Table4[[#This Row],[linear?]],Table4[[#This Row],[av]],10^(Table4[[#This Row],[av]]/10))</f>
        <v>100096383.25</v>
      </c>
      <c r="X709" s="2">
        <f>Table4[[#This Row],[av_lin]]-2*Table4[[#This Row],[std_lin]]</f>
        <v>-100096383.25</v>
      </c>
      <c r="Y709" s="2">
        <f>Table4[[#This Row],[av_lin]]+2*Table4[[#This Row],[std_lin]]</f>
        <v>300289149.75</v>
      </c>
    </row>
    <row r="710" spans="1:25" x14ac:dyDescent="0.35">
      <c r="A710" s="1">
        <v>997</v>
      </c>
      <c r="B710" t="s">
        <v>827</v>
      </c>
      <c r="C710" t="s">
        <v>56</v>
      </c>
      <c r="D710" t="s">
        <v>57</v>
      </c>
      <c r="E710" s="2">
        <v>0</v>
      </c>
      <c r="F710" s="2">
        <v>0</v>
      </c>
      <c r="G710">
        <v>6</v>
      </c>
      <c r="H710" t="s">
        <v>58</v>
      </c>
      <c r="M710" s="2">
        <v>0</v>
      </c>
      <c r="N710" s="2">
        <v>0</v>
      </c>
      <c r="O710" s="2">
        <v>0</v>
      </c>
      <c r="R710" t="str">
        <f t="shared" si="33"/>
        <v>yes</v>
      </c>
      <c r="S710" t="str">
        <f t="shared" si="34"/>
        <v>no</v>
      </c>
      <c r="T7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0" s="2" t="b">
        <f t="shared" si="35"/>
        <v>1</v>
      </c>
      <c r="V710" s="2">
        <f>IF(Table4[[#This Row],[linear?]],Table4[[#This Row],[av]],10^(Table4[[#This Row],[av]]/10))</f>
        <v>0</v>
      </c>
      <c r="W710" s="2">
        <f>IF(Table4[[#This Row],[linear?]],Table4[[#This Row],[av]],10^(Table4[[#This Row],[av]]/10))</f>
        <v>0</v>
      </c>
      <c r="X710" s="2">
        <f>Table4[[#This Row],[av_lin]]-2*Table4[[#This Row],[std_lin]]</f>
        <v>0</v>
      </c>
      <c r="Y710" s="2">
        <f>Table4[[#This Row],[av_lin]]+2*Table4[[#This Row],[std_lin]]</f>
        <v>0</v>
      </c>
    </row>
    <row r="711" spans="1:25" x14ac:dyDescent="0.35">
      <c r="A711" s="1">
        <v>998</v>
      </c>
      <c r="B711" t="s">
        <v>827</v>
      </c>
      <c r="C711" t="s">
        <v>56</v>
      </c>
      <c r="D711" t="s">
        <v>59</v>
      </c>
      <c r="E711" s="2">
        <v>0</v>
      </c>
      <c r="F711" s="2">
        <v>0</v>
      </c>
      <c r="G711">
        <v>6</v>
      </c>
      <c r="H711" t="s">
        <v>58</v>
      </c>
      <c r="M711" s="2">
        <v>0</v>
      </c>
      <c r="N711" s="2">
        <v>0</v>
      </c>
      <c r="O711" s="2">
        <v>0</v>
      </c>
      <c r="R711" t="str">
        <f t="shared" si="33"/>
        <v>yes</v>
      </c>
      <c r="S711" t="str">
        <f t="shared" si="34"/>
        <v>no</v>
      </c>
      <c r="T7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1" s="2" t="b">
        <f t="shared" si="35"/>
        <v>1</v>
      </c>
      <c r="V711" s="2">
        <f>IF(Table4[[#This Row],[linear?]],Table4[[#This Row],[av]],10^(Table4[[#This Row],[av]]/10))</f>
        <v>0</v>
      </c>
      <c r="W711" s="2">
        <f>IF(Table4[[#This Row],[linear?]],Table4[[#This Row],[av]],10^(Table4[[#This Row],[av]]/10))</f>
        <v>0</v>
      </c>
      <c r="X711" s="2">
        <f>Table4[[#This Row],[av_lin]]-2*Table4[[#This Row],[std_lin]]</f>
        <v>0</v>
      </c>
      <c r="Y711" s="2">
        <f>Table4[[#This Row],[av_lin]]+2*Table4[[#This Row],[std_lin]]</f>
        <v>0</v>
      </c>
    </row>
    <row r="712" spans="1:25" x14ac:dyDescent="0.35">
      <c r="A712" s="1">
        <v>999</v>
      </c>
      <c r="B712" t="s">
        <v>827</v>
      </c>
      <c r="C712" t="s">
        <v>56</v>
      </c>
      <c r="D712" t="s">
        <v>60</v>
      </c>
      <c r="E712" s="2">
        <v>0</v>
      </c>
      <c r="F712" s="2">
        <v>0</v>
      </c>
      <c r="G712">
        <v>6</v>
      </c>
      <c r="H712" t="s">
        <v>58</v>
      </c>
      <c r="M712" s="2">
        <v>0</v>
      </c>
      <c r="N712" s="2">
        <v>0</v>
      </c>
      <c r="O712" s="2">
        <v>0</v>
      </c>
      <c r="R712" t="str">
        <f t="shared" si="33"/>
        <v>yes</v>
      </c>
      <c r="S712" t="str">
        <f t="shared" si="34"/>
        <v>no</v>
      </c>
      <c r="T7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2" s="2" t="b">
        <f t="shared" si="35"/>
        <v>1</v>
      </c>
      <c r="V712" s="2">
        <f>IF(Table4[[#This Row],[linear?]],Table4[[#This Row],[av]],10^(Table4[[#This Row],[av]]/10))</f>
        <v>0</v>
      </c>
      <c r="W712" s="2">
        <f>IF(Table4[[#This Row],[linear?]],Table4[[#This Row],[av]],10^(Table4[[#This Row],[av]]/10))</f>
        <v>0</v>
      </c>
      <c r="X712" s="2">
        <f>Table4[[#This Row],[av_lin]]-2*Table4[[#This Row],[std_lin]]</f>
        <v>0</v>
      </c>
      <c r="Y712" s="2">
        <f>Table4[[#This Row],[av_lin]]+2*Table4[[#This Row],[std_lin]]</f>
        <v>0</v>
      </c>
    </row>
    <row r="713" spans="1:25" x14ac:dyDescent="0.35">
      <c r="A713" s="1">
        <v>1000</v>
      </c>
      <c r="B713" t="s">
        <v>827</v>
      </c>
      <c r="C713" t="s">
        <v>56</v>
      </c>
      <c r="D713" t="s">
        <v>61</v>
      </c>
      <c r="E713" s="2">
        <v>0</v>
      </c>
      <c r="F713" s="2">
        <v>0</v>
      </c>
      <c r="G713">
        <v>6</v>
      </c>
      <c r="H713" t="s">
        <v>58</v>
      </c>
      <c r="M713" s="2">
        <v>0</v>
      </c>
      <c r="N713" s="2">
        <v>0</v>
      </c>
      <c r="O713" s="2">
        <v>0</v>
      </c>
      <c r="R713" t="str">
        <f t="shared" si="33"/>
        <v>yes</v>
      </c>
      <c r="S713" t="str">
        <f t="shared" si="34"/>
        <v>no</v>
      </c>
      <c r="T7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3" s="2" t="b">
        <f t="shared" si="35"/>
        <v>1</v>
      </c>
      <c r="V713" s="2">
        <f>IF(Table4[[#This Row],[linear?]],Table4[[#This Row],[av]],10^(Table4[[#This Row],[av]]/10))</f>
        <v>0</v>
      </c>
      <c r="W713" s="2">
        <f>IF(Table4[[#This Row],[linear?]],Table4[[#This Row],[av]],10^(Table4[[#This Row],[av]]/10))</f>
        <v>0</v>
      </c>
      <c r="X713" s="2">
        <f>Table4[[#This Row],[av_lin]]-2*Table4[[#This Row],[std_lin]]</f>
        <v>0</v>
      </c>
      <c r="Y713" s="2">
        <f>Table4[[#This Row],[av_lin]]+2*Table4[[#This Row],[std_lin]]</f>
        <v>0</v>
      </c>
    </row>
    <row r="714" spans="1:25" x14ac:dyDescent="0.35">
      <c r="A714" s="1">
        <v>1001</v>
      </c>
      <c r="B714" t="s">
        <v>827</v>
      </c>
      <c r="C714" t="s">
        <v>56</v>
      </c>
      <c r="D714" t="s">
        <v>62</v>
      </c>
      <c r="E714" s="2">
        <v>0</v>
      </c>
      <c r="F714" s="2">
        <v>0</v>
      </c>
      <c r="G714">
        <v>6</v>
      </c>
      <c r="H714" t="s">
        <v>58</v>
      </c>
      <c r="M714" s="2">
        <v>0</v>
      </c>
      <c r="N714" s="2">
        <v>0</v>
      </c>
      <c r="O714" s="2">
        <v>0</v>
      </c>
      <c r="R714" t="str">
        <f t="shared" si="33"/>
        <v>yes</v>
      </c>
      <c r="S714" t="str">
        <f t="shared" si="34"/>
        <v>no</v>
      </c>
      <c r="T7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4" s="2" t="b">
        <f t="shared" si="35"/>
        <v>1</v>
      </c>
      <c r="V714" s="2">
        <f>IF(Table4[[#This Row],[linear?]],Table4[[#This Row],[av]],10^(Table4[[#This Row],[av]]/10))</f>
        <v>0</v>
      </c>
      <c r="W714" s="2">
        <f>IF(Table4[[#This Row],[linear?]],Table4[[#This Row],[av]],10^(Table4[[#This Row],[av]]/10))</f>
        <v>0</v>
      </c>
      <c r="X714" s="2">
        <f>Table4[[#This Row],[av_lin]]-2*Table4[[#This Row],[std_lin]]</f>
        <v>0</v>
      </c>
      <c r="Y714" s="2">
        <f>Table4[[#This Row],[av_lin]]+2*Table4[[#This Row],[std_lin]]</f>
        <v>0</v>
      </c>
    </row>
    <row r="715" spans="1:25" x14ac:dyDescent="0.35">
      <c r="A715" s="1">
        <v>1002</v>
      </c>
      <c r="B715" t="s">
        <v>827</v>
      </c>
      <c r="C715" t="s">
        <v>56</v>
      </c>
      <c r="D715" t="s">
        <v>63</v>
      </c>
      <c r="E715" s="2">
        <v>0</v>
      </c>
      <c r="F715" s="2">
        <v>0</v>
      </c>
      <c r="G715">
        <v>6</v>
      </c>
      <c r="H715" t="s">
        <v>58</v>
      </c>
      <c r="M715" s="2">
        <v>0</v>
      </c>
      <c r="N715" s="2">
        <v>0</v>
      </c>
      <c r="O715" s="2">
        <v>0</v>
      </c>
      <c r="R715" t="str">
        <f t="shared" si="33"/>
        <v>yes</v>
      </c>
      <c r="S715" t="str">
        <f t="shared" si="34"/>
        <v>no</v>
      </c>
      <c r="T7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5" s="2" t="b">
        <f t="shared" si="35"/>
        <v>1</v>
      </c>
      <c r="V715" s="2">
        <f>IF(Table4[[#This Row],[linear?]],Table4[[#This Row],[av]],10^(Table4[[#This Row],[av]]/10))</f>
        <v>0</v>
      </c>
      <c r="W715" s="2">
        <f>IF(Table4[[#This Row],[linear?]],Table4[[#This Row],[av]],10^(Table4[[#This Row],[av]]/10))</f>
        <v>0</v>
      </c>
      <c r="X715" s="2">
        <f>Table4[[#This Row],[av_lin]]-2*Table4[[#This Row],[std_lin]]</f>
        <v>0</v>
      </c>
      <c r="Y715" s="2">
        <f>Table4[[#This Row],[av_lin]]+2*Table4[[#This Row],[std_lin]]</f>
        <v>0</v>
      </c>
    </row>
    <row r="716" spans="1:25" x14ac:dyDescent="0.35">
      <c r="A716" s="1">
        <v>1003</v>
      </c>
      <c r="B716" t="s">
        <v>827</v>
      </c>
      <c r="C716" t="s">
        <v>56</v>
      </c>
      <c r="D716" t="s">
        <v>64</v>
      </c>
      <c r="E716" s="2">
        <v>0</v>
      </c>
      <c r="F716" s="2">
        <v>0</v>
      </c>
      <c r="G716">
        <v>6</v>
      </c>
      <c r="H716" t="s">
        <v>58</v>
      </c>
      <c r="M716" s="2">
        <v>0</v>
      </c>
      <c r="N716" s="2">
        <v>0</v>
      </c>
      <c r="O716" s="2">
        <v>0</v>
      </c>
      <c r="R716" t="str">
        <f t="shared" si="33"/>
        <v>yes</v>
      </c>
      <c r="S716" t="str">
        <f t="shared" si="34"/>
        <v>no</v>
      </c>
      <c r="T7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6" s="2" t="b">
        <f t="shared" si="35"/>
        <v>1</v>
      </c>
      <c r="V716" s="2">
        <f>IF(Table4[[#This Row],[linear?]],Table4[[#This Row],[av]],10^(Table4[[#This Row],[av]]/10))</f>
        <v>0</v>
      </c>
      <c r="W716" s="2">
        <f>IF(Table4[[#This Row],[linear?]],Table4[[#This Row],[av]],10^(Table4[[#This Row],[av]]/10))</f>
        <v>0</v>
      </c>
      <c r="X716" s="2">
        <f>Table4[[#This Row],[av_lin]]-2*Table4[[#This Row],[std_lin]]</f>
        <v>0</v>
      </c>
      <c r="Y716" s="2">
        <f>Table4[[#This Row],[av_lin]]+2*Table4[[#This Row],[std_lin]]</f>
        <v>0</v>
      </c>
    </row>
    <row r="717" spans="1:25" x14ac:dyDescent="0.35">
      <c r="A717" s="1">
        <v>1004</v>
      </c>
      <c r="B717" t="s">
        <v>827</v>
      </c>
      <c r="C717" t="s">
        <v>56</v>
      </c>
      <c r="D717" t="s">
        <v>65</v>
      </c>
      <c r="E717" s="2">
        <v>0</v>
      </c>
      <c r="F717" s="2">
        <v>0</v>
      </c>
      <c r="G717">
        <v>6</v>
      </c>
      <c r="H717" t="s">
        <v>58</v>
      </c>
      <c r="M717" s="2">
        <v>0</v>
      </c>
      <c r="N717" s="2">
        <v>0</v>
      </c>
      <c r="O717" s="2">
        <v>0</v>
      </c>
      <c r="R717" t="str">
        <f t="shared" si="33"/>
        <v>yes</v>
      </c>
      <c r="S717" t="str">
        <f t="shared" si="34"/>
        <v>no</v>
      </c>
      <c r="T7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7" s="2" t="b">
        <f t="shared" si="35"/>
        <v>1</v>
      </c>
      <c r="V717" s="2">
        <f>IF(Table4[[#This Row],[linear?]],Table4[[#This Row],[av]],10^(Table4[[#This Row],[av]]/10))</f>
        <v>0</v>
      </c>
      <c r="W717" s="2">
        <f>IF(Table4[[#This Row],[linear?]],Table4[[#This Row],[av]],10^(Table4[[#This Row],[av]]/10))</f>
        <v>0</v>
      </c>
      <c r="X717" s="2">
        <f>Table4[[#This Row],[av_lin]]-2*Table4[[#This Row],[std_lin]]</f>
        <v>0</v>
      </c>
      <c r="Y717" s="2">
        <f>Table4[[#This Row],[av_lin]]+2*Table4[[#This Row],[std_lin]]</f>
        <v>0</v>
      </c>
    </row>
    <row r="718" spans="1:25" x14ac:dyDescent="0.35">
      <c r="A718" s="1">
        <v>1005</v>
      </c>
      <c r="B718" t="s">
        <v>827</v>
      </c>
      <c r="C718" t="s">
        <v>56</v>
      </c>
      <c r="D718" t="s">
        <v>66</v>
      </c>
      <c r="E718" s="2">
        <v>0</v>
      </c>
      <c r="F718" s="2">
        <v>0</v>
      </c>
      <c r="G718">
        <v>6</v>
      </c>
      <c r="H718" t="s">
        <v>58</v>
      </c>
      <c r="M718" s="2">
        <v>0</v>
      </c>
      <c r="N718" s="2">
        <v>0</v>
      </c>
      <c r="O718" s="2">
        <v>0</v>
      </c>
      <c r="R718" t="str">
        <f t="shared" si="33"/>
        <v>yes</v>
      </c>
      <c r="S718" t="str">
        <f t="shared" si="34"/>
        <v>no</v>
      </c>
      <c r="T7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8" s="2" t="b">
        <f t="shared" si="35"/>
        <v>1</v>
      </c>
      <c r="V718" s="2">
        <f>IF(Table4[[#This Row],[linear?]],Table4[[#This Row],[av]],10^(Table4[[#This Row],[av]]/10))</f>
        <v>0</v>
      </c>
      <c r="W718" s="2">
        <f>IF(Table4[[#This Row],[linear?]],Table4[[#This Row],[av]],10^(Table4[[#This Row],[av]]/10))</f>
        <v>0</v>
      </c>
      <c r="X718" s="2">
        <f>Table4[[#This Row],[av_lin]]-2*Table4[[#This Row],[std_lin]]</f>
        <v>0</v>
      </c>
      <c r="Y718" s="2">
        <f>Table4[[#This Row],[av_lin]]+2*Table4[[#This Row],[std_lin]]</f>
        <v>0</v>
      </c>
    </row>
    <row r="719" spans="1:25" x14ac:dyDescent="0.35">
      <c r="A719" s="1">
        <v>1008</v>
      </c>
      <c r="B719" t="s">
        <v>827</v>
      </c>
      <c r="C719" t="s">
        <v>56</v>
      </c>
      <c r="D719" t="s">
        <v>69</v>
      </c>
      <c r="E719" s="2">
        <v>0.67423671111111116</v>
      </c>
      <c r="F719" s="2">
        <v>0.76174158785264878</v>
      </c>
      <c r="G719">
        <v>6</v>
      </c>
      <c r="H719" t="s">
        <v>58</v>
      </c>
      <c r="M719" s="2">
        <v>2.197719886816409</v>
      </c>
      <c r="N719" s="2">
        <v>-0.8492464645941864</v>
      </c>
      <c r="O719" s="2">
        <v>3.0469663514105951</v>
      </c>
      <c r="P719" s="2">
        <v>0.88512524701688655</v>
      </c>
      <c r="R719" t="str">
        <f t="shared" si="33"/>
        <v>yes</v>
      </c>
      <c r="S719" t="str">
        <f t="shared" si="34"/>
        <v>no</v>
      </c>
      <c r="T7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9" s="2" t="b">
        <f t="shared" si="35"/>
        <v>1</v>
      </c>
      <c r="V719" s="2">
        <f>IF(Table4[[#This Row],[linear?]],Table4[[#This Row],[av]],10^(Table4[[#This Row],[av]]/10))</f>
        <v>0.67423671111111116</v>
      </c>
      <c r="W719" s="2">
        <f>IF(Table4[[#This Row],[linear?]],Table4[[#This Row],[av]],10^(Table4[[#This Row],[av]]/10))</f>
        <v>0.67423671111111116</v>
      </c>
      <c r="X719" s="2">
        <f>Table4[[#This Row],[av_lin]]-2*Table4[[#This Row],[std_lin]]</f>
        <v>-0.67423671111111116</v>
      </c>
      <c r="Y719" s="2">
        <f>Table4[[#This Row],[av_lin]]+2*Table4[[#This Row],[std_lin]]</f>
        <v>2.0227101333333337</v>
      </c>
    </row>
    <row r="720" spans="1:25" x14ac:dyDescent="0.35">
      <c r="A720" s="1">
        <v>1009</v>
      </c>
      <c r="B720" t="s">
        <v>827</v>
      </c>
      <c r="C720" t="s">
        <v>56</v>
      </c>
      <c r="D720" t="s">
        <v>70</v>
      </c>
      <c r="E720" s="2">
        <v>-0.25957334444444441</v>
      </c>
      <c r="F720" s="2">
        <v>7.2596263909298242E-2</v>
      </c>
      <c r="G720">
        <v>6</v>
      </c>
      <c r="H720" t="s">
        <v>58</v>
      </c>
      <c r="M720" s="2">
        <v>-0.1143808166258479</v>
      </c>
      <c r="N720" s="2">
        <v>-0.40476587226304089</v>
      </c>
      <c r="O720" s="2">
        <v>0.29038505563719302</v>
      </c>
      <c r="P720" s="2">
        <v>-3.5755744230688689</v>
      </c>
      <c r="R720" t="str">
        <f t="shared" si="33"/>
        <v>yes</v>
      </c>
      <c r="S720" t="str">
        <f t="shared" si="34"/>
        <v>no</v>
      </c>
      <c r="T7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0" s="2" t="b">
        <f t="shared" si="35"/>
        <v>1</v>
      </c>
      <c r="V720" s="2">
        <f>IF(Table4[[#This Row],[linear?]],Table4[[#This Row],[av]],10^(Table4[[#This Row],[av]]/10))</f>
        <v>-0.25957334444444441</v>
      </c>
      <c r="W720" s="2">
        <f>IF(Table4[[#This Row],[linear?]],Table4[[#This Row],[av]],10^(Table4[[#This Row],[av]]/10))</f>
        <v>-0.25957334444444441</v>
      </c>
      <c r="X720" s="2">
        <f>Table4[[#This Row],[av_lin]]-2*Table4[[#This Row],[std_lin]]</f>
        <v>0.25957334444444441</v>
      </c>
      <c r="Y720" s="2">
        <f>Table4[[#This Row],[av_lin]]+2*Table4[[#This Row],[std_lin]]</f>
        <v>-0.77872003333333328</v>
      </c>
    </row>
    <row r="721" spans="1:25" x14ac:dyDescent="0.35">
      <c r="A721" s="1">
        <v>1010</v>
      </c>
      <c r="B721" t="s">
        <v>827</v>
      </c>
      <c r="C721" t="s">
        <v>56</v>
      </c>
      <c r="D721" t="s">
        <v>71</v>
      </c>
      <c r="E721" s="2">
        <v>84.527113827777782</v>
      </c>
      <c r="F721" s="2">
        <v>13.369930303503279</v>
      </c>
      <c r="G721">
        <v>6</v>
      </c>
      <c r="H721" t="s">
        <v>58</v>
      </c>
      <c r="M721" s="2">
        <v>111.2669744347843</v>
      </c>
      <c r="N721" s="2">
        <v>57.78725322077122</v>
      </c>
      <c r="O721" s="2">
        <v>53.479721214013132</v>
      </c>
      <c r="P721" s="2">
        <v>6.3221805880042181</v>
      </c>
      <c r="R721" t="str">
        <f t="shared" si="33"/>
        <v>yes</v>
      </c>
      <c r="S721" t="str">
        <f t="shared" si="34"/>
        <v>no</v>
      </c>
      <c r="T7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1" s="2" t="b">
        <f t="shared" si="35"/>
        <v>1</v>
      </c>
      <c r="V721" s="2">
        <f>IF(Table4[[#This Row],[linear?]],Table4[[#This Row],[av]],10^(Table4[[#This Row],[av]]/10))</f>
        <v>84.527113827777782</v>
      </c>
      <c r="W721" s="2">
        <f>IF(Table4[[#This Row],[linear?]],Table4[[#This Row],[av]],10^(Table4[[#This Row],[av]]/10))</f>
        <v>84.527113827777782</v>
      </c>
      <c r="X721" s="2">
        <f>Table4[[#This Row],[av_lin]]-2*Table4[[#This Row],[std_lin]]</f>
        <v>-84.527113827777782</v>
      </c>
      <c r="Y721" s="2">
        <f>Table4[[#This Row],[av_lin]]+2*Table4[[#This Row],[std_lin]]</f>
        <v>253.58134148333335</v>
      </c>
    </row>
    <row r="722" spans="1:25" x14ac:dyDescent="0.35">
      <c r="A722" s="1">
        <v>1011</v>
      </c>
      <c r="B722" t="s">
        <v>827</v>
      </c>
      <c r="C722" t="s">
        <v>56</v>
      </c>
      <c r="D722" t="s">
        <v>72</v>
      </c>
      <c r="E722" s="2">
        <v>0</v>
      </c>
      <c r="F722" s="2">
        <v>0</v>
      </c>
      <c r="G722">
        <v>6</v>
      </c>
      <c r="H722" t="s">
        <v>58</v>
      </c>
      <c r="M722" s="2">
        <v>0</v>
      </c>
      <c r="N722" s="2">
        <v>0</v>
      </c>
      <c r="O722" s="2">
        <v>0</v>
      </c>
      <c r="R722" t="str">
        <f t="shared" si="33"/>
        <v>yes</v>
      </c>
      <c r="S722" t="str">
        <f t="shared" si="34"/>
        <v>no</v>
      </c>
      <c r="T7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2" s="2" t="b">
        <f t="shared" si="35"/>
        <v>1</v>
      </c>
      <c r="V722" s="2">
        <f>IF(Table4[[#This Row],[linear?]],Table4[[#This Row],[av]],10^(Table4[[#This Row],[av]]/10))</f>
        <v>0</v>
      </c>
      <c r="W722" s="2">
        <f>IF(Table4[[#This Row],[linear?]],Table4[[#This Row],[av]],10^(Table4[[#This Row],[av]]/10))</f>
        <v>0</v>
      </c>
      <c r="X722" s="2">
        <f>Table4[[#This Row],[av_lin]]-2*Table4[[#This Row],[std_lin]]</f>
        <v>0</v>
      </c>
      <c r="Y722" s="2">
        <f>Table4[[#This Row],[av_lin]]+2*Table4[[#This Row],[std_lin]]</f>
        <v>0</v>
      </c>
    </row>
    <row r="723" spans="1:25" x14ac:dyDescent="0.35">
      <c r="A723" s="1">
        <v>1012</v>
      </c>
      <c r="B723" t="s">
        <v>827</v>
      </c>
      <c r="C723" t="s">
        <v>56</v>
      </c>
      <c r="D723" t="s">
        <v>73</v>
      </c>
      <c r="E723" s="2">
        <v>0</v>
      </c>
      <c r="F723" s="2">
        <v>0</v>
      </c>
      <c r="G723">
        <v>6</v>
      </c>
      <c r="H723" t="s">
        <v>58</v>
      </c>
      <c r="M723" s="2">
        <v>0</v>
      </c>
      <c r="N723" s="2">
        <v>0</v>
      </c>
      <c r="O723" s="2">
        <v>0</v>
      </c>
      <c r="R723" t="str">
        <f t="shared" si="33"/>
        <v>yes</v>
      </c>
      <c r="S723" t="str">
        <f t="shared" si="34"/>
        <v>no</v>
      </c>
      <c r="T7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3" s="2" t="b">
        <f t="shared" si="35"/>
        <v>1</v>
      </c>
      <c r="V723" s="2">
        <f>IF(Table4[[#This Row],[linear?]],Table4[[#This Row],[av]],10^(Table4[[#This Row],[av]]/10))</f>
        <v>0</v>
      </c>
      <c r="W723" s="2">
        <f>IF(Table4[[#This Row],[linear?]],Table4[[#This Row],[av]],10^(Table4[[#This Row],[av]]/10))</f>
        <v>0</v>
      </c>
      <c r="X723" s="2">
        <f>Table4[[#This Row],[av_lin]]-2*Table4[[#This Row],[std_lin]]</f>
        <v>0</v>
      </c>
      <c r="Y723" s="2">
        <f>Table4[[#This Row],[av_lin]]+2*Table4[[#This Row],[std_lin]]</f>
        <v>0</v>
      </c>
    </row>
    <row r="724" spans="1:25" x14ac:dyDescent="0.35">
      <c r="A724" s="1">
        <v>1013</v>
      </c>
      <c r="B724" t="s">
        <v>827</v>
      </c>
      <c r="C724" t="s">
        <v>56</v>
      </c>
      <c r="D724" t="s">
        <v>74</v>
      </c>
      <c r="E724" s="2">
        <v>0</v>
      </c>
      <c r="F724" s="2">
        <v>0</v>
      </c>
      <c r="G724">
        <v>6</v>
      </c>
      <c r="H724" t="s">
        <v>58</v>
      </c>
      <c r="M724" s="2">
        <v>0</v>
      </c>
      <c r="N724" s="2">
        <v>0</v>
      </c>
      <c r="O724" s="2">
        <v>0</v>
      </c>
      <c r="R724" t="str">
        <f t="shared" si="33"/>
        <v>yes</v>
      </c>
      <c r="S724" t="str">
        <f t="shared" si="34"/>
        <v>no</v>
      </c>
      <c r="T7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4" s="2" t="b">
        <f t="shared" si="35"/>
        <v>1</v>
      </c>
      <c r="V724" s="2">
        <f>IF(Table4[[#This Row],[linear?]],Table4[[#This Row],[av]],10^(Table4[[#This Row],[av]]/10))</f>
        <v>0</v>
      </c>
      <c r="W724" s="2">
        <f>IF(Table4[[#This Row],[linear?]],Table4[[#This Row],[av]],10^(Table4[[#This Row],[av]]/10))</f>
        <v>0</v>
      </c>
      <c r="X724" s="2">
        <f>Table4[[#This Row],[av_lin]]-2*Table4[[#This Row],[std_lin]]</f>
        <v>0</v>
      </c>
      <c r="Y724" s="2">
        <f>Table4[[#This Row],[av_lin]]+2*Table4[[#This Row],[std_lin]]</f>
        <v>0</v>
      </c>
    </row>
    <row r="725" spans="1:25" x14ac:dyDescent="0.35">
      <c r="A725" s="1">
        <v>1014</v>
      </c>
      <c r="B725" t="s">
        <v>827</v>
      </c>
      <c r="C725" t="s">
        <v>820</v>
      </c>
      <c r="D725" t="s">
        <v>821</v>
      </c>
      <c r="G725">
        <v>6</v>
      </c>
      <c r="H725" t="s">
        <v>58</v>
      </c>
      <c r="R725" t="str">
        <f t="shared" si="33"/>
        <v>yes</v>
      </c>
      <c r="S725" t="str">
        <f t="shared" si="34"/>
        <v>no</v>
      </c>
      <c r="T7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5" s="2" t="b">
        <f t="shared" si="35"/>
        <v>1</v>
      </c>
      <c r="V725" s="2">
        <f>IF(Table4[[#This Row],[linear?]],Table4[[#This Row],[av]],10^(Table4[[#This Row],[av]]/10))</f>
        <v>0</v>
      </c>
      <c r="W725" s="2">
        <f>IF(Table4[[#This Row],[linear?]],Table4[[#This Row],[av]],10^(Table4[[#This Row],[av]]/10))</f>
        <v>0</v>
      </c>
      <c r="X725" s="2">
        <f>Table4[[#This Row],[av_lin]]-2*Table4[[#This Row],[std_lin]]</f>
        <v>0</v>
      </c>
      <c r="Y725" s="2">
        <f>Table4[[#This Row],[av_lin]]+2*Table4[[#This Row],[std_lin]]</f>
        <v>0</v>
      </c>
    </row>
    <row r="726" spans="1:25" x14ac:dyDescent="0.35">
      <c r="A726" s="1">
        <v>1015</v>
      </c>
      <c r="B726" t="s">
        <v>827</v>
      </c>
      <c r="C726" t="s">
        <v>820</v>
      </c>
      <c r="D726" t="s">
        <v>822</v>
      </c>
      <c r="E726" s="2">
        <v>28.415519444444438</v>
      </c>
      <c r="F726" s="2">
        <v>2.3808986566479531</v>
      </c>
      <c r="G726">
        <v>6</v>
      </c>
      <c r="H726" t="s">
        <v>58</v>
      </c>
      <c r="M726" s="2">
        <v>33.177316757740343</v>
      </c>
      <c r="N726" s="2">
        <v>23.65372213114853</v>
      </c>
      <c r="O726" s="2">
        <v>9.5235946265918088</v>
      </c>
      <c r="P726" s="2">
        <v>11.9347874656918</v>
      </c>
      <c r="R726" t="str">
        <f t="shared" si="33"/>
        <v>yes</v>
      </c>
      <c r="S726" t="str">
        <f t="shared" si="34"/>
        <v>no</v>
      </c>
      <c r="T7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6" s="2" t="b">
        <f t="shared" si="35"/>
        <v>1</v>
      </c>
      <c r="V726" s="2">
        <f>IF(Table4[[#This Row],[linear?]],Table4[[#This Row],[av]],10^(Table4[[#This Row],[av]]/10))</f>
        <v>28.415519444444438</v>
      </c>
      <c r="W726" s="2">
        <f>IF(Table4[[#This Row],[linear?]],Table4[[#This Row],[av]],10^(Table4[[#This Row],[av]]/10))</f>
        <v>28.415519444444438</v>
      </c>
      <c r="X726" s="2">
        <f>Table4[[#This Row],[av_lin]]-2*Table4[[#This Row],[std_lin]]</f>
        <v>-28.415519444444438</v>
      </c>
      <c r="Y726" s="2">
        <f>Table4[[#This Row],[av_lin]]+2*Table4[[#This Row],[std_lin]]</f>
        <v>85.246558333333311</v>
      </c>
    </row>
    <row r="727" spans="1:25" x14ac:dyDescent="0.35">
      <c r="A727" s="1">
        <v>1016</v>
      </c>
      <c r="B727" t="s">
        <v>827</v>
      </c>
      <c r="C727" t="s">
        <v>820</v>
      </c>
      <c r="D727" t="s">
        <v>823</v>
      </c>
      <c r="E727" s="2">
        <v>0</v>
      </c>
      <c r="F727" s="2">
        <v>0</v>
      </c>
      <c r="G727">
        <v>6</v>
      </c>
      <c r="H727" t="s">
        <v>58</v>
      </c>
      <c r="M727" s="2">
        <v>0</v>
      </c>
      <c r="N727" s="2">
        <v>0</v>
      </c>
      <c r="O727" s="2">
        <v>0</v>
      </c>
      <c r="R727" t="str">
        <f t="shared" si="33"/>
        <v>yes</v>
      </c>
      <c r="S727" t="str">
        <f t="shared" si="34"/>
        <v>no</v>
      </c>
      <c r="T7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7" s="2" t="b">
        <f t="shared" si="35"/>
        <v>1</v>
      </c>
      <c r="V727" s="2">
        <f>IF(Table4[[#This Row],[linear?]],Table4[[#This Row],[av]],10^(Table4[[#This Row],[av]]/10))</f>
        <v>0</v>
      </c>
      <c r="W727" s="2">
        <f>IF(Table4[[#This Row],[linear?]],Table4[[#This Row],[av]],10^(Table4[[#This Row],[av]]/10))</f>
        <v>0</v>
      </c>
      <c r="X727" s="2">
        <f>Table4[[#This Row],[av_lin]]-2*Table4[[#This Row],[std_lin]]</f>
        <v>0</v>
      </c>
      <c r="Y727" s="2">
        <f>Table4[[#This Row],[av_lin]]+2*Table4[[#This Row],[std_lin]]</f>
        <v>0</v>
      </c>
    </row>
    <row r="728" spans="1:25" x14ac:dyDescent="0.35">
      <c r="A728" s="1">
        <v>1017</v>
      </c>
      <c r="B728" t="s">
        <v>827</v>
      </c>
      <c r="C728" t="s">
        <v>820</v>
      </c>
      <c r="D728" t="s">
        <v>824</v>
      </c>
      <c r="G728">
        <v>6</v>
      </c>
      <c r="H728" t="s">
        <v>58</v>
      </c>
      <c r="R728" t="str">
        <f t="shared" si="33"/>
        <v>yes</v>
      </c>
      <c r="S728" t="str">
        <f t="shared" si="34"/>
        <v>no</v>
      </c>
      <c r="T7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8" s="2" t="b">
        <f t="shared" si="35"/>
        <v>1</v>
      </c>
      <c r="V728" s="2">
        <f>IF(Table4[[#This Row],[linear?]],Table4[[#This Row],[av]],10^(Table4[[#This Row],[av]]/10))</f>
        <v>0</v>
      </c>
      <c r="W728" s="2">
        <f>IF(Table4[[#This Row],[linear?]],Table4[[#This Row],[av]],10^(Table4[[#This Row],[av]]/10))</f>
        <v>0</v>
      </c>
      <c r="X728" s="2">
        <f>Table4[[#This Row],[av_lin]]-2*Table4[[#This Row],[std_lin]]</f>
        <v>0</v>
      </c>
      <c r="Y728" s="2">
        <f>Table4[[#This Row],[av_lin]]+2*Table4[[#This Row],[std_lin]]</f>
        <v>0</v>
      </c>
    </row>
    <row r="729" spans="1:25" x14ac:dyDescent="0.35">
      <c r="A729" s="1">
        <v>1018</v>
      </c>
      <c r="B729" t="s">
        <v>827</v>
      </c>
      <c r="C729" t="s">
        <v>820</v>
      </c>
      <c r="D729" t="s">
        <v>825</v>
      </c>
      <c r="E729" s="2">
        <v>100096390.6666667</v>
      </c>
      <c r="F729" s="2">
        <v>14.749764593225059</v>
      </c>
      <c r="G729">
        <v>6</v>
      </c>
      <c r="H729" t="s">
        <v>58</v>
      </c>
      <c r="M729" s="2">
        <v>100096420.1661959</v>
      </c>
      <c r="N729" s="2">
        <v>100096361.1671375</v>
      </c>
      <c r="O729" s="2">
        <v>58.999058365821838</v>
      </c>
      <c r="P729" s="2">
        <v>6786304.2853337144</v>
      </c>
      <c r="R729" t="str">
        <f t="shared" si="33"/>
        <v>yes</v>
      </c>
      <c r="S729" t="str">
        <f t="shared" si="34"/>
        <v>no</v>
      </c>
      <c r="T7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9" s="2" t="b">
        <f t="shared" si="35"/>
        <v>1</v>
      </c>
      <c r="V729" s="2">
        <f>IF(Table4[[#This Row],[linear?]],Table4[[#This Row],[av]],10^(Table4[[#This Row],[av]]/10))</f>
        <v>100096390.6666667</v>
      </c>
      <c r="W729" s="2">
        <f>IF(Table4[[#This Row],[linear?]],Table4[[#This Row],[av]],10^(Table4[[#This Row],[av]]/10))</f>
        <v>100096390.6666667</v>
      </c>
      <c r="X729" s="2">
        <f>Table4[[#This Row],[av_lin]]-2*Table4[[#This Row],[std_lin]]</f>
        <v>-100096390.6666667</v>
      </c>
      <c r="Y729" s="2">
        <f>Table4[[#This Row],[av_lin]]+2*Table4[[#This Row],[std_lin]]</f>
        <v>300289172.00000012</v>
      </c>
    </row>
    <row r="730" spans="1:25" x14ac:dyDescent="0.35">
      <c r="A730" s="1">
        <v>1118</v>
      </c>
      <c r="B730" t="s">
        <v>828</v>
      </c>
      <c r="C730" t="s">
        <v>56</v>
      </c>
      <c r="D730" t="s">
        <v>57</v>
      </c>
      <c r="E730" s="2">
        <v>0</v>
      </c>
      <c r="F730" s="2">
        <v>0</v>
      </c>
      <c r="G730">
        <v>6</v>
      </c>
      <c r="H730" t="s">
        <v>58</v>
      </c>
      <c r="M730" s="2">
        <v>0</v>
      </c>
      <c r="N730" s="2">
        <v>0</v>
      </c>
      <c r="O730" s="2">
        <v>0</v>
      </c>
      <c r="R730" t="str">
        <f t="shared" si="33"/>
        <v>yes</v>
      </c>
      <c r="S730" t="str">
        <f t="shared" si="34"/>
        <v>no</v>
      </c>
      <c r="T7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0" s="2" t="b">
        <f t="shared" si="35"/>
        <v>1</v>
      </c>
      <c r="V730" s="2">
        <f>IF(Table4[[#This Row],[linear?]],Table4[[#This Row],[av]],10^(Table4[[#This Row],[av]]/10))</f>
        <v>0</v>
      </c>
      <c r="W730" s="2">
        <f>IF(Table4[[#This Row],[linear?]],Table4[[#This Row],[av]],10^(Table4[[#This Row],[av]]/10))</f>
        <v>0</v>
      </c>
      <c r="X730" s="2">
        <f>Table4[[#This Row],[av_lin]]-2*Table4[[#This Row],[std_lin]]</f>
        <v>0</v>
      </c>
      <c r="Y730" s="2">
        <f>Table4[[#This Row],[av_lin]]+2*Table4[[#This Row],[std_lin]]</f>
        <v>0</v>
      </c>
    </row>
    <row r="731" spans="1:25" x14ac:dyDescent="0.35">
      <c r="A731" s="1">
        <v>1119</v>
      </c>
      <c r="B731" t="s">
        <v>828</v>
      </c>
      <c r="C731" t="s">
        <v>56</v>
      </c>
      <c r="D731" t="s">
        <v>59</v>
      </c>
      <c r="E731" s="2">
        <v>0</v>
      </c>
      <c r="F731" s="2">
        <v>0</v>
      </c>
      <c r="G731">
        <v>6</v>
      </c>
      <c r="H731" t="s">
        <v>58</v>
      </c>
      <c r="M731" s="2">
        <v>0</v>
      </c>
      <c r="N731" s="2">
        <v>0</v>
      </c>
      <c r="O731" s="2">
        <v>0</v>
      </c>
      <c r="R731" t="str">
        <f t="shared" si="33"/>
        <v>yes</v>
      </c>
      <c r="S731" t="str">
        <f t="shared" si="34"/>
        <v>no</v>
      </c>
      <c r="T7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1" s="2" t="b">
        <f t="shared" si="35"/>
        <v>1</v>
      </c>
      <c r="V731" s="2">
        <f>IF(Table4[[#This Row],[linear?]],Table4[[#This Row],[av]],10^(Table4[[#This Row],[av]]/10))</f>
        <v>0</v>
      </c>
      <c r="W731" s="2">
        <f>IF(Table4[[#This Row],[linear?]],Table4[[#This Row],[av]],10^(Table4[[#This Row],[av]]/10))</f>
        <v>0</v>
      </c>
      <c r="X731" s="2">
        <f>Table4[[#This Row],[av_lin]]-2*Table4[[#This Row],[std_lin]]</f>
        <v>0</v>
      </c>
      <c r="Y731" s="2">
        <f>Table4[[#This Row],[av_lin]]+2*Table4[[#This Row],[std_lin]]</f>
        <v>0</v>
      </c>
    </row>
    <row r="732" spans="1:25" x14ac:dyDescent="0.35">
      <c r="A732" s="1">
        <v>1120</v>
      </c>
      <c r="B732" t="s">
        <v>828</v>
      </c>
      <c r="C732" t="s">
        <v>56</v>
      </c>
      <c r="D732" t="s">
        <v>60</v>
      </c>
      <c r="E732" s="2">
        <v>0</v>
      </c>
      <c r="F732" s="2">
        <v>0</v>
      </c>
      <c r="G732">
        <v>6</v>
      </c>
      <c r="H732" t="s">
        <v>58</v>
      </c>
      <c r="M732" s="2">
        <v>0</v>
      </c>
      <c r="N732" s="2">
        <v>0</v>
      </c>
      <c r="O732" s="2">
        <v>0</v>
      </c>
      <c r="R732" t="str">
        <f t="shared" si="33"/>
        <v>yes</v>
      </c>
      <c r="S732" t="str">
        <f t="shared" si="34"/>
        <v>no</v>
      </c>
      <c r="T7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2" s="2" t="b">
        <f t="shared" si="35"/>
        <v>1</v>
      </c>
      <c r="V732" s="2">
        <f>IF(Table4[[#This Row],[linear?]],Table4[[#This Row],[av]],10^(Table4[[#This Row],[av]]/10))</f>
        <v>0</v>
      </c>
      <c r="W732" s="2">
        <f>IF(Table4[[#This Row],[linear?]],Table4[[#This Row],[av]],10^(Table4[[#This Row],[av]]/10))</f>
        <v>0</v>
      </c>
      <c r="X732" s="2">
        <f>Table4[[#This Row],[av_lin]]-2*Table4[[#This Row],[std_lin]]</f>
        <v>0</v>
      </c>
      <c r="Y732" s="2">
        <f>Table4[[#This Row],[av_lin]]+2*Table4[[#This Row],[std_lin]]</f>
        <v>0</v>
      </c>
    </row>
    <row r="733" spans="1:25" x14ac:dyDescent="0.35">
      <c r="A733" s="1">
        <v>1121</v>
      </c>
      <c r="B733" t="s">
        <v>828</v>
      </c>
      <c r="C733" t="s">
        <v>56</v>
      </c>
      <c r="D733" t="s">
        <v>61</v>
      </c>
      <c r="E733" s="2">
        <v>0</v>
      </c>
      <c r="F733" s="2">
        <v>0</v>
      </c>
      <c r="G733">
        <v>6</v>
      </c>
      <c r="H733" t="s">
        <v>58</v>
      </c>
      <c r="M733" s="2">
        <v>0</v>
      </c>
      <c r="N733" s="2">
        <v>0</v>
      </c>
      <c r="O733" s="2">
        <v>0</v>
      </c>
      <c r="R733" t="str">
        <f t="shared" si="33"/>
        <v>yes</v>
      </c>
      <c r="S733" t="str">
        <f t="shared" si="34"/>
        <v>no</v>
      </c>
      <c r="T7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3" s="2" t="b">
        <f t="shared" si="35"/>
        <v>1</v>
      </c>
      <c r="V733" s="2">
        <f>IF(Table4[[#This Row],[linear?]],Table4[[#This Row],[av]],10^(Table4[[#This Row],[av]]/10))</f>
        <v>0</v>
      </c>
      <c r="W733" s="2">
        <f>IF(Table4[[#This Row],[linear?]],Table4[[#This Row],[av]],10^(Table4[[#This Row],[av]]/10))</f>
        <v>0</v>
      </c>
      <c r="X733" s="2">
        <f>Table4[[#This Row],[av_lin]]-2*Table4[[#This Row],[std_lin]]</f>
        <v>0</v>
      </c>
      <c r="Y733" s="2">
        <f>Table4[[#This Row],[av_lin]]+2*Table4[[#This Row],[std_lin]]</f>
        <v>0</v>
      </c>
    </row>
    <row r="734" spans="1:25" x14ac:dyDescent="0.35">
      <c r="A734" s="1">
        <v>1122</v>
      </c>
      <c r="B734" t="s">
        <v>828</v>
      </c>
      <c r="C734" t="s">
        <v>56</v>
      </c>
      <c r="D734" t="s">
        <v>62</v>
      </c>
      <c r="E734" s="2">
        <v>0</v>
      </c>
      <c r="F734" s="2">
        <v>0</v>
      </c>
      <c r="G734">
        <v>6</v>
      </c>
      <c r="H734" t="s">
        <v>58</v>
      </c>
      <c r="M734" s="2">
        <v>0</v>
      </c>
      <c r="N734" s="2">
        <v>0</v>
      </c>
      <c r="O734" s="2">
        <v>0</v>
      </c>
      <c r="R734" t="str">
        <f t="shared" si="33"/>
        <v>yes</v>
      </c>
      <c r="S734" t="str">
        <f t="shared" si="34"/>
        <v>no</v>
      </c>
      <c r="T7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4" s="2" t="b">
        <f t="shared" si="35"/>
        <v>1</v>
      </c>
      <c r="V734" s="2">
        <f>IF(Table4[[#This Row],[linear?]],Table4[[#This Row],[av]],10^(Table4[[#This Row],[av]]/10))</f>
        <v>0</v>
      </c>
      <c r="W734" s="2">
        <f>IF(Table4[[#This Row],[linear?]],Table4[[#This Row],[av]],10^(Table4[[#This Row],[av]]/10))</f>
        <v>0</v>
      </c>
      <c r="X734" s="2">
        <f>Table4[[#This Row],[av_lin]]-2*Table4[[#This Row],[std_lin]]</f>
        <v>0</v>
      </c>
      <c r="Y734" s="2">
        <f>Table4[[#This Row],[av_lin]]+2*Table4[[#This Row],[std_lin]]</f>
        <v>0</v>
      </c>
    </row>
    <row r="735" spans="1:25" x14ac:dyDescent="0.35">
      <c r="A735" s="1">
        <v>1123</v>
      </c>
      <c r="B735" t="s">
        <v>828</v>
      </c>
      <c r="C735" t="s">
        <v>56</v>
      </c>
      <c r="D735" t="s">
        <v>63</v>
      </c>
      <c r="E735" s="2">
        <v>0</v>
      </c>
      <c r="F735" s="2">
        <v>0</v>
      </c>
      <c r="G735">
        <v>6</v>
      </c>
      <c r="H735" t="s">
        <v>58</v>
      </c>
      <c r="M735" s="2">
        <v>0</v>
      </c>
      <c r="N735" s="2">
        <v>0</v>
      </c>
      <c r="O735" s="2">
        <v>0</v>
      </c>
      <c r="R735" t="str">
        <f t="shared" si="33"/>
        <v>yes</v>
      </c>
      <c r="S735" t="str">
        <f t="shared" si="34"/>
        <v>no</v>
      </c>
      <c r="T7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5" s="2" t="b">
        <f t="shared" si="35"/>
        <v>1</v>
      </c>
      <c r="V735" s="2">
        <f>IF(Table4[[#This Row],[linear?]],Table4[[#This Row],[av]],10^(Table4[[#This Row],[av]]/10))</f>
        <v>0</v>
      </c>
      <c r="W735" s="2">
        <f>IF(Table4[[#This Row],[linear?]],Table4[[#This Row],[av]],10^(Table4[[#This Row],[av]]/10))</f>
        <v>0</v>
      </c>
      <c r="X735" s="2">
        <f>Table4[[#This Row],[av_lin]]-2*Table4[[#This Row],[std_lin]]</f>
        <v>0</v>
      </c>
      <c r="Y735" s="2">
        <f>Table4[[#This Row],[av_lin]]+2*Table4[[#This Row],[std_lin]]</f>
        <v>0</v>
      </c>
    </row>
    <row r="736" spans="1:25" x14ac:dyDescent="0.35">
      <c r="A736" s="1">
        <v>1124</v>
      </c>
      <c r="B736" t="s">
        <v>828</v>
      </c>
      <c r="C736" t="s">
        <v>56</v>
      </c>
      <c r="D736" t="s">
        <v>64</v>
      </c>
      <c r="E736" s="2">
        <v>0</v>
      </c>
      <c r="F736" s="2">
        <v>0</v>
      </c>
      <c r="G736">
        <v>6</v>
      </c>
      <c r="H736" t="s">
        <v>58</v>
      </c>
      <c r="M736" s="2">
        <v>0</v>
      </c>
      <c r="N736" s="2">
        <v>0</v>
      </c>
      <c r="O736" s="2">
        <v>0</v>
      </c>
      <c r="R736" t="str">
        <f t="shared" si="33"/>
        <v>yes</v>
      </c>
      <c r="S736" t="str">
        <f t="shared" si="34"/>
        <v>no</v>
      </c>
      <c r="T7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6" s="2" t="b">
        <f t="shared" si="35"/>
        <v>1</v>
      </c>
      <c r="V736" s="2">
        <f>IF(Table4[[#This Row],[linear?]],Table4[[#This Row],[av]],10^(Table4[[#This Row],[av]]/10))</f>
        <v>0</v>
      </c>
      <c r="W736" s="2">
        <f>IF(Table4[[#This Row],[linear?]],Table4[[#This Row],[av]],10^(Table4[[#This Row],[av]]/10))</f>
        <v>0</v>
      </c>
      <c r="X736" s="2">
        <f>Table4[[#This Row],[av_lin]]-2*Table4[[#This Row],[std_lin]]</f>
        <v>0</v>
      </c>
      <c r="Y736" s="2">
        <f>Table4[[#This Row],[av_lin]]+2*Table4[[#This Row],[std_lin]]</f>
        <v>0</v>
      </c>
    </row>
    <row r="737" spans="1:25" x14ac:dyDescent="0.35">
      <c r="A737" s="1">
        <v>1125</v>
      </c>
      <c r="B737" t="s">
        <v>828</v>
      </c>
      <c r="C737" t="s">
        <v>56</v>
      </c>
      <c r="D737" t="s">
        <v>65</v>
      </c>
      <c r="E737" s="2">
        <v>0</v>
      </c>
      <c r="F737" s="2">
        <v>0</v>
      </c>
      <c r="G737">
        <v>6</v>
      </c>
      <c r="H737" t="s">
        <v>58</v>
      </c>
      <c r="M737" s="2">
        <v>0</v>
      </c>
      <c r="N737" s="2">
        <v>0</v>
      </c>
      <c r="O737" s="2">
        <v>0</v>
      </c>
      <c r="R737" t="str">
        <f t="shared" si="33"/>
        <v>yes</v>
      </c>
      <c r="S737" t="str">
        <f t="shared" si="34"/>
        <v>no</v>
      </c>
      <c r="T7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7" s="2" t="b">
        <f t="shared" si="35"/>
        <v>1</v>
      </c>
      <c r="V737" s="2">
        <f>IF(Table4[[#This Row],[linear?]],Table4[[#This Row],[av]],10^(Table4[[#This Row],[av]]/10))</f>
        <v>0</v>
      </c>
      <c r="W737" s="2">
        <f>IF(Table4[[#This Row],[linear?]],Table4[[#This Row],[av]],10^(Table4[[#This Row],[av]]/10))</f>
        <v>0</v>
      </c>
      <c r="X737" s="2">
        <f>Table4[[#This Row],[av_lin]]-2*Table4[[#This Row],[std_lin]]</f>
        <v>0</v>
      </c>
      <c r="Y737" s="2">
        <f>Table4[[#This Row],[av_lin]]+2*Table4[[#This Row],[std_lin]]</f>
        <v>0</v>
      </c>
    </row>
    <row r="738" spans="1:25" x14ac:dyDescent="0.35">
      <c r="A738" s="1">
        <v>1126</v>
      </c>
      <c r="B738" t="s">
        <v>828</v>
      </c>
      <c r="C738" t="s">
        <v>56</v>
      </c>
      <c r="D738" t="s">
        <v>66</v>
      </c>
      <c r="E738" s="2">
        <v>0</v>
      </c>
      <c r="F738" s="2">
        <v>0</v>
      </c>
      <c r="G738">
        <v>6</v>
      </c>
      <c r="H738" t="s">
        <v>58</v>
      </c>
      <c r="M738" s="2">
        <v>0</v>
      </c>
      <c r="N738" s="2">
        <v>0</v>
      </c>
      <c r="O738" s="2">
        <v>0</v>
      </c>
      <c r="R738" t="str">
        <f t="shared" si="33"/>
        <v>yes</v>
      </c>
      <c r="S738" t="str">
        <f t="shared" si="34"/>
        <v>no</v>
      </c>
      <c r="T7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8" s="2" t="b">
        <f t="shared" si="35"/>
        <v>1</v>
      </c>
      <c r="V738" s="2">
        <f>IF(Table4[[#This Row],[linear?]],Table4[[#This Row],[av]],10^(Table4[[#This Row],[av]]/10))</f>
        <v>0</v>
      </c>
      <c r="W738" s="2">
        <f>IF(Table4[[#This Row],[linear?]],Table4[[#This Row],[av]],10^(Table4[[#This Row],[av]]/10))</f>
        <v>0</v>
      </c>
      <c r="X738" s="2">
        <f>Table4[[#This Row],[av_lin]]-2*Table4[[#This Row],[std_lin]]</f>
        <v>0</v>
      </c>
      <c r="Y738" s="2">
        <f>Table4[[#This Row],[av_lin]]+2*Table4[[#This Row],[std_lin]]</f>
        <v>0</v>
      </c>
    </row>
    <row r="739" spans="1:25" x14ac:dyDescent="0.35">
      <c r="A739" s="1">
        <v>1129</v>
      </c>
      <c r="B739" t="s">
        <v>828</v>
      </c>
      <c r="C739" t="s">
        <v>56</v>
      </c>
      <c r="D739" t="s">
        <v>69</v>
      </c>
      <c r="E739" s="2">
        <v>0.67423671111111116</v>
      </c>
      <c r="F739" s="2">
        <v>0.76174158785264878</v>
      </c>
      <c r="G739">
        <v>6</v>
      </c>
      <c r="H739" t="s">
        <v>58</v>
      </c>
      <c r="M739" s="2">
        <v>2.197719886816409</v>
      </c>
      <c r="N739" s="2">
        <v>-0.8492464645941864</v>
      </c>
      <c r="O739" s="2">
        <v>3.0469663514105951</v>
      </c>
      <c r="P739" s="2">
        <v>0.88512524701688655</v>
      </c>
      <c r="R739" t="str">
        <f t="shared" si="33"/>
        <v>yes</v>
      </c>
      <c r="S739" t="str">
        <f t="shared" si="34"/>
        <v>no</v>
      </c>
      <c r="T7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9" s="2" t="b">
        <f t="shared" si="35"/>
        <v>1</v>
      </c>
      <c r="V739" s="2">
        <f>IF(Table4[[#This Row],[linear?]],Table4[[#This Row],[av]],10^(Table4[[#This Row],[av]]/10))</f>
        <v>0.67423671111111116</v>
      </c>
      <c r="W739" s="2">
        <f>IF(Table4[[#This Row],[linear?]],Table4[[#This Row],[av]],10^(Table4[[#This Row],[av]]/10))</f>
        <v>0.67423671111111116</v>
      </c>
      <c r="X739" s="2">
        <f>Table4[[#This Row],[av_lin]]-2*Table4[[#This Row],[std_lin]]</f>
        <v>-0.67423671111111116</v>
      </c>
      <c r="Y739" s="2">
        <f>Table4[[#This Row],[av_lin]]+2*Table4[[#This Row],[std_lin]]</f>
        <v>2.0227101333333337</v>
      </c>
    </row>
    <row r="740" spans="1:25" x14ac:dyDescent="0.35">
      <c r="A740" s="1">
        <v>1130</v>
      </c>
      <c r="B740" t="s">
        <v>828</v>
      </c>
      <c r="C740" t="s">
        <v>56</v>
      </c>
      <c r="D740" t="s">
        <v>70</v>
      </c>
      <c r="E740" s="2">
        <v>-0.25957334444444441</v>
      </c>
      <c r="F740" s="2">
        <v>7.2596263909298242E-2</v>
      </c>
      <c r="G740">
        <v>6</v>
      </c>
      <c r="H740" t="s">
        <v>58</v>
      </c>
      <c r="M740" s="2">
        <v>-0.1143808166258479</v>
      </c>
      <c r="N740" s="2">
        <v>-0.40476587226304089</v>
      </c>
      <c r="O740" s="2">
        <v>0.29038505563719302</v>
      </c>
      <c r="P740" s="2">
        <v>-3.5755744230688689</v>
      </c>
      <c r="R740" t="str">
        <f t="shared" si="33"/>
        <v>yes</v>
      </c>
      <c r="S740" t="str">
        <f t="shared" si="34"/>
        <v>no</v>
      </c>
      <c r="T7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0" s="2" t="b">
        <f t="shared" si="35"/>
        <v>1</v>
      </c>
      <c r="V740" s="2">
        <f>IF(Table4[[#This Row],[linear?]],Table4[[#This Row],[av]],10^(Table4[[#This Row],[av]]/10))</f>
        <v>-0.25957334444444441</v>
      </c>
      <c r="W740" s="2">
        <f>IF(Table4[[#This Row],[linear?]],Table4[[#This Row],[av]],10^(Table4[[#This Row],[av]]/10))</f>
        <v>-0.25957334444444441</v>
      </c>
      <c r="X740" s="2">
        <f>Table4[[#This Row],[av_lin]]-2*Table4[[#This Row],[std_lin]]</f>
        <v>0.25957334444444441</v>
      </c>
      <c r="Y740" s="2">
        <f>Table4[[#This Row],[av_lin]]+2*Table4[[#This Row],[std_lin]]</f>
        <v>-0.77872003333333328</v>
      </c>
    </row>
    <row r="741" spans="1:25" x14ac:dyDescent="0.35">
      <c r="A741" s="1">
        <v>1131</v>
      </c>
      <c r="B741" t="s">
        <v>828</v>
      </c>
      <c r="C741" t="s">
        <v>56</v>
      </c>
      <c r="D741" t="s">
        <v>71</v>
      </c>
      <c r="E741" s="2">
        <v>84.527113827777782</v>
      </c>
      <c r="F741" s="2">
        <v>13.369930303503279</v>
      </c>
      <c r="G741">
        <v>6</v>
      </c>
      <c r="H741" t="s">
        <v>58</v>
      </c>
      <c r="M741" s="2">
        <v>111.2669744347843</v>
      </c>
      <c r="N741" s="2">
        <v>57.78725322077122</v>
      </c>
      <c r="O741" s="2">
        <v>53.479721214013132</v>
      </c>
      <c r="P741" s="2">
        <v>6.3221805880042181</v>
      </c>
      <c r="R741" t="str">
        <f t="shared" si="33"/>
        <v>yes</v>
      </c>
      <c r="S741" t="str">
        <f t="shared" si="34"/>
        <v>no</v>
      </c>
      <c r="T7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1" s="2" t="b">
        <f t="shared" si="35"/>
        <v>1</v>
      </c>
      <c r="V741" s="2">
        <f>IF(Table4[[#This Row],[linear?]],Table4[[#This Row],[av]],10^(Table4[[#This Row],[av]]/10))</f>
        <v>84.527113827777782</v>
      </c>
      <c r="W741" s="2">
        <f>IF(Table4[[#This Row],[linear?]],Table4[[#This Row],[av]],10^(Table4[[#This Row],[av]]/10))</f>
        <v>84.527113827777782</v>
      </c>
      <c r="X741" s="2">
        <f>Table4[[#This Row],[av_lin]]-2*Table4[[#This Row],[std_lin]]</f>
        <v>-84.527113827777782</v>
      </c>
      <c r="Y741" s="2">
        <f>Table4[[#This Row],[av_lin]]+2*Table4[[#This Row],[std_lin]]</f>
        <v>253.58134148333335</v>
      </c>
    </row>
    <row r="742" spans="1:25" x14ac:dyDescent="0.35">
      <c r="A742" s="1">
        <v>1132</v>
      </c>
      <c r="B742" t="s">
        <v>828</v>
      </c>
      <c r="C742" t="s">
        <v>56</v>
      </c>
      <c r="D742" t="s">
        <v>72</v>
      </c>
      <c r="E742" s="2">
        <v>0</v>
      </c>
      <c r="F742" s="2">
        <v>0</v>
      </c>
      <c r="G742">
        <v>6</v>
      </c>
      <c r="H742" t="s">
        <v>58</v>
      </c>
      <c r="M742" s="2">
        <v>0</v>
      </c>
      <c r="N742" s="2">
        <v>0</v>
      </c>
      <c r="O742" s="2">
        <v>0</v>
      </c>
      <c r="R742" t="str">
        <f t="shared" si="33"/>
        <v>yes</v>
      </c>
      <c r="S742" t="str">
        <f t="shared" si="34"/>
        <v>no</v>
      </c>
      <c r="T7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2" s="2" t="b">
        <f t="shared" si="35"/>
        <v>1</v>
      </c>
      <c r="V742" s="2">
        <f>IF(Table4[[#This Row],[linear?]],Table4[[#This Row],[av]],10^(Table4[[#This Row],[av]]/10))</f>
        <v>0</v>
      </c>
      <c r="W742" s="2">
        <f>IF(Table4[[#This Row],[linear?]],Table4[[#This Row],[av]],10^(Table4[[#This Row],[av]]/10))</f>
        <v>0</v>
      </c>
      <c r="X742" s="2">
        <f>Table4[[#This Row],[av_lin]]-2*Table4[[#This Row],[std_lin]]</f>
        <v>0</v>
      </c>
      <c r="Y742" s="2">
        <f>Table4[[#This Row],[av_lin]]+2*Table4[[#This Row],[std_lin]]</f>
        <v>0</v>
      </c>
    </row>
    <row r="743" spans="1:25" x14ac:dyDescent="0.35">
      <c r="A743" s="1">
        <v>1133</v>
      </c>
      <c r="B743" t="s">
        <v>828</v>
      </c>
      <c r="C743" t="s">
        <v>56</v>
      </c>
      <c r="D743" t="s">
        <v>73</v>
      </c>
      <c r="E743" s="2">
        <v>0</v>
      </c>
      <c r="F743" s="2">
        <v>0</v>
      </c>
      <c r="G743">
        <v>6</v>
      </c>
      <c r="H743" t="s">
        <v>58</v>
      </c>
      <c r="M743" s="2">
        <v>0</v>
      </c>
      <c r="N743" s="2">
        <v>0</v>
      </c>
      <c r="O743" s="2">
        <v>0</v>
      </c>
      <c r="R743" t="str">
        <f t="shared" si="33"/>
        <v>yes</v>
      </c>
      <c r="S743" t="str">
        <f t="shared" si="34"/>
        <v>no</v>
      </c>
      <c r="T7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3" s="2" t="b">
        <f t="shared" si="35"/>
        <v>1</v>
      </c>
      <c r="V743" s="2">
        <f>IF(Table4[[#This Row],[linear?]],Table4[[#This Row],[av]],10^(Table4[[#This Row],[av]]/10))</f>
        <v>0</v>
      </c>
      <c r="W743" s="2">
        <f>IF(Table4[[#This Row],[linear?]],Table4[[#This Row],[av]],10^(Table4[[#This Row],[av]]/10))</f>
        <v>0</v>
      </c>
      <c r="X743" s="2">
        <f>Table4[[#This Row],[av_lin]]-2*Table4[[#This Row],[std_lin]]</f>
        <v>0</v>
      </c>
      <c r="Y743" s="2">
        <f>Table4[[#This Row],[av_lin]]+2*Table4[[#This Row],[std_lin]]</f>
        <v>0</v>
      </c>
    </row>
    <row r="744" spans="1:25" x14ac:dyDescent="0.35">
      <c r="A744" s="1">
        <v>1134</v>
      </c>
      <c r="B744" t="s">
        <v>828</v>
      </c>
      <c r="C744" t="s">
        <v>56</v>
      </c>
      <c r="D744" t="s">
        <v>74</v>
      </c>
      <c r="E744" s="2">
        <v>0</v>
      </c>
      <c r="F744" s="2">
        <v>0</v>
      </c>
      <c r="G744">
        <v>6</v>
      </c>
      <c r="H744" t="s">
        <v>58</v>
      </c>
      <c r="M744" s="2">
        <v>0</v>
      </c>
      <c r="N744" s="2">
        <v>0</v>
      </c>
      <c r="O744" s="2">
        <v>0</v>
      </c>
      <c r="R744" t="str">
        <f t="shared" si="33"/>
        <v>yes</v>
      </c>
      <c r="S744" t="str">
        <f t="shared" si="34"/>
        <v>no</v>
      </c>
      <c r="T7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4" s="2" t="b">
        <f t="shared" si="35"/>
        <v>1</v>
      </c>
      <c r="V744" s="2">
        <f>IF(Table4[[#This Row],[linear?]],Table4[[#This Row],[av]],10^(Table4[[#This Row],[av]]/10))</f>
        <v>0</v>
      </c>
      <c r="W744" s="2">
        <f>IF(Table4[[#This Row],[linear?]],Table4[[#This Row],[av]],10^(Table4[[#This Row],[av]]/10))</f>
        <v>0</v>
      </c>
      <c r="X744" s="2">
        <f>Table4[[#This Row],[av_lin]]-2*Table4[[#This Row],[std_lin]]</f>
        <v>0</v>
      </c>
      <c r="Y744" s="2">
        <f>Table4[[#This Row],[av_lin]]+2*Table4[[#This Row],[std_lin]]</f>
        <v>0</v>
      </c>
    </row>
    <row r="745" spans="1:25" x14ac:dyDescent="0.35">
      <c r="A745" s="1">
        <v>1135</v>
      </c>
      <c r="B745" t="s">
        <v>828</v>
      </c>
      <c r="C745" t="s">
        <v>820</v>
      </c>
      <c r="D745" t="s">
        <v>821</v>
      </c>
      <c r="G745">
        <v>6</v>
      </c>
      <c r="H745" t="s">
        <v>58</v>
      </c>
      <c r="R745" t="str">
        <f t="shared" si="33"/>
        <v>yes</v>
      </c>
      <c r="S745" t="str">
        <f t="shared" si="34"/>
        <v>no</v>
      </c>
      <c r="T7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5" s="2" t="b">
        <f t="shared" si="35"/>
        <v>1</v>
      </c>
      <c r="V745" s="2">
        <f>IF(Table4[[#This Row],[linear?]],Table4[[#This Row],[av]],10^(Table4[[#This Row],[av]]/10))</f>
        <v>0</v>
      </c>
      <c r="W745" s="2">
        <f>IF(Table4[[#This Row],[linear?]],Table4[[#This Row],[av]],10^(Table4[[#This Row],[av]]/10))</f>
        <v>0</v>
      </c>
      <c r="X745" s="2">
        <f>Table4[[#This Row],[av_lin]]-2*Table4[[#This Row],[std_lin]]</f>
        <v>0</v>
      </c>
      <c r="Y745" s="2">
        <f>Table4[[#This Row],[av_lin]]+2*Table4[[#This Row],[std_lin]]</f>
        <v>0</v>
      </c>
    </row>
    <row r="746" spans="1:25" x14ac:dyDescent="0.35">
      <c r="A746" s="1">
        <v>1136</v>
      </c>
      <c r="B746" t="s">
        <v>828</v>
      </c>
      <c r="C746" t="s">
        <v>820</v>
      </c>
      <c r="D746" t="s">
        <v>822</v>
      </c>
      <c r="E746" s="2">
        <v>28.415519444444438</v>
      </c>
      <c r="F746" s="2">
        <v>2.3808986566479531</v>
      </c>
      <c r="G746">
        <v>6</v>
      </c>
      <c r="H746" t="s">
        <v>58</v>
      </c>
      <c r="M746" s="2">
        <v>33.177316757740343</v>
      </c>
      <c r="N746" s="2">
        <v>23.65372213114853</v>
      </c>
      <c r="O746" s="2">
        <v>9.5235946265918088</v>
      </c>
      <c r="P746" s="2">
        <v>11.9347874656918</v>
      </c>
      <c r="R746" t="str">
        <f t="shared" si="33"/>
        <v>yes</v>
      </c>
      <c r="S746" t="str">
        <f t="shared" si="34"/>
        <v>no</v>
      </c>
      <c r="T7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6" s="2" t="b">
        <f t="shared" si="35"/>
        <v>1</v>
      </c>
      <c r="V746" s="2">
        <f>IF(Table4[[#This Row],[linear?]],Table4[[#This Row],[av]],10^(Table4[[#This Row],[av]]/10))</f>
        <v>28.415519444444438</v>
      </c>
      <c r="W746" s="2">
        <f>IF(Table4[[#This Row],[linear?]],Table4[[#This Row],[av]],10^(Table4[[#This Row],[av]]/10))</f>
        <v>28.415519444444438</v>
      </c>
      <c r="X746" s="2">
        <f>Table4[[#This Row],[av_lin]]-2*Table4[[#This Row],[std_lin]]</f>
        <v>-28.415519444444438</v>
      </c>
      <c r="Y746" s="2">
        <f>Table4[[#This Row],[av_lin]]+2*Table4[[#This Row],[std_lin]]</f>
        <v>85.246558333333311</v>
      </c>
    </row>
    <row r="747" spans="1:25" x14ac:dyDescent="0.35">
      <c r="A747" s="1">
        <v>1137</v>
      </c>
      <c r="B747" t="s">
        <v>828</v>
      </c>
      <c r="C747" t="s">
        <v>820</v>
      </c>
      <c r="D747" t="s">
        <v>823</v>
      </c>
      <c r="E747" s="2">
        <v>0</v>
      </c>
      <c r="F747" s="2">
        <v>0</v>
      </c>
      <c r="G747">
        <v>6</v>
      </c>
      <c r="H747" t="s">
        <v>58</v>
      </c>
      <c r="M747" s="2">
        <v>0</v>
      </c>
      <c r="N747" s="2">
        <v>0</v>
      </c>
      <c r="O747" s="2">
        <v>0</v>
      </c>
      <c r="R747" t="str">
        <f t="shared" si="33"/>
        <v>yes</v>
      </c>
      <c r="S747" t="str">
        <f t="shared" si="34"/>
        <v>no</v>
      </c>
      <c r="T7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7" s="2" t="b">
        <f t="shared" si="35"/>
        <v>1</v>
      </c>
      <c r="V747" s="2">
        <f>IF(Table4[[#This Row],[linear?]],Table4[[#This Row],[av]],10^(Table4[[#This Row],[av]]/10))</f>
        <v>0</v>
      </c>
      <c r="W747" s="2">
        <f>IF(Table4[[#This Row],[linear?]],Table4[[#This Row],[av]],10^(Table4[[#This Row],[av]]/10))</f>
        <v>0</v>
      </c>
      <c r="X747" s="2">
        <f>Table4[[#This Row],[av_lin]]-2*Table4[[#This Row],[std_lin]]</f>
        <v>0</v>
      </c>
      <c r="Y747" s="2">
        <f>Table4[[#This Row],[av_lin]]+2*Table4[[#This Row],[std_lin]]</f>
        <v>0</v>
      </c>
    </row>
    <row r="748" spans="1:25" x14ac:dyDescent="0.35">
      <c r="A748" s="1">
        <v>1138</v>
      </c>
      <c r="B748" t="s">
        <v>828</v>
      </c>
      <c r="C748" t="s">
        <v>820</v>
      </c>
      <c r="D748" t="s">
        <v>824</v>
      </c>
      <c r="G748">
        <v>6</v>
      </c>
      <c r="H748" t="s">
        <v>58</v>
      </c>
      <c r="R748" t="str">
        <f t="shared" si="33"/>
        <v>yes</v>
      </c>
      <c r="S748" t="str">
        <f t="shared" si="34"/>
        <v>no</v>
      </c>
      <c r="T7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8" s="2" t="b">
        <f t="shared" si="35"/>
        <v>1</v>
      </c>
      <c r="V748" s="2">
        <f>IF(Table4[[#This Row],[linear?]],Table4[[#This Row],[av]],10^(Table4[[#This Row],[av]]/10))</f>
        <v>0</v>
      </c>
      <c r="W748" s="2">
        <f>IF(Table4[[#This Row],[linear?]],Table4[[#This Row],[av]],10^(Table4[[#This Row],[av]]/10))</f>
        <v>0</v>
      </c>
      <c r="X748" s="2">
        <f>Table4[[#This Row],[av_lin]]-2*Table4[[#This Row],[std_lin]]</f>
        <v>0</v>
      </c>
      <c r="Y748" s="2">
        <f>Table4[[#This Row],[av_lin]]+2*Table4[[#This Row],[std_lin]]</f>
        <v>0</v>
      </c>
    </row>
    <row r="749" spans="1:25" x14ac:dyDescent="0.35">
      <c r="A749" s="1">
        <v>1139</v>
      </c>
      <c r="B749" t="s">
        <v>828</v>
      </c>
      <c r="C749" t="s">
        <v>820</v>
      </c>
      <c r="D749" t="s">
        <v>825</v>
      </c>
      <c r="E749" s="2">
        <v>100096390.6666667</v>
      </c>
      <c r="F749" s="2">
        <v>14.749764593225059</v>
      </c>
      <c r="G749">
        <v>6</v>
      </c>
      <c r="H749" t="s">
        <v>58</v>
      </c>
      <c r="M749" s="2">
        <v>100096420.1661959</v>
      </c>
      <c r="N749" s="2">
        <v>100096361.1671375</v>
      </c>
      <c r="O749" s="2">
        <v>58.999058365821838</v>
      </c>
      <c r="P749" s="2">
        <v>6786304.2853337144</v>
      </c>
      <c r="R749" t="str">
        <f t="shared" si="33"/>
        <v>yes</v>
      </c>
      <c r="S749" t="str">
        <f t="shared" si="34"/>
        <v>no</v>
      </c>
      <c r="T7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9" s="2" t="b">
        <f t="shared" si="35"/>
        <v>1</v>
      </c>
      <c r="V749" s="2">
        <f>IF(Table4[[#This Row],[linear?]],Table4[[#This Row],[av]],10^(Table4[[#This Row],[av]]/10))</f>
        <v>100096390.6666667</v>
      </c>
      <c r="W749" s="2">
        <f>IF(Table4[[#This Row],[linear?]],Table4[[#This Row],[av]],10^(Table4[[#This Row],[av]]/10))</f>
        <v>100096390.6666667</v>
      </c>
      <c r="X749" s="2">
        <f>Table4[[#This Row],[av_lin]]-2*Table4[[#This Row],[std_lin]]</f>
        <v>-100096390.6666667</v>
      </c>
      <c r="Y749" s="2">
        <f>Table4[[#This Row],[av_lin]]+2*Table4[[#This Row],[std_lin]]</f>
        <v>300289172.00000012</v>
      </c>
    </row>
    <row r="750" spans="1:25" x14ac:dyDescent="0.35">
      <c r="A750" s="1">
        <v>1347</v>
      </c>
      <c r="B750" t="s">
        <v>829</v>
      </c>
      <c r="C750" t="s">
        <v>56</v>
      </c>
      <c r="D750" t="s">
        <v>57</v>
      </c>
      <c r="E750" s="2">
        <v>0</v>
      </c>
      <c r="F750" s="2">
        <v>0</v>
      </c>
      <c r="G750">
        <v>27</v>
      </c>
      <c r="H750" t="s">
        <v>58</v>
      </c>
      <c r="M750" s="2">
        <v>0</v>
      </c>
      <c r="N750" s="2">
        <v>0</v>
      </c>
      <c r="O750" s="2">
        <v>0</v>
      </c>
      <c r="R750" t="str">
        <f t="shared" si="33"/>
        <v>yes</v>
      </c>
      <c r="S750" t="str">
        <f t="shared" si="34"/>
        <v>no</v>
      </c>
      <c r="T7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0" s="2" t="b">
        <f t="shared" si="35"/>
        <v>1</v>
      </c>
      <c r="V750" s="2">
        <f>IF(Table4[[#This Row],[linear?]],Table4[[#This Row],[av]],10^(Table4[[#This Row],[av]]/10))</f>
        <v>0</v>
      </c>
      <c r="W750" s="2">
        <f>IF(Table4[[#This Row],[linear?]],Table4[[#This Row],[av]],10^(Table4[[#This Row],[av]]/10))</f>
        <v>0</v>
      </c>
      <c r="X750" s="2">
        <f>Table4[[#This Row],[av_lin]]-2*Table4[[#This Row],[std_lin]]</f>
        <v>0</v>
      </c>
      <c r="Y750" s="2">
        <f>Table4[[#This Row],[av_lin]]+2*Table4[[#This Row],[std_lin]]</f>
        <v>0</v>
      </c>
    </row>
    <row r="751" spans="1:25" x14ac:dyDescent="0.35">
      <c r="A751" s="1">
        <v>1348</v>
      </c>
      <c r="B751" t="s">
        <v>829</v>
      </c>
      <c r="C751" t="s">
        <v>56</v>
      </c>
      <c r="D751" t="s">
        <v>59</v>
      </c>
      <c r="E751" s="2">
        <v>0</v>
      </c>
      <c r="F751" s="2">
        <v>0</v>
      </c>
      <c r="G751">
        <v>27</v>
      </c>
      <c r="H751" t="s">
        <v>58</v>
      </c>
      <c r="M751" s="2">
        <v>0</v>
      </c>
      <c r="N751" s="2">
        <v>0</v>
      </c>
      <c r="O751" s="2">
        <v>0</v>
      </c>
      <c r="R751" t="str">
        <f t="shared" si="33"/>
        <v>yes</v>
      </c>
      <c r="S751" t="str">
        <f t="shared" si="34"/>
        <v>no</v>
      </c>
      <c r="T7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1" s="2" t="b">
        <f t="shared" si="35"/>
        <v>1</v>
      </c>
      <c r="V751" s="2">
        <f>IF(Table4[[#This Row],[linear?]],Table4[[#This Row],[av]],10^(Table4[[#This Row],[av]]/10))</f>
        <v>0</v>
      </c>
      <c r="W751" s="2">
        <f>IF(Table4[[#This Row],[linear?]],Table4[[#This Row],[av]],10^(Table4[[#This Row],[av]]/10))</f>
        <v>0</v>
      </c>
      <c r="X751" s="2">
        <f>Table4[[#This Row],[av_lin]]-2*Table4[[#This Row],[std_lin]]</f>
        <v>0</v>
      </c>
      <c r="Y751" s="2">
        <f>Table4[[#This Row],[av_lin]]+2*Table4[[#This Row],[std_lin]]</f>
        <v>0</v>
      </c>
    </row>
    <row r="752" spans="1:25" x14ac:dyDescent="0.35">
      <c r="A752" s="1">
        <v>1349</v>
      </c>
      <c r="B752" t="s">
        <v>829</v>
      </c>
      <c r="C752" t="s">
        <v>56</v>
      </c>
      <c r="D752" t="s">
        <v>60</v>
      </c>
      <c r="E752" s="2">
        <v>0</v>
      </c>
      <c r="F752" s="2">
        <v>0</v>
      </c>
      <c r="G752">
        <v>27</v>
      </c>
      <c r="H752" t="s">
        <v>58</v>
      </c>
      <c r="M752" s="2">
        <v>0</v>
      </c>
      <c r="N752" s="2">
        <v>0</v>
      </c>
      <c r="O752" s="2">
        <v>0</v>
      </c>
      <c r="R752" t="str">
        <f t="shared" si="33"/>
        <v>yes</v>
      </c>
      <c r="S752" t="str">
        <f t="shared" si="34"/>
        <v>no</v>
      </c>
      <c r="T7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2" s="2" t="b">
        <f t="shared" si="35"/>
        <v>1</v>
      </c>
      <c r="V752" s="2">
        <f>IF(Table4[[#This Row],[linear?]],Table4[[#This Row],[av]],10^(Table4[[#This Row],[av]]/10))</f>
        <v>0</v>
      </c>
      <c r="W752" s="2">
        <f>IF(Table4[[#This Row],[linear?]],Table4[[#This Row],[av]],10^(Table4[[#This Row],[av]]/10))</f>
        <v>0</v>
      </c>
      <c r="X752" s="2">
        <f>Table4[[#This Row],[av_lin]]-2*Table4[[#This Row],[std_lin]]</f>
        <v>0</v>
      </c>
      <c r="Y752" s="2">
        <f>Table4[[#This Row],[av_lin]]+2*Table4[[#This Row],[std_lin]]</f>
        <v>0</v>
      </c>
    </row>
    <row r="753" spans="1:25" x14ac:dyDescent="0.35">
      <c r="A753" s="1">
        <v>1350</v>
      </c>
      <c r="B753" t="s">
        <v>829</v>
      </c>
      <c r="C753" t="s">
        <v>56</v>
      </c>
      <c r="D753" t="s">
        <v>61</v>
      </c>
      <c r="E753" s="2">
        <v>0</v>
      </c>
      <c r="F753" s="2">
        <v>0</v>
      </c>
      <c r="G753">
        <v>27</v>
      </c>
      <c r="H753" t="s">
        <v>58</v>
      </c>
      <c r="M753" s="2">
        <v>0</v>
      </c>
      <c r="N753" s="2">
        <v>0</v>
      </c>
      <c r="O753" s="2">
        <v>0</v>
      </c>
      <c r="R753" t="str">
        <f t="shared" si="33"/>
        <v>yes</v>
      </c>
      <c r="S753" t="str">
        <f t="shared" si="34"/>
        <v>no</v>
      </c>
      <c r="T7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3" s="2" t="b">
        <f t="shared" si="35"/>
        <v>1</v>
      </c>
      <c r="V753" s="2">
        <f>IF(Table4[[#This Row],[linear?]],Table4[[#This Row],[av]],10^(Table4[[#This Row],[av]]/10))</f>
        <v>0</v>
      </c>
      <c r="W753" s="2">
        <f>IF(Table4[[#This Row],[linear?]],Table4[[#This Row],[av]],10^(Table4[[#This Row],[av]]/10))</f>
        <v>0</v>
      </c>
      <c r="X753" s="2">
        <f>Table4[[#This Row],[av_lin]]-2*Table4[[#This Row],[std_lin]]</f>
        <v>0</v>
      </c>
      <c r="Y753" s="2">
        <f>Table4[[#This Row],[av_lin]]+2*Table4[[#This Row],[std_lin]]</f>
        <v>0</v>
      </c>
    </row>
    <row r="754" spans="1:25" x14ac:dyDescent="0.35">
      <c r="A754" s="1">
        <v>1351</v>
      </c>
      <c r="B754" t="s">
        <v>829</v>
      </c>
      <c r="C754" t="s">
        <v>56</v>
      </c>
      <c r="D754" t="s">
        <v>62</v>
      </c>
      <c r="E754" s="2">
        <v>0</v>
      </c>
      <c r="F754" s="2">
        <v>0</v>
      </c>
      <c r="G754">
        <v>27</v>
      </c>
      <c r="H754" t="s">
        <v>58</v>
      </c>
      <c r="M754" s="2">
        <v>0</v>
      </c>
      <c r="N754" s="2">
        <v>0</v>
      </c>
      <c r="O754" s="2">
        <v>0</v>
      </c>
      <c r="R754" t="str">
        <f t="shared" si="33"/>
        <v>yes</v>
      </c>
      <c r="S754" t="str">
        <f t="shared" si="34"/>
        <v>no</v>
      </c>
      <c r="T7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4" s="2" t="b">
        <f t="shared" si="35"/>
        <v>1</v>
      </c>
      <c r="V754" s="2">
        <f>IF(Table4[[#This Row],[linear?]],Table4[[#This Row],[av]],10^(Table4[[#This Row],[av]]/10))</f>
        <v>0</v>
      </c>
      <c r="W754" s="2">
        <f>IF(Table4[[#This Row],[linear?]],Table4[[#This Row],[av]],10^(Table4[[#This Row],[av]]/10))</f>
        <v>0</v>
      </c>
      <c r="X754" s="2">
        <f>Table4[[#This Row],[av_lin]]-2*Table4[[#This Row],[std_lin]]</f>
        <v>0</v>
      </c>
      <c r="Y754" s="2">
        <f>Table4[[#This Row],[av_lin]]+2*Table4[[#This Row],[std_lin]]</f>
        <v>0</v>
      </c>
    </row>
    <row r="755" spans="1:25" x14ac:dyDescent="0.35">
      <c r="A755" s="1">
        <v>1352</v>
      </c>
      <c r="B755" t="s">
        <v>829</v>
      </c>
      <c r="C755" t="s">
        <v>56</v>
      </c>
      <c r="D755" t="s">
        <v>63</v>
      </c>
      <c r="E755" s="2">
        <v>0</v>
      </c>
      <c r="F755" s="2">
        <v>0</v>
      </c>
      <c r="G755">
        <v>27</v>
      </c>
      <c r="H755" t="s">
        <v>58</v>
      </c>
      <c r="M755" s="2">
        <v>0</v>
      </c>
      <c r="N755" s="2">
        <v>0</v>
      </c>
      <c r="O755" s="2">
        <v>0</v>
      </c>
      <c r="R755" t="str">
        <f t="shared" si="33"/>
        <v>yes</v>
      </c>
      <c r="S755" t="str">
        <f t="shared" si="34"/>
        <v>no</v>
      </c>
      <c r="T7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5" s="2" t="b">
        <f t="shared" si="35"/>
        <v>1</v>
      </c>
      <c r="V755" s="2">
        <f>IF(Table4[[#This Row],[linear?]],Table4[[#This Row],[av]],10^(Table4[[#This Row],[av]]/10))</f>
        <v>0</v>
      </c>
      <c r="W755" s="2">
        <f>IF(Table4[[#This Row],[linear?]],Table4[[#This Row],[av]],10^(Table4[[#This Row],[av]]/10))</f>
        <v>0</v>
      </c>
      <c r="X755" s="2">
        <f>Table4[[#This Row],[av_lin]]-2*Table4[[#This Row],[std_lin]]</f>
        <v>0</v>
      </c>
      <c r="Y755" s="2">
        <f>Table4[[#This Row],[av_lin]]+2*Table4[[#This Row],[std_lin]]</f>
        <v>0</v>
      </c>
    </row>
    <row r="756" spans="1:25" x14ac:dyDescent="0.35">
      <c r="A756" s="1">
        <v>1353</v>
      </c>
      <c r="B756" t="s">
        <v>829</v>
      </c>
      <c r="C756" t="s">
        <v>56</v>
      </c>
      <c r="D756" t="s">
        <v>64</v>
      </c>
      <c r="E756" s="2">
        <v>0</v>
      </c>
      <c r="F756" s="2">
        <v>0</v>
      </c>
      <c r="G756">
        <v>27</v>
      </c>
      <c r="H756" t="s">
        <v>58</v>
      </c>
      <c r="M756" s="2">
        <v>0</v>
      </c>
      <c r="N756" s="2">
        <v>0</v>
      </c>
      <c r="O756" s="2">
        <v>0</v>
      </c>
      <c r="R756" t="str">
        <f t="shared" si="33"/>
        <v>yes</v>
      </c>
      <c r="S756" t="str">
        <f t="shared" si="34"/>
        <v>no</v>
      </c>
      <c r="T7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6" s="2" t="b">
        <f t="shared" si="35"/>
        <v>1</v>
      </c>
      <c r="V756" s="2">
        <f>IF(Table4[[#This Row],[linear?]],Table4[[#This Row],[av]],10^(Table4[[#This Row],[av]]/10))</f>
        <v>0</v>
      </c>
      <c r="W756" s="2">
        <f>IF(Table4[[#This Row],[linear?]],Table4[[#This Row],[av]],10^(Table4[[#This Row],[av]]/10))</f>
        <v>0</v>
      </c>
      <c r="X756" s="2">
        <f>Table4[[#This Row],[av_lin]]-2*Table4[[#This Row],[std_lin]]</f>
        <v>0</v>
      </c>
      <c r="Y756" s="2">
        <f>Table4[[#This Row],[av_lin]]+2*Table4[[#This Row],[std_lin]]</f>
        <v>0</v>
      </c>
    </row>
    <row r="757" spans="1:25" x14ac:dyDescent="0.35">
      <c r="A757" s="1">
        <v>1354</v>
      </c>
      <c r="B757" t="s">
        <v>829</v>
      </c>
      <c r="C757" t="s">
        <v>56</v>
      </c>
      <c r="D757" t="s">
        <v>65</v>
      </c>
      <c r="E757" s="2">
        <v>0</v>
      </c>
      <c r="F757" s="2">
        <v>0</v>
      </c>
      <c r="G757">
        <v>27</v>
      </c>
      <c r="H757" t="s">
        <v>58</v>
      </c>
      <c r="M757" s="2">
        <v>0</v>
      </c>
      <c r="N757" s="2">
        <v>0</v>
      </c>
      <c r="O757" s="2">
        <v>0</v>
      </c>
      <c r="R757" t="str">
        <f t="shared" si="33"/>
        <v>yes</v>
      </c>
      <c r="S757" t="str">
        <f t="shared" si="34"/>
        <v>no</v>
      </c>
      <c r="T7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7" s="2" t="b">
        <f t="shared" si="35"/>
        <v>1</v>
      </c>
      <c r="V757" s="2">
        <f>IF(Table4[[#This Row],[linear?]],Table4[[#This Row],[av]],10^(Table4[[#This Row],[av]]/10))</f>
        <v>0</v>
      </c>
      <c r="W757" s="2">
        <f>IF(Table4[[#This Row],[linear?]],Table4[[#This Row],[av]],10^(Table4[[#This Row],[av]]/10))</f>
        <v>0</v>
      </c>
      <c r="X757" s="2">
        <f>Table4[[#This Row],[av_lin]]-2*Table4[[#This Row],[std_lin]]</f>
        <v>0</v>
      </c>
      <c r="Y757" s="2">
        <f>Table4[[#This Row],[av_lin]]+2*Table4[[#This Row],[std_lin]]</f>
        <v>0</v>
      </c>
    </row>
    <row r="758" spans="1:25" x14ac:dyDescent="0.35">
      <c r="A758" s="1">
        <v>1355</v>
      </c>
      <c r="B758" t="s">
        <v>829</v>
      </c>
      <c r="C758" t="s">
        <v>56</v>
      </c>
      <c r="D758" t="s">
        <v>66</v>
      </c>
      <c r="E758" s="2">
        <v>0</v>
      </c>
      <c r="F758" s="2">
        <v>0</v>
      </c>
      <c r="G758">
        <v>27</v>
      </c>
      <c r="H758" t="s">
        <v>58</v>
      </c>
      <c r="M758" s="2">
        <v>0</v>
      </c>
      <c r="N758" s="2">
        <v>0</v>
      </c>
      <c r="O758" s="2">
        <v>0</v>
      </c>
      <c r="R758" t="str">
        <f t="shared" si="33"/>
        <v>yes</v>
      </c>
      <c r="S758" t="str">
        <f t="shared" si="34"/>
        <v>no</v>
      </c>
      <c r="T7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8" s="2" t="b">
        <f t="shared" si="35"/>
        <v>1</v>
      </c>
      <c r="V758" s="2">
        <f>IF(Table4[[#This Row],[linear?]],Table4[[#This Row],[av]],10^(Table4[[#This Row],[av]]/10))</f>
        <v>0</v>
      </c>
      <c r="W758" s="2">
        <f>IF(Table4[[#This Row],[linear?]],Table4[[#This Row],[av]],10^(Table4[[#This Row],[av]]/10))</f>
        <v>0</v>
      </c>
      <c r="X758" s="2">
        <f>Table4[[#This Row],[av_lin]]-2*Table4[[#This Row],[std_lin]]</f>
        <v>0</v>
      </c>
      <c r="Y758" s="2">
        <f>Table4[[#This Row],[av_lin]]+2*Table4[[#This Row],[std_lin]]</f>
        <v>0</v>
      </c>
    </row>
    <row r="759" spans="1:25" x14ac:dyDescent="0.35">
      <c r="A759" s="1">
        <v>1358</v>
      </c>
      <c r="B759" t="s">
        <v>829</v>
      </c>
      <c r="C759" t="s">
        <v>56</v>
      </c>
      <c r="D759" t="s">
        <v>69</v>
      </c>
      <c r="E759" s="2">
        <v>0.26070625185185192</v>
      </c>
      <c r="F759" s="2">
        <v>0.69043655182632002</v>
      </c>
      <c r="G759">
        <v>27</v>
      </c>
      <c r="H759" t="s">
        <v>58</v>
      </c>
      <c r="M759" s="2">
        <v>1.641579355504492</v>
      </c>
      <c r="N759" s="2">
        <v>-1.1201668518007879</v>
      </c>
      <c r="O759" s="2">
        <v>2.7617462073052801</v>
      </c>
      <c r="P759" s="2">
        <v>0.37759624857959839</v>
      </c>
      <c r="R759" t="str">
        <f t="shared" si="33"/>
        <v>yes</v>
      </c>
      <c r="S759" t="str">
        <f t="shared" si="34"/>
        <v>no</v>
      </c>
      <c r="T7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9" s="2" t="b">
        <f t="shared" si="35"/>
        <v>1</v>
      </c>
      <c r="V759" s="2">
        <f>IF(Table4[[#This Row],[linear?]],Table4[[#This Row],[av]],10^(Table4[[#This Row],[av]]/10))</f>
        <v>0.26070625185185192</v>
      </c>
      <c r="W759" s="2">
        <f>IF(Table4[[#This Row],[linear?]],Table4[[#This Row],[av]],10^(Table4[[#This Row],[av]]/10))</f>
        <v>0.26070625185185192</v>
      </c>
      <c r="X759" s="2">
        <f>Table4[[#This Row],[av_lin]]-2*Table4[[#This Row],[std_lin]]</f>
        <v>-0.26070625185185192</v>
      </c>
      <c r="Y759" s="2">
        <f>Table4[[#This Row],[av_lin]]+2*Table4[[#This Row],[std_lin]]</f>
        <v>0.78211875555555577</v>
      </c>
    </row>
    <row r="760" spans="1:25" x14ac:dyDescent="0.35">
      <c r="A760" s="1">
        <v>1359</v>
      </c>
      <c r="B760" t="s">
        <v>829</v>
      </c>
      <c r="C760" t="s">
        <v>56</v>
      </c>
      <c r="D760" t="s">
        <v>70</v>
      </c>
      <c r="E760" s="2">
        <v>-0.22689443333333331</v>
      </c>
      <c r="F760" s="2">
        <v>8.178133221636126E-2</v>
      </c>
      <c r="G760">
        <v>27</v>
      </c>
      <c r="H760" t="s">
        <v>58</v>
      </c>
      <c r="M760" s="2">
        <v>-6.3331768900610791E-2</v>
      </c>
      <c r="N760" s="2">
        <v>-0.39045709776605592</v>
      </c>
      <c r="O760" s="2">
        <v>0.3271253288654451</v>
      </c>
      <c r="P760" s="2">
        <v>-2.7744037322974862</v>
      </c>
      <c r="R760" t="str">
        <f t="shared" si="33"/>
        <v>yes</v>
      </c>
      <c r="S760" t="str">
        <f t="shared" si="34"/>
        <v>no</v>
      </c>
      <c r="T7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0" s="2" t="b">
        <f t="shared" si="35"/>
        <v>1</v>
      </c>
      <c r="V760" s="2">
        <f>IF(Table4[[#This Row],[linear?]],Table4[[#This Row],[av]],10^(Table4[[#This Row],[av]]/10))</f>
        <v>-0.22689443333333331</v>
      </c>
      <c r="W760" s="2">
        <f>IF(Table4[[#This Row],[linear?]],Table4[[#This Row],[av]],10^(Table4[[#This Row],[av]]/10))</f>
        <v>-0.22689443333333331</v>
      </c>
      <c r="X760" s="2">
        <f>Table4[[#This Row],[av_lin]]-2*Table4[[#This Row],[std_lin]]</f>
        <v>0.22689443333333331</v>
      </c>
      <c r="Y760" s="2">
        <f>Table4[[#This Row],[av_lin]]+2*Table4[[#This Row],[std_lin]]</f>
        <v>-0.68068329999999988</v>
      </c>
    </row>
    <row r="761" spans="1:25" x14ac:dyDescent="0.35">
      <c r="A761" s="1">
        <v>1360</v>
      </c>
      <c r="B761" t="s">
        <v>829</v>
      </c>
      <c r="C761" t="s">
        <v>56</v>
      </c>
      <c r="D761" t="s">
        <v>71</v>
      </c>
      <c r="E761" s="2">
        <v>39.715870849382711</v>
      </c>
      <c r="F761" s="2">
        <v>68.650930473931268</v>
      </c>
      <c r="G761">
        <v>27</v>
      </c>
      <c r="H761" t="s">
        <v>58</v>
      </c>
      <c r="M761" s="2">
        <v>177.0177317972452</v>
      </c>
      <c r="N761" s="2">
        <v>-97.585990098479826</v>
      </c>
      <c r="O761" s="2">
        <v>274.60372189572507</v>
      </c>
      <c r="P761" s="2">
        <v>0.57851904664954201</v>
      </c>
      <c r="R761" t="str">
        <f t="shared" si="33"/>
        <v>yes</v>
      </c>
      <c r="S761" t="str">
        <f t="shared" si="34"/>
        <v>no</v>
      </c>
      <c r="T7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1" s="2" t="b">
        <f t="shared" si="35"/>
        <v>1</v>
      </c>
      <c r="V761" s="2">
        <f>IF(Table4[[#This Row],[linear?]],Table4[[#This Row],[av]],10^(Table4[[#This Row],[av]]/10))</f>
        <v>39.715870849382711</v>
      </c>
      <c r="W761" s="2">
        <f>IF(Table4[[#This Row],[linear?]],Table4[[#This Row],[av]],10^(Table4[[#This Row],[av]]/10))</f>
        <v>39.715870849382711</v>
      </c>
      <c r="X761" s="2">
        <f>Table4[[#This Row],[av_lin]]-2*Table4[[#This Row],[std_lin]]</f>
        <v>-39.715870849382711</v>
      </c>
      <c r="Y761" s="2">
        <f>Table4[[#This Row],[av_lin]]+2*Table4[[#This Row],[std_lin]]</f>
        <v>119.14761254814813</v>
      </c>
    </row>
    <row r="762" spans="1:25" x14ac:dyDescent="0.35">
      <c r="A762" s="1">
        <v>1361</v>
      </c>
      <c r="B762" t="s">
        <v>829</v>
      </c>
      <c r="C762" t="s">
        <v>56</v>
      </c>
      <c r="D762" t="s">
        <v>72</v>
      </c>
      <c r="E762" s="2">
        <v>18.560154759259259</v>
      </c>
      <c r="F762" s="2">
        <v>52.574354936482443</v>
      </c>
      <c r="G762">
        <v>27</v>
      </c>
      <c r="H762" t="s">
        <v>58</v>
      </c>
      <c r="M762" s="2">
        <v>123.70886463222411</v>
      </c>
      <c r="N762" s="2">
        <v>-86.588555113705624</v>
      </c>
      <c r="O762" s="2">
        <v>210.2974197459298</v>
      </c>
      <c r="P762" s="2">
        <v>0.35302677097384572</v>
      </c>
      <c r="R762" t="str">
        <f t="shared" si="33"/>
        <v>yes</v>
      </c>
      <c r="S762" t="str">
        <f t="shared" si="34"/>
        <v>no</v>
      </c>
      <c r="T7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2" s="2" t="b">
        <f t="shared" si="35"/>
        <v>1</v>
      </c>
      <c r="V762" s="2">
        <f>IF(Table4[[#This Row],[linear?]],Table4[[#This Row],[av]],10^(Table4[[#This Row],[av]]/10))</f>
        <v>18.560154759259259</v>
      </c>
      <c r="W762" s="2">
        <f>IF(Table4[[#This Row],[linear?]],Table4[[#This Row],[av]],10^(Table4[[#This Row],[av]]/10))</f>
        <v>18.560154759259259</v>
      </c>
      <c r="X762" s="2">
        <f>Table4[[#This Row],[av_lin]]-2*Table4[[#This Row],[std_lin]]</f>
        <v>-18.560154759259259</v>
      </c>
      <c r="Y762" s="2">
        <f>Table4[[#This Row],[av_lin]]+2*Table4[[#This Row],[std_lin]]</f>
        <v>55.680464277777773</v>
      </c>
    </row>
    <row r="763" spans="1:25" x14ac:dyDescent="0.35">
      <c r="A763" s="1">
        <v>1362</v>
      </c>
      <c r="B763" t="s">
        <v>829</v>
      </c>
      <c r="C763" t="s">
        <v>56</v>
      </c>
      <c r="D763" t="s">
        <v>73</v>
      </c>
      <c r="E763" s="2">
        <v>3.843637818518518</v>
      </c>
      <c r="F763" s="2">
        <v>10.871449463607201</v>
      </c>
      <c r="G763">
        <v>27</v>
      </c>
      <c r="H763" t="s">
        <v>58</v>
      </c>
      <c r="M763" s="2">
        <v>25.586536745732921</v>
      </c>
      <c r="N763" s="2">
        <v>-17.899261108695882</v>
      </c>
      <c r="O763" s="2">
        <v>43.485797854428803</v>
      </c>
      <c r="P763" s="2">
        <v>0.35355339059297619</v>
      </c>
      <c r="R763" t="str">
        <f t="shared" si="33"/>
        <v>yes</v>
      </c>
      <c r="S763" t="str">
        <f t="shared" si="34"/>
        <v>no</v>
      </c>
      <c r="T7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3" s="2" t="b">
        <f t="shared" si="35"/>
        <v>1</v>
      </c>
      <c r="V763" s="2">
        <f>IF(Table4[[#This Row],[linear?]],Table4[[#This Row],[av]],10^(Table4[[#This Row],[av]]/10))</f>
        <v>3.843637818518518</v>
      </c>
      <c r="W763" s="2">
        <f>IF(Table4[[#This Row],[linear?]],Table4[[#This Row],[av]],10^(Table4[[#This Row],[av]]/10))</f>
        <v>3.843637818518518</v>
      </c>
      <c r="X763" s="2">
        <f>Table4[[#This Row],[av_lin]]-2*Table4[[#This Row],[std_lin]]</f>
        <v>-3.843637818518518</v>
      </c>
      <c r="Y763" s="2">
        <f>Table4[[#This Row],[av_lin]]+2*Table4[[#This Row],[std_lin]]</f>
        <v>11.530913455555554</v>
      </c>
    </row>
    <row r="764" spans="1:25" x14ac:dyDescent="0.35">
      <c r="A764" s="1">
        <v>1363</v>
      </c>
      <c r="B764" t="s">
        <v>829</v>
      </c>
      <c r="C764" t="s">
        <v>56</v>
      </c>
      <c r="D764" t="s">
        <v>74</v>
      </c>
      <c r="E764" s="2">
        <v>-9.6183718419753088</v>
      </c>
      <c r="F764" s="2">
        <v>27.204863813738431</v>
      </c>
      <c r="G764">
        <v>27</v>
      </c>
      <c r="H764" t="s">
        <v>58</v>
      </c>
      <c r="M764" s="2">
        <v>44.791355785501551</v>
      </c>
      <c r="N764" s="2">
        <v>-64.028099469452172</v>
      </c>
      <c r="O764" s="2">
        <v>108.8194552549537</v>
      </c>
      <c r="P764" s="2">
        <v>-0.35355339059326729</v>
      </c>
      <c r="R764" t="str">
        <f t="shared" si="33"/>
        <v>yes</v>
      </c>
      <c r="S764" t="str">
        <f t="shared" si="34"/>
        <v>no</v>
      </c>
      <c r="T7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4" s="2" t="b">
        <f t="shared" si="35"/>
        <v>1</v>
      </c>
      <c r="V764" s="2">
        <f>IF(Table4[[#This Row],[linear?]],Table4[[#This Row],[av]],10^(Table4[[#This Row],[av]]/10))</f>
        <v>-9.6183718419753088</v>
      </c>
      <c r="W764" s="2">
        <f>IF(Table4[[#This Row],[linear?]],Table4[[#This Row],[av]],10^(Table4[[#This Row],[av]]/10))</f>
        <v>-9.6183718419753088</v>
      </c>
      <c r="X764" s="2">
        <f>Table4[[#This Row],[av_lin]]-2*Table4[[#This Row],[std_lin]]</f>
        <v>9.6183718419753088</v>
      </c>
      <c r="Y764" s="2">
        <f>Table4[[#This Row],[av_lin]]+2*Table4[[#This Row],[std_lin]]</f>
        <v>-28.855115525925925</v>
      </c>
    </row>
    <row r="765" spans="1:25" x14ac:dyDescent="0.35">
      <c r="A765" s="1">
        <v>1364</v>
      </c>
      <c r="B765" t="s">
        <v>829</v>
      </c>
      <c r="C765" t="s">
        <v>253</v>
      </c>
      <c r="D765" t="s">
        <v>254</v>
      </c>
      <c r="E765" s="2">
        <v>0</v>
      </c>
      <c r="F765" s="2">
        <v>0</v>
      </c>
      <c r="G765">
        <v>27</v>
      </c>
      <c r="H765" t="s">
        <v>58</v>
      </c>
      <c r="M765" s="2">
        <v>0</v>
      </c>
      <c r="N765" s="2">
        <v>0</v>
      </c>
      <c r="O765" s="2">
        <v>0</v>
      </c>
      <c r="R765" t="str">
        <f t="shared" si="33"/>
        <v>yes</v>
      </c>
      <c r="S765" t="str">
        <f t="shared" si="34"/>
        <v>no</v>
      </c>
      <c r="T7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5" s="2" t="b">
        <f t="shared" si="35"/>
        <v>0</v>
      </c>
      <c r="V765" s="2">
        <f>IF(Table4[[#This Row],[linear?]],Table4[[#This Row],[av]],10^(Table4[[#This Row],[av]]/10))</f>
        <v>1</v>
      </c>
      <c r="W765" s="2">
        <f>IF(Table4[[#This Row],[linear?]],Table4[[#This Row],[av]],10^(Table4[[#This Row],[av]]/10))</f>
        <v>1</v>
      </c>
      <c r="X765" s="2">
        <f>Table4[[#This Row],[av_lin]]-2*Table4[[#This Row],[std_lin]]</f>
        <v>-1</v>
      </c>
      <c r="Y765" s="2">
        <f>Table4[[#This Row],[av_lin]]+2*Table4[[#This Row],[std_lin]]</f>
        <v>3</v>
      </c>
    </row>
    <row r="766" spans="1:25" x14ac:dyDescent="0.35">
      <c r="A766" s="1">
        <v>1365</v>
      </c>
      <c r="B766" t="s">
        <v>829</v>
      </c>
      <c r="C766" t="s">
        <v>253</v>
      </c>
      <c r="D766" t="s">
        <v>255</v>
      </c>
      <c r="E766" s="2">
        <v>2.9957555555555562</v>
      </c>
      <c r="F766" s="2">
        <v>5.6045454517067581</v>
      </c>
      <c r="G766">
        <v>27</v>
      </c>
      <c r="H766" t="s">
        <v>58</v>
      </c>
      <c r="M766" s="2">
        <v>14.204846458969071</v>
      </c>
      <c r="N766" s="2">
        <v>-8.21333534785796</v>
      </c>
      <c r="O766" s="2">
        <v>22.418181806827029</v>
      </c>
      <c r="P766" s="2">
        <v>0.5345224838248489</v>
      </c>
      <c r="R766" t="str">
        <f t="shared" si="33"/>
        <v>yes</v>
      </c>
      <c r="S766" t="str">
        <f t="shared" si="34"/>
        <v>no</v>
      </c>
      <c r="T7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6" s="2" t="b">
        <f t="shared" si="35"/>
        <v>0</v>
      </c>
      <c r="V766" s="2">
        <f>IF(Table4[[#This Row],[linear?]],Table4[[#This Row],[av]],10^(Table4[[#This Row],[av]]/10))</f>
        <v>1.9933132588797982</v>
      </c>
      <c r="W766" s="2">
        <f>IF(Table4[[#This Row],[linear?]],Table4[[#This Row],[av]],10^(Table4[[#This Row],[av]]/10))</f>
        <v>1.9933132588797982</v>
      </c>
      <c r="X766" s="2">
        <f>Table4[[#This Row],[av_lin]]-2*Table4[[#This Row],[std_lin]]</f>
        <v>-1.9933132588797982</v>
      </c>
      <c r="Y766" s="2">
        <f>Table4[[#This Row],[av_lin]]+2*Table4[[#This Row],[std_lin]]</f>
        <v>5.9799397766393945</v>
      </c>
    </row>
    <row r="767" spans="1:25" x14ac:dyDescent="0.35">
      <c r="A767" s="1">
        <v>1366</v>
      </c>
      <c r="B767" t="s">
        <v>829</v>
      </c>
      <c r="C767" t="s">
        <v>253</v>
      </c>
      <c r="D767" t="s">
        <v>256</v>
      </c>
      <c r="E767" s="2">
        <v>0</v>
      </c>
      <c r="F767" s="2">
        <v>0</v>
      </c>
      <c r="G767">
        <v>27</v>
      </c>
      <c r="H767" t="s">
        <v>58</v>
      </c>
      <c r="M767" s="2">
        <v>0</v>
      </c>
      <c r="N767" s="2">
        <v>0</v>
      </c>
      <c r="O767" s="2">
        <v>0</v>
      </c>
      <c r="R767" t="str">
        <f t="shared" si="33"/>
        <v>yes</v>
      </c>
      <c r="S767" t="str">
        <f t="shared" si="34"/>
        <v>no</v>
      </c>
      <c r="T7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7" s="2" t="b">
        <f t="shared" si="35"/>
        <v>0</v>
      </c>
      <c r="V767" s="2">
        <f>IF(Table4[[#This Row],[linear?]],Table4[[#This Row],[av]],10^(Table4[[#This Row],[av]]/10))</f>
        <v>1</v>
      </c>
      <c r="W767" s="2">
        <f>IF(Table4[[#This Row],[linear?]],Table4[[#This Row],[av]],10^(Table4[[#This Row],[av]]/10))</f>
        <v>1</v>
      </c>
      <c r="X767" s="2">
        <f>Table4[[#This Row],[av_lin]]-2*Table4[[#This Row],[std_lin]]</f>
        <v>-1</v>
      </c>
      <c r="Y767" s="2">
        <f>Table4[[#This Row],[av_lin]]+2*Table4[[#This Row],[std_lin]]</f>
        <v>3</v>
      </c>
    </row>
    <row r="768" spans="1:25" x14ac:dyDescent="0.35">
      <c r="A768" s="1">
        <v>1367</v>
      </c>
      <c r="B768" t="s">
        <v>829</v>
      </c>
      <c r="C768" t="s">
        <v>253</v>
      </c>
      <c r="D768" t="s">
        <v>257</v>
      </c>
      <c r="E768" s="2">
        <v>9.0992481481481473</v>
      </c>
      <c r="F768" s="2">
        <v>17.105734895282399</v>
      </c>
      <c r="G768">
        <v>27</v>
      </c>
      <c r="H768" t="s">
        <v>58</v>
      </c>
      <c r="M768" s="2">
        <v>43.310717938712948</v>
      </c>
      <c r="N768" s="2">
        <v>-25.11222164241665</v>
      </c>
      <c r="O768" s="2">
        <v>68.422939581129597</v>
      </c>
      <c r="P768" s="2">
        <v>0.53194137544231634</v>
      </c>
      <c r="R768" t="str">
        <f t="shared" si="33"/>
        <v>yes</v>
      </c>
      <c r="S768" t="str">
        <f t="shared" si="34"/>
        <v>no</v>
      </c>
      <c r="T7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8" s="2" t="b">
        <f t="shared" si="35"/>
        <v>1</v>
      </c>
      <c r="V768" s="2">
        <f>IF(Table4[[#This Row],[linear?]],Table4[[#This Row],[av]],10^(Table4[[#This Row],[av]]/10))</f>
        <v>9.0992481481481473</v>
      </c>
      <c r="W768" s="2">
        <f>IF(Table4[[#This Row],[linear?]],Table4[[#This Row],[av]],10^(Table4[[#This Row],[av]]/10))</f>
        <v>9.0992481481481473</v>
      </c>
      <c r="X768" s="2">
        <f>Table4[[#This Row],[av_lin]]-2*Table4[[#This Row],[std_lin]]</f>
        <v>-9.0992481481481473</v>
      </c>
      <c r="Y768" s="2">
        <f>Table4[[#This Row],[av_lin]]+2*Table4[[#This Row],[std_lin]]</f>
        <v>27.29774444444444</v>
      </c>
    </row>
    <row r="769" spans="1:25" x14ac:dyDescent="0.35">
      <c r="A769" s="1">
        <v>1368</v>
      </c>
      <c r="B769" t="s">
        <v>829</v>
      </c>
      <c r="C769" t="s">
        <v>253</v>
      </c>
      <c r="D769" t="s">
        <v>258</v>
      </c>
      <c r="E769" s="2">
        <v>0</v>
      </c>
      <c r="F769" s="2">
        <v>0</v>
      </c>
      <c r="G769">
        <v>27</v>
      </c>
      <c r="H769" t="s">
        <v>58</v>
      </c>
      <c r="M769" s="2">
        <v>0</v>
      </c>
      <c r="N769" s="2">
        <v>0</v>
      </c>
      <c r="O769" s="2">
        <v>0</v>
      </c>
      <c r="R769" t="str">
        <f t="shared" si="33"/>
        <v>yes</v>
      </c>
      <c r="S769" t="str">
        <f t="shared" si="34"/>
        <v>no</v>
      </c>
      <c r="T7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9" s="2" t="b">
        <f t="shared" si="35"/>
        <v>0</v>
      </c>
      <c r="V769" s="2">
        <f>IF(Table4[[#This Row],[linear?]],Table4[[#This Row],[av]],10^(Table4[[#This Row],[av]]/10))</f>
        <v>1</v>
      </c>
      <c r="W769" s="2">
        <f>IF(Table4[[#This Row],[linear?]],Table4[[#This Row],[av]],10^(Table4[[#This Row],[av]]/10))</f>
        <v>1</v>
      </c>
      <c r="X769" s="2">
        <f>Table4[[#This Row],[av_lin]]-2*Table4[[#This Row],[std_lin]]</f>
        <v>-1</v>
      </c>
      <c r="Y769" s="2">
        <f>Table4[[#This Row],[av_lin]]+2*Table4[[#This Row],[std_lin]]</f>
        <v>3</v>
      </c>
    </row>
    <row r="770" spans="1:25" x14ac:dyDescent="0.35">
      <c r="A770" s="1">
        <v>1369</v>
      </c>
      <c r="B770" t="s">
        <v>829</v>
      </c>
      <c r="C770" t="s">
        <v>253</v>
      </c>
      <c r="D770" t="s">
        <v>259</v>
      </c>
      <c r="E770" s="2">
        <v>3.994340740740741</v>
      </c>
      <c r="F770" s="2">
        <v>6.1556924987129253</v>
      </c>
      <c r="G770">
        <v>27</v>
      </c>
      <c r="H770" t="s">
        <v>58</v>
      </c>
      <c r="M770" s="2">
        <v>16.30572573816659</v>
      </c>
      <c r="N770" s="2">
        <v>-8.3170442566851097</v>
      </c>
      <c r="O770" s="2">
        <v>24.622769994851701</v>
      </c>
      <c r="P770" s="2">
        <v>0.64888568452305007</v>
      </c>
      <c r="R770" t="str">
        <f t="shared" ref="R770:R833" si="36">IF(H770="yes","yes","no")</f>
        <v>yes</v>
      </c>
      <c r="S770" t="str">
        <f t="shared" ref="S770:S833" si="37">IF(I770,"yes","no")</f>
        <v>no</v>
      </c>
      <c r="T7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0" s="2" t="b">
        <f t="shared" ref="U770:U833" si="38">NOT(ISNUMBER(SEARCH("RFIC*POWER", D770)))</f>
        <v>0</v>
      </c>
      <c r="V770" s="2">
        <f>IF(Table4[[#This Row],[linear?]],Table4[[#This Row],[av]],10^(Table4[[#This Row],[av]]/10))</f>
        <v>2.508615342615431</v>
      </c>
      <c r="W770" s="2">
        <f>IF(Table4[[#This Row],[linear?]],Table4[[#This Row],[av]],10^(Table4[[#This Row],[av]]/10))</f>
        <v>2.508615342615431</v>
      </c>
      <c r="X770" s="2">
        <f>Table4[[#This Row],[av_lin]]-2*Table4[[#This Row],[std_lin]]</f>
        <v>-2.508615342615431</v>
      </c>
      <c r="Y770" s="2">
        <f>Table4[[#This Row],[av_lin]]+2*Table4[[#This Row],[std_lin]]</f>
        <v>7.5258460278462929</v>
      </c>
    </row>
    <row r="771" spans="1:25" x14ac:dyDescent="0.35">
      <c r="A771" s="1">
        <v>1370</v>
      </c>
      <c r="B771" t="s">
        <v>829</v>
      </c>
      <c r="C771" t="s">
        <v>253</v>
      </c>
      <c r="D771" t="s">
        <v>260</v>
      </c>
      <c r="E771" s="2">
        <v>0</v>
      </c>
      <c r="F771" s="2">
        <v>0</v>
      </c>
      <c r="G771">
        <v>27</v>
      </c>
      <c r="H771" t="s">
        <v>58</v>
      </c>
      <c r="M771" s="2">
        <v>0</v>
      </c>
      <c r="N771" s="2">
        <v>0</v>
      </c>
      <c r="O771" s="2">
        <v>0</v>
      </c>
      <c r="R771" t="str">
        <f t="shared" si="36"/>
        <v>yes</v>
      </c>
      <c r="S771" t="str">
        <f t="shared" si="37"/>
        <v>no</v>
      </c>
      <c r="T7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1" s="2" t="b">
        <f t="shared" si="38"/>
        <v>0</v>
      </c>
      <c r="V771" s="2">
        <f>IF(Table4[[#This Row],[linear?]],Table4[[#This Row],[av]],10^(Table4[[#This Row],[av]]/10))</f>
        <v>1</v>
      </c>
      <c r="W771" s="2">
        <f>IF(Table4[[#This Row],[linear?]],Table4[[#This Row],[av]],10^(Table4[[#This Row],[av]]/10))</f>
        <v>1</v>
      </c>
      <c r="X771" s="2">
        <f>Table4[[#This Row],[av_lin]]-2*Table4[[#This Row],[std_lin]]</f>
        <v>-1</v>
      </c>
      <c r="Y771" s="2">
        <f>Table4[[#This Row],[av_lin]]+2*Table4[[#This Row],[std_lin]]</f>
        <v>3</v>
      </c>
    </row>
    <row r="772" spans="1:25" x14ac:dyDescent="0.35">
      <c r="A772" s="1">
        <v>1371</v>
      </c>
      <c r="B772" t="s">
        <v>829</v>
      </c>
      <c r="C772" t="s">
        <v>253</v>
      </c>
      <c r="D772" t="s">
        <v>261</v>
      </c>
      <c r="E772" s="2">
        <v>11.954866666666669</v>
      </c>
      <c r="F772" s="2">
        <v>18.546862039329621</v>
      </c>
      <c r="G772">
        <v>27</v>
      </c>
      <c r="H772" t="s">
        <v>58</v>
      </c>
      <c r="M772" s="2">
        <v>49.04859074532591</v>
      </c>
      <c r="N772" s="2">
        <v>-25.138857411992571</v>
      </c>
      <c r="O772" s="2">
        <v>74.187448157318485</v>
      </c>
      <c r="P772" s="2">
        <v>0.64457624375032985</v>
      </c>
      <c r="R772" t="str">
        <f t="shared" si="36"/>
        <v>yes</v>
      </c>
      <c r="S772" t="str">
        <f t="shared" si="37"/>
        <v>no</v>
      </c>
      <c r="T7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2" s="2" t="b">
        <f t="shared" si="38"/>
        <v>1</v>
      </c>
      <c r="V772" s="2">
        <f>IF(Table4[[#This Row],[linear?]],Table4[[#This Row],[av]],10^(Table4[[#This Row],[av]]/10))</f>
        <v>11.954866666666669</v>
      </c>
      <c r="W772" s="2">
        <f>IF(Table4[[#This Row],[linear?]],Table4[[#This Row],[av]],10^(Table4[[#This Row],[av]]/10))</f>
        <v>11.954866666666669</v>
      </c>
      <c r="X772" s="2">
        <f>Table4[[#This Row],[av_lin]]-2*Table4[[#This Row],[std_lin]]</f>
        <v>-11.954866666666669</v>
      </c>
      <c r="Y772" s="2">
        <f>Table4[[#This Row],[av_lin]]+2*Table4[[#This Row],[std_lin]]</f>
        <v>35.86460000000001</v>
      </c>
    </row>
    <row r="773" spans="1:25" x14ac:dyDescent="0.35">
      <c r="A773" s="1">
        <v>1372</v>
      </c>
      <c r="B773" t="s">
        <v>829</v>
      </c>
      <c r="C773" t="s">
        <v>253</v>
      </c>
      <c r="D773" t="s">
        <v>262</v>
      </c>
      <c r="E773" s="2">
        <v>0</v>
      </c>
      <c r="F773" s="2">
        <v>0</v>
      </c>
      <c r="G773">
        <v>27</v>
      </c>
      <c r="H773" t="s">
        <v>58</v>
      </c>
      <c r="M773" s="2">
        <v>0</v>
      </c>
      <c r="N773" s="2">
        <v>0</v>
      </c>
      <c r="O773" s="2">
        <v>0</v>
      </c>
      <c r="R773" t="str">
        <f t="shared" si="36"/>
        <v>yes</v>
      </c>
      <c r="S773" t="str">
        <f t="shared" si="37"/>
        <v>no</v>
      </c>
      <c r="T7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3" s="2" t="b">
        <f t="shared" si="38"/>
        <v>0</v>
      </c>
      <c r="V773" s="2">
        <f>IF(Table4[[#This Row],[linear?]],Table4[[#This Row],[av]],10^(Table4[[#This Row],[av]]/10))</f>
        <v>1</v>
      </c>
      <c r="W773" s="2">
        <f>IF(Table4[[#This Row],[linear?]],Table4[[#This Row],[av]],10^(Table4[[#This Row],[av]]/10))</f>
        <v>1</v>
      </c>
      <c r="X773" s="2">
        <f>Table4[[#This Row],[av_lin]]-2*Table4[[#This Row],[std_lin]]</f>
        <v>-1</v>
      </c>
      <c r="Y773" s="2">
        <f>Table4[[#This Row],[av_lin]]+2*Table4[[#This Row],[std_lin]]</f>
        <v>3</v>
      </c>
    </row>
    <row r="774" spans="1:25" x14ac:dyDescent="0.35">
      <c r="A774" s="1">
        <v>1373</v>
      </c>
      <c r="B774" t="s">
        <v>829</v>
      </c>
      <c r="C774" t="s">
        <v>253</v>
      </c>
      <c r="D774" t="s">
        <v>263</v>
      </c>
      <c r="E774" s="2">
        <v>2.9957555555555562</v>
      </c>
      <c r="F774" s="2">
        <v>5.6045454517067581</v>
      </c>
      <c r="G774">
        <v>27</v>
      </c>
      <c r="H774" t="s">
        <v>58</v>
      </c>
      <c r="M774" s="2">
        <v>14.204846458969071</v>
      </c>
      <c r="N774" s="2">
        <v>-8.21333534785796</v>
      </c>
      <c r="O774" s="2">
        <v>22.418181806827029</v>
      </c>
      <c r="P774" s="2">
        <v>0.5345224838248489</v>
      </c>
      <c r="R774" t="str">
        <f t="shared" si="36"/>
        <v>yes</v>
      </c>
      <c r="S774" t="str">
        <f t="shared" si="37"/>
        <v>no</v>
      </c>
      <c r="T7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4" s="2" t="b">
        <f t="shared" si="38"/>
        <v>0</v>
      </c>
      <c r="V774" s="2">
        <f>IF(Table4[[#This Row],[linear?]],Table4[[#This Row],[av]],10^(Table4[[#This Row],[av]]/10))</f>
        <v>1.9933132588797982</v>
      </c>
      <c r="W774" s="2">
        <f>IF(Table4[[#This Row],[linear?]],Table4[[#This Row],[av]],10^(Table4[[#This Row],[av]]/10))</f>
        <v>1.9933132588797982</v>
      </c>
      <c r="X774" s="2">
        <f>Table4[[#This Row],[av_lin]]-2*Table4[[#This Row],[std_lin]]</f>
        <v>-1.9933132588797982</v>
      </c>
      <c r="Y774" s="2">
        <f>Table4[[#This Row],[av_lin]]+2*Table4[[#This Row],[std_lin]]</f>
        <v>5.9799397766393945</v>
      </c>
    </row>
    <row r="775" spans="1:25" x14ac:dyDescent="0.35">
      <c r="A775" s="1">
        <v>1374</v>
      </c>
      <c r="B775" t="s">
        <v>829</v>
      </c>
      <c r="C775" t="s">
        <v>253</v>
      </c>
      <c r="D775" t="s">
        <v>264</v>
      </c>
      <c r="E775" s="2">
        <v>0</v>
      </c>
      <c r="F775" s="2">
        <v>0</v>
      </c>
      <c r="G775">
        <v>27</v>
      </c>
      <c r="H775" t="s">
        <v>58</v>
      </c>
      <c r="M775" s="2">
        <v>0</v>
      </c>
      <c r="N775" s="2">
        <v>0</v>
      </c>
      <c r="O775" s="2">
        <v>0</v>
      </c>
      <c r="R775" t="str">
        <f t="shared" si="36"/>
        <v>yes</v>
      </c>
      <c r="S775" t="str">
        <f t="shared" si="37"/>
        <v>no</v>
      </c>
      <c r="T7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5" s="2" t="b">
        <f t="shared" si="38"/>
        <v>0</v>
      </c>
      <c r="V775" s="2">
        <f>IF(Table4[[#This Row],[linear?]],Table4[[#This Row],[av]],10^(Table4[[#This Row],[av]]/10))</f>
        <v>1</v>
      </c>
      <c r="W775" s="2">
        <f>IF(Table4[[#This Row],[linear?]],Table4[[#This Row],[av]],10^(Table4[[#This Row],[av]]/10))</f>
        <v>1</v>
      </c>
      <c r="X775" s="2">
        <f>Table4[[#This Row],[av_lin]]-2*Table4[[#This Row],[std_lin]]</f>
        <v>-1</v>
      </c>
      <c r="Y775" s="2">
        <f>Table4[[#This Row],[av_lin]]+2*Table4[[#This Row],[std_lin]]</f>
        <v>3</v>
      </c>
    </row>
    <row r="776" spans="1:25" x14ac:dyDescent="0.35">
      <c r="A776" s="1">
        <v>1375</v>
      </c>
      <c r="B776" t="s">
        <v>829</v>
      </c>
      <c r="C776" t="s">
        <v>253</v>
      </c>
      <c r="D776" t="s">
        <v>265</v>
      </c>
      <c r="E776" s="2">
        <v>8.5135925925925928</v>
      </c>
      <c r="F776" s="2">
        <v>15.969063457334929</v>
      </c>
      <c r="G776">
        <v>27</v>
      </c>
      <c r="H776" t="s">
        <v>58</v>
      </c>
      <c r="M776" s="2">
        <v>40.451719507262453</v>
      </c>
      <c r="N776" s="2">
        <v>-23.42453432207726</v>
      </c>
      <c r="O776" s="2">
        <v>63.876253829339717</v>
      </c>
      <c r="P776" s="2">
        <v>0.53313036267522118</v>
      </c>
      <c r="R776" t="str">
        <f t="shared" si="36"/>
        <v>yes</v>
      </c>
      <c r="S776" t="str">
        <f t="shared" si="37"/>
        <v>no</v>
      </c>
      <c r="T7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6" s="2" t="b">
        <f t="shared" si="38"/>
        <v>1</v>
      </c>
      <c r="V776" s="2">
        <f>IF(Table4[[#This Row],[linear?]],Table4[[#This Row],[av]],10^(Table4[[#This Row],[av]]/10))</f>
        <v>8.5135925925925928</v>
      </c>
      <c r="W776" s="2">
        <f>IF(Table4[[#This Row],[linear?]],Table4[[#This Row],[av]],10^(Table4[[#This Row],[av]]/10))</f>
        <v>8.5135925925925928</v>
      </c>
      <c r="X776" s="2">
        <f>Table4[[#This Row],[av_lin]]-2*Table4[[#This Row],[std_lin]]</f>
        <v>-8.5135925925925928</v>
      </c>
      <c r="Y776" s="2">
        <f>Table4[[#This Row],[av_lin]]+2*Table4[[#This Row],[std_lin]]</f>
        <v>25.540777777777777</v>
      </c>
    </row>
    <row r="777" spans="1:25" x14ac:dyDescent="0.35">
      <c r="A777" s="1">
        <v>1376</v>
      </c>
      <c r="B777" t="s">
        <v>829</v>
      </c>
      <c r="C777" t="s">
        <v>253</v>
      </c>
      <c r="D777" t="s">
        <v>266</v>
      </c>
      <c r="E777" s="2">
        <v>0</v>
      </c>
      <c r="F777" s="2">
        <v>0</v>
      </c>
      <c r="G777">
        <v>27</v>
      </c>
      <c r="H777" t="s">
        <v>58</v>
      </c>
      <c r="M777" s="2">
        <v>0</v>
      </c>
      <c r="N777" s="2">
        <v>0</v>
      </c>
      <c r="O777" s="2">
        <v>0</v>
      </c>
      <c r="R777" t="str">
        <f t="shared" si="36"/>
        <v>yes</v>
      </c>
      <c r="S777" t="str">
        <f t="shared" si="37"/>
        <v>no</v>
      </c>
      <c r="T7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7" s="2" t="b">
        <f t="shared" si="38"/>
        <v>0</v>
      </c>
      <c r="V777" s="2">
        <f>IF(Table4[[#This Row],[linear?]],Table4[[#This Row],[av]],10^(Table4[[#This Row],[av]]/10))</f>
        <v>1</v>
      </c>
      <c r="W777" s="2">
        <f>IF(Table4[[#This Row],[linear?]],Table4[[#This Row],[av]],10^(Table4[[#This Row],[av]]/10))</f>
        <v>1</v>
      </c>
      <c r="X777" s="2">
        <f>Table4[[#This Row],[av_lin]]-2*Table4[[#This Row],[std_lin]]</f>
        <v>-1</v>
      </c>
      <c r="Y777" s="2">
        <f>Table4[[#This Row],[av_lin]]+2*Table4[[#This Row],[std_lin]]</f>
        <v>3</v>
      </c>
    </row>
    <row r="778" spans="1:25" x14ac:dyDescent="0.35">
      <c r="A778" s="1">
        <v>1377</v>
      </c>
      <c r="B778" t="s">
        <v>829</v>
      </c>
      <c r="C778" t="s">
        <v>253</v>
      </c>
      <c r="D778" t="s">
        <v>267</v>
      </c>
      <c r="E778" s="2">
        <v>3.994340740740741</v>
      </c>
      <c r="F778" s="2">
        <v>6.1556924987129253</v>
      </c>
      <c r="G778">
        <v>27</v>
      </c>
      <c r="H778" t="s">
        <v>58</v>
      </c>
      <c r="M778" s="2">
        <v>16.30572573816659</v>
      </c>
      <c r="N778" s="2">
        <v>-8.3170442566851097</v>
      </c>
      <c r="O778" s="2">
        <v>24.622769994851701</v>
      </c>
      <c r="P778" s="2">
        <v>0.64888568452305007</v>
      </c>
      <c r="R778" t="str">
        <f t="shared" si="36"/>
        <v>yes</v>
      </c>
      <c r="S778" t="str">
        <f t="shared" si="37"/>
        <v>no</v>
      </c>
      <c r="T7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8" s="2" t="b">
        <f t="shared" si="38"/>
        <v>0</v>
      </c>
      <c r="V778" s="2">
        <f>IF(Table4[[#This Row],[linear?]],Table4[[#This Row],[av]],10^(Table4[[#This Row],[av]]/10))</f>
        <v>2.508615342615431</v>
      </c>
      <c r="W778" s="2">
        <f>IF(Table4[[#This Row],[linear?]],Table4[[#This Row],[av]],10^(Table4[[#This Row],[av]]/10))</f>
        <v>2.508615342615431</v>
      </c>
      <c r="X778" s="2">
        <f>Table4[[#This Row],[av_lin]]-2*Table4[[#This Row],[std_lin]]</f>
        <v>-2.508615342615431</v>
      </c>
      <c r="Y778" s="2">
        <f>Table4[[#This Row],[av_lin]]+2*Table4[[#This Row],[std_lin]]</f>
        <v>7.5258460278462929</v>
      </c>
    </row>
    <row r="779" spans="1:25" x14ac:dyDescent="0.35">
      <c r="A779" s="1">
        <v>1378</v>
      </c>
      <c r="B779" t="s">
        <v>829</v>
      </c>
      <c r="C779" t="s">
        <v>253</v>
      </c>
      <c r="D779" t="s">
        <v>268</v>
      </c>
      <c r="E779" s="2">
        <v>0</v>
      </c>
      <c r="F779" s="2">
        <v>0</v>
      </c>
      <c r="G779">
        <v>27</v>
      </c>
      <c r="H779" t="s">
        <v>58</v>
      </c>
      <c r="M779" s="2">
        <v>0</v>
      </c>
      <c r="N779" s="2">
        <v>0</v>
      </c>
      <c r="O779" s="2">
        <v>0</v>
      </c>
      <c r="R779" t="str">
        <f t="shared" si="36"/>
        <v>yes</v>
      </c>
      <c r="S779" t="str">
        <f t="shared" si="37"/>
        <v>no</v>
      </c>
      <c r="T7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9" s="2" t="b">
        <f t="shared" si="38"/>
        <v>0</v>
      </c>
      <c r="V779" s="2">
        <f>IF(Table4[[#This Row],[linear?]],Table4[[#This Row],[av]],10^(Table4[[#This Row],[av]]/10))</f>
        <v>1</v>
      </c>
      <c r="W779" s="2">
        <f>IF(Table4[[#This Row],[linear?]],Table4[[#This Row],[av]],10^(Table4[[#This Row],[av]]/10))</f>
        <v>1</v>
      </c>
      <c r="X779" s="2">
        <f>Table4[[#This Row],[av_lin]]-2*Table4[[#This Row],[std_lin]]</f>
        <v>-1</v>
      </c>
      <c r="Y779" s="2">
        <f>Table4[[#This Row],[av_lin]]+2*Table4[[#This Row],[std_lin]]</f>
        <v>3</v>
      </c>
    </row>
    <row r="780" spans="1:25" x14ac:dyDescent="0.35">
      <c r="A780" s="1">
        <v>1379</v>
      </c>
      <c r="B780" t="s">
        <v>829</v>
      </c>
      <c r="C780" t="s">
        <v>253</v>
      </c>
      <c r="D780" t="s">
        <v>269</v>
      </c>
      <c r="E780" s="2">
        <v>11.20948518518518</v>
      </c>
      <c r="F780" s="2">
        <v>17.429353594815669</v>
      </c>
      <c r="G780">
        <v>27</v>
      </c>
      <c r="H780" t="s">
        <v>58</v>
      </c>
      <c r="M780" s="2">
        <v>46.068192374816519</v>
      </c>
      <c r="N780" s="2">
        <v>-23.649222004446159</v>
      </c>
      <c r="O780" s="2">
        <v>69.717414379262678</v>
      </c>
      <c r="P780" s="2">
        <v>0.64313831974350566</v>
      </c>
      <c r="R780" t="str">
        <f t="shared" si="36"/>
        <v>yes</v>
      </c>
      <c r="S780" t="str">
        <f t="shared" si="37"/>
        <v>no</v>
      </c>
      <c r="T7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0" s="2" t="b">
        <f t="shared" si="38"/>
        <v>1</v>
      </c>
      <c r="V780" s="2">
        <f>IF(Table4[[#This Row],[linear?]],Table4[[#This Row],[av]],10^(Table4[[#This Row],[av]]/10))</f>
        <v>11.20948518518518</v>
      </c>
      <c r="W780" s="2">
        <f>IF(Table4[[#This Row],[linear?]],Table4[[#This Row],[av]],10^(Table4[[#This Row],[av]]/10))</f>
        <v>11.20948518518518</v>
      </c>
      <c r="X780" s="2">
        <f>Table4[[#This Row],[av_lin]]-2*Table4[[#This Row],[std_lin]]</f>
        <v>-11.20948518518518</v>
      </c>
      <c r="Y780" s="2">
        <f>Table4[[#This Row],[av_lin]]+2*Table4[[#This Row],[std_lin]]</f>
        <v>33.62845555555554</v>
      </c>
    </row>
    <row r="781" spans="1:25" x14ac:dyDescent="0.35">
      <c r="A781" s="1">
        <v>1380</v>
      </c>
      <c r="B781" t="s">
        <v>829</v>
      </c>
      <c r="C781" t="s">
        <v>253</v>
      </c>
      <c r="D781" t="s">
        <v>270</v>
      </c>
      <c r="E781" s="2">
        <v>0</v>
      </c>
      <c r="F781" s="2">
        <v>0</v>
      </c>
      <c r="G781">
        <v>27</v>
      </c>
      <c r="H781" t="s">
        <v>58</v>
      </c>
      <c r="M781" s="2">
        <v>0</v>
      </c>
      <c r="N781" s="2">
        <v>0</v>
      </c>
      <c r="O781" s="2">
        <v>0</v>
      </c>
      <c r="R781" t="str">
        <f t="shared" si="36"/>
        <v>yes</v>
      </c>
      <c r="S781" t="str">
        <f t="shared" si="37"/>
        <v>no</v>
      </c>
      <c r="T7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1" s="2" t="b">
        <f t="shared" si="38"/>
        <v>0</v>
      </c>
      <c r="V781" s="2">
        <f>IF(Table4[[#This Row],[linear?]],Table4[[#This Row],[av]],10^(Table4[[#This Row],[av]]/10))</f>
        <v>1</v>
      </c>
      <c r="W781" s="2">
        <f>IF(Table4[[#This Row],[linear?]],Table4[[#This Row],[av]],10^(Table4[[#This Row],[av]]/10))</f>
        <v>1</v>
      </c>
      <c r="X781" s="2">
        <f>Table4[[#This Row],[av_lin]]-2*Table4[[#This Row],[std_lin]]</f>
        <v>-1</v>
      </c>
      <c r="Y781" s="2">
        <f>Table4[[#This Row],[av_lin]]+2*Table4[[#This Row],[std_lin]]</f>
        <v>3</v>
      </c>
    </row>
    <row r="782" spans="1:25" x14ac:dyDescent="0.35">
      <c r="A782" s="1">
        <v>1381</v>
      </c>
      <c r="B782" t="s">
        <v>829</v>
      </c>
      <c r="C782" t="s">
        <v>253</v>
      </c>
      <c r="D782" t="s">
        <v>271</v>
      </c>
      <c r="E782" s="2">
        <v>2.9957555555555562</v>
      </c>
      <c r="F782" s="2">
        <v>5.6045454517067581</v>
      </c>
      <c r="G782">
        <v>27</v>
      </c>
      <c r="H782" t="s">
        <v>58</v>
      </c>
      <c r="M782" s="2">
        <v>14.204846458969071</v>
      </c>
      <c r="N782" s="2">
        <v>-8.21333534785796</v>
      </c>
      <c r="O782" s="2">
        <v>22.418181806827029</v>
      </c>
      <c r="P782" s="2">
        <v>0.5345224838248489</v>
      </c>
      <c r="R782" t="str">
        <f t="shared" si="36"/>
        <v>yes</v>
      </c>
      <c r="S782" t="str">
        <f t="shared" si="37"/>
        <v>no</v>
      </c>
      <c r="T7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2" s="2" t="b">
        <f t="shared" si="38"/>
        <v>0</v>
      </c>
      <c r="V782" s="2">
        <f>IF(Table4[[#This Row],[linear?]],Table4[[#This Row],[av]],10^(Table4[[#This Row],[av]]/10))</f>
        <v>1.9933132588797982</v>
      </c>
      <c r="W782" s="2">
        <f>IF(Table4[[#This Row],[linear?]],Table4[[#This Row],[av]],10^(Table4[[#This Row],[av]]/10))</f>
        <v>1.9933132588797982</v>
      </c>
      <c r="X782" s="2">
        <f>Table4[[#This Row],[av_lin]]-2*Table4[[#This Row],[std_lin]]</f>
        <v>-1.9933132588797982</v>
      </c>
      <c r="Y782" s="2">
        <f>Table4[[#This Row],[av_lin]]+2*Table4[[#This Row],[std_lin]]</f>
        <v>5.9799397766393945</v>
      </c>
    </row>
    <row r="783" spans="1:25" x14ac:dyDescent="0.35">
      <c r="A783" s="1">
        <v>1382</v>
      </c>
      <c r="B783" t="s">
        <v>829</v>
      </c>
      <c r="C783" t="s">
        <v>253</v>
      </c>
      <c r="D783" t="s">
        <v>272</v>
      </c>
      <c r="E783" s="2">
        <v>0</v>
      </c>
      <c r="F783" s="2">
        <v>0</v>
      </c>
      <c r="G783">
        <v>27</v>
      </c>
      <c r="H783" t="s">
        <v>58</v>
      </c>
      <c r="M783" s="2">
        <v>0</v>
      </c>
      <c r="N783" s="2">
        <v>0</v>
      </c>
      <c r="O783" s="2">
        <v>0</v>
      </c>
      <c r="R783" t="str">
        <f t="shared" si="36"/>
        <v>yes</v>
      </c>
      <c r="S783" t="str">
        <f t="shared" si="37"/>
        <v>no</v>
      </c>
      <c r="T7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3" s="2" t="b">
        <f t="shared" si="38"/>
        <v>0</v>
      </c>
      <c r="V783" s="2">
        <f>IF(Table4[[#This Row],[linear?]],Table4[[#This Row],[av]],10^(Table4[[#This Row],[av]]/10))</f>
        <v>1</v>
      </c>
      <c r="W783" s="2">
        <f>IF(Table4[[#This Row],[linear?]],Table4[[#This Row],[av]],10^(Table4[[#This Row],[av]]/10))</f>
        <v>1</v>
      </c>
      <c r="X783" s="2">
        <f>Table4[[#This Row],[av_lin]]-2*Table4[[#This Row],[std_lin]]</f>
        <v>-1</v>
      </c>
      <c r="Y783" s="2">
        <f>Table4[[#This Row],[av_lin]]+2*Table4[[#This Row],[std_lin]]</f>
        <v>3</v>
      </c>
    </row>
    <row r="784" spans="1:25" x14ac:dyDescent="0.35">
      <c r="A784" s="1">
        <v>1383</v>
      </c>
      <c r="B784" t="s">
        <v>829</v>
      </c>
      <c r="C784" t="s">
        <v>253</v>
      </c>
      <c r="D784" t="s">
        <v>273</v>
      </c>
      <c r="E784" s="2">
        <v>7.9456888888888866</v>
      </c>
      <c r="F784" s="2">
        <v>14.914519917090329</v>
      </c>
      <c r="G784">
        <v>27</v>
      </c>
      <c r="H784" t="s">
        <v>58</v>
      </c>
      <c r="M784" s="2">
        <v>37.774728723069543</v>
      </c>
      <c r="N784" s="2">
        <v>-21.88335094529177</v>
      </c>
      <c r="O784" s="2">
        <v>59.658079668361317</v>
      </c>
      <c r="P784" s="2">
        <v>0.53274855195198323</v>
      </c>
      <c r="R784" t="str">
        <f t="shared" si="36"/>
        <v>yes</v>
      </c>
      <c r="S784" t="str">
        <f t="shared" si="37"/>
        <v>no</v>
      </c>
      <c r="T7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4" s="2" t="b">
        <f t="shared" si="38"/>
        <v>1</v>
      </c>
      <c r="V784" s="2">
        <f>IF(Table4[[#This Row],[linear?]],Table4[[#This Row],[av]],10^(Table4[[#This Row],[av]]/10))</f>
        <v>7.9456888888888866</v>
      </c>
      <c r="W784" s="2">
        <f>IF(Table4[[#This Row],[linear?]],Table4[[#This Row],[av]],10^(Table4[[#This Row],[av]]/10))</f>
        <v>7.9456888888888866</v>
      </c>
      <c r="X784" s="2">
        <f>Table4[[#This Row],[av_lin]]-2*Table4[[#This Row],[std_lin]]</f>
        <v>-7.9456888888888866</v>
      </c>
      <c r="Y784" s="2">
        <f>Table4[[#This Row],[av_lin]]+2*Table4[[#This Row],[std_lin]]</f>
        <v>23.837066666666658</v>
      </c>
    </row>
    <row r="785" spans="1:25" x14ac:dyDescent="0.35">
      <c r="A785" s="1">
        <v>1384</v>
      </c>
      <c r="B785" t="s">
        <v>829</v>
      </c>
      <c r="C785" t="s">
        <v>253</v>
      </c>
      <c r="D785" t="s">
        <v>274</v>
      </c>
      <c r="E785" s="2">
        <v>0</v>
      </c>
      <c r="F785" s="2">
        <v>0</v>
      </c>
      <c r="G785">
        <v>27</v>
      </c>
      <c r="H785" t="s">
        <v>58</v>
      </c>
      <c r="M785" s="2">
        <v>0</v>
      </c>
      <c r="N785" s="2">
        <v>0</v>
      </c>
      <c r="O785" s="2">
        <v>0</v>
      </c>
      <c r="R785" t="str">
        <f t="shared" si="36"/>
        <v>yes</v>
      </c>
      <c r="S785" t="str">
        <f t="shared" si="37"/>
        <v>no</v>
      </c>
      <c r="T7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5" s="2" t="b">
        <f t="shared" si="38"/>
        <v>0</v>
      </c>
      <c r="V785" s="2">
        <f>IF(Table4[[#This Row],[linear?]],Table4[[#This Row],[av]],10^(Table4[[#This Row],[av]]/10))</f>
        <v>1</v>
      </c>
      <c r="W785" s="2">
        <f>IF(Table4[[#This Row],[linear?]],Table4[[#This Row],[av]],10^(Table4[[#This Row],[av]]/10))</f>
        <v>1</v>
      </c>
      <c r="X785" s="2">
        <f>Table4[[#This Row],[av_lin]]-2*Table4[[#This Row],[std_lin]]</f>
        <v>-1</v>
      </c>
      <c r="Y785" s="2">
        <f>Table4[[#This Row],[av_lin]]+2*Table4[[#This Row],[std_lin]]</f>
        <v>3</v>
      </c>
    </row>
    <row r="786" spans="1:25" x14ac:dyDescent="0.35">
      <c r="A786" s="1">
        <v>1385</v>
      </c>
      <c r="B786" t="s">
        <v>829</v>
      </c>
      <c r="C786" t="s">
        <v>253</v>
      </c>
      <c r="D786" t="s">
        <v>275</v>
      </c>
      <c r="E786" s="2">
        <v>3.994340740740741</v>
      </c>
      <c r="F786" s="2">
        <v>6.1556924987129253</v>
      </c>
      <c r="G786">
        <v>27</v>
      </c>
      <c r="H786" t="s">
        <v>58</v>
      </c>
      <c r="M786" s="2">
        <v>16.30572573816659</v>
      </c>
      <c r="N786" s="2">
        <v>-8.3170442566851097</v>
      </c>
      <c r="O786" s="2">
        <v>24.622769994851701</v>
      </c>
      <c r="P786" s="2">
        <v>0.64888568452305007</v>
      </c>
      <c r="R786" t="str">
        <f t="shared" si="36"/>
        <v>yes</v>
      </c>
      <c r="S786" t="str">
        <f t="shared" si="37"/>
        <v>no</v>
      </c>
      <c r="T7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6" s="2" t="b">
        <f t="shared" si="38"/>
        <v>0</v>
      </c>
      <c r="V786" s="2">
        <f>IF(Table4[[#This Row],[linear?]],Table4[[#This Row],[av]],10^(Table4[[#This Row],[av]]/10))</f>
        <v>2.508615342615431</v>
      </c>
      <c r="W786" s="2">
        <f>IF(Table4[[#This Row],[linear?]],Table4[[#This Row],[av]],10^(Table4[[#This Row],[av]]/10))</f>
        <v>2.508615342615431</v>
      </c>
      <c r="X786" s="2">
        <f>Table4[[#This Row],[av_lin]]-2*Table4[[#This Row],[std_lin]]</f>
        <v>-2.508615342615431</v>
      </c>
      <c r="Y786" s="2">
        <f>Table4[[#This Row],[av_lin]]+2*Table4[[#This Row],[std_lin]]</f>
        <v>7.5258460278462929</v>
      </c>
    </row>
    <row r="787" spans="1:25" x14ac:dyDescent="0.35">
      <c r="A787" s="1">
        <v>1386</v>
      </c>
      <c r="B787" t="s">
        <v>829</v>
      </c>
      <c r="C787" t="s">
        <v>253</v>
      </c>
      <c r="D787" t="s">
        <v>276</v>
      </c>
      <c r="E787" s="2">
        <v>0</v>
      </c>
      <c r="F787" s="2">
        <v>0</v>
      </c>
      <c r="G787">
        <v>27</v>
      </c>
      <c r="H787" t="s">
        <v>58</v>
      </c>
      <c r="M787" s="2">
        <v>0</v>
      </c>
      <c r="N787" s="2">
        <v>0</v>
      </c>
      <c r="O787" s="2">
        <v>0</v>
      </c>
      <c r="R787" t="str">
        <f t="shared" si="36"/>
        <v>yes</v>
      </c>
      <c r="S787" t="str">
        <f t="shared" si="37"/>
        <v>no</v>
      </c>
      <c r="T7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7" s="2" t="b">
        <f t="shared" si="38"/>
        <v>0</v>
      </c>
      <c r="V787" s="2">
        <f>IF(Table4[[#This Row],[linear?]],Table4[[#This Row],[av]],10^(Table4[[#This Row],[av]]/10))</f>
        <v>1</v>
      </c>
      <c r="W787" s="2">
        <f>IF(Table4[[#This Row],[linear?]],Table4[[#This Row],[av]],10^(Table4[[#This Row],[av]]/10))</f>
        <v>1</v>
      </c>
      <c r="X787" s="2">
        <f>Table4[[#This Row],[av_lin]]-2*Table4[[#This Row],[std_lin]]</f>
        <v>-1</v>
      </c>
      <c r="Y787" s="2">
        <f>Table4[[#This Row],[av_lin]]+2*Table4[[#This Row],[std_lin]]</f>
        <v>3</v>
      </c>
    </row>
    <row r="788" spans="1:25" x14ac:dyDescent="0.35">
      <c r="A788" s="1">
        <v>1387</v>
      </c>
      <c r="B788" t="s">
        <v>829</v>
      </c>
      <c r="C788" t="s">
        <v>253</v>
      </c>
      <c r="D788" t="s">
        <v>277</v>
      </c>
      <c r="E788" s="2">
        <v>11.84838148148148</v>
      </c>
      <c r="F788" s="2">
        <v>18.33904841275065</v>
      </c>
      <c r="G788">
        <v>27</v>
      </c>
      <c r="H788" t="s">
        <v>58</v>
      </c>
      <c r="M788" s="2">
        <v>48.526478306982781</v>
      </c>
      <c r="N788" s="2">
        <v>-24.829715344019821</v>
      </c>
      <c r="O788" s="2">
        <v>73.356193651002599</v>
      </c>
      <c r="P788" s="2">
        <v>0.64607395186566052</v>
      </c>
      <c r="R788" t="str">
        <f t="shared" si="36"/>
        <v>yes</v>
      </c>
      <c r="S788" t="str">
        <f t="shared" si="37"/>
        <v>no</v>
      </c>
      <c r="T7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8" s="2" t="b">
        <f t="shared" si="38"/>
        <v>1</v>
      </c>
      <c r="V788" s="2">
        <f>IF(Table4[[#This Row],[linear?]],Table4[[#This Row],[av]],10^(Table4[[#This Row],[av]]/10))</f>
        <v>11.84838148148148</v>
      </c>
      <c r="W788" s="2">
        <f>IF(Table4[[#This Row],[linear?]],Table4[[#This Row],[av]],10^(Table4[[#This Row],[av]]/10))</f>
        <v>11.84838148148148</v>
      </c>
      <c r="X788" s="2">
        <f>Table4[[#This Row],[av_lin]]-2*Table4[[#This Row],[std_lin]]</f>
        <v>-11.84838148148148</v>
      </c>
      <c r="Y788" s="2">
        <f>Table4[[#This Row],[av_lin]]+2*Table4[[#This Row],[std_lin]]</f>
        <v>35.545144444444439</v>
      </c>
    </row>
    <row r="789" spans="1:25" x14ac:dyDescent="0.35">
      <c r="A789" s="1">
        <v>1388</v>
      </c>
      <c r="B789" t="s">
        <v>829</v>
      </c>
      <c r="C789" t="s">
        <v>253</v>
      </c>
      <c r="D789" t="s">
        <v>278</v>
      </c>
      <c r="E789" s="2">
        <v>31.176096296296301</v>
      </c>
      <c r="F789" s="2">
        <v>65.652500124245506</v>
      </c>
      <c r="G789">
        <v>27</v>
      </c>
      <c r="H789" t="s">
        <v>58</v>
      </c>
      <c r="M789" s="2">
        <v>162.48109654478731</v>
      </c>
      <c r="N789" s="2">
        <v>-100.1289039521947</v>
      </c>
      <c r="O789" s="2">
        <v>262.61000049698202</v>
      </c>
      <c r="P789" s="2">
        <v>0.47486533242902279</v>
      </c>
      <c r="R789" t="str">
        <f t="shared" si="36"/>
        <v>yes</v>
      </c>
      <c r="S789" t="str">
        <f t="shared" si="37"/>
        <v>no</v>
      </c>
      <c r="T7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9" s="2" t="b">
        <f t="shared" si="38"/>
        <v>0</v>
      </c>
      <c r="V789" s="2">
        <f>IF(Table4[[#This Row],[linear?]],Table4[[#This Row],[av]],10^(Table4[[#This Row],[av]]/10))</f>
        <v>1311.0209436494742</v>
      </c>
      <c r="W789" s="2">
        <f>IF(Table4[[#This Row],[linear?]],Table4[[#This Row],[av]],10^(Table4[[#This Row],[av]]/10))</f>
        <v>1311.0209436494742</v>
      </c>
      <c r="X789" s="2">
        <f>Table4[[#This Row],[av_lin]]-2*Table4[[#This Row],[std_lin]]</f>
        <v>-1311.0209436494742</v>
      </c>
      <c r="Y789" s="2">
        <f>Table4[[#This Row],[av_lin]]+2*Table4[[#This Row],[std_lin]]</f>
        <v>3933.0628309484227</v>
      </c>
    </row>
    <row r="790" spans="1:25" x14ac:dyDescent="0.35">
      <c r="A790" s="1">
        <v>1389</v>
      </c>
      <c r="B790" t="s">
        <v>829</v>
      </c>
      <c r="C790" t="s">
        <v>253</v>
      </c>
      <c r="D790" t="s">
        <v>279</v>
      </c>
      <c r="E790" s="2">
        <v>0</v>
      </c>
      <c r="F790" s="2">
        <v>0</v>
      </c>
      <c r="G790">
        <v>27</v>
      </c>
      <c r="H790" t="s">
        <v>58</v>
      </c>
      <c r="M790" s="2">
        <v>0</v>
      </c>
      <c r="N790" s="2">
        <v>0</v>
      </c>
      <c r="O790" s="2">
        <v>0</v>
      </c>
      <c r="R790" t="str">
        <f t="shared" si="36"/>
        <v>yes</v>
      </c>
      <c r="S790" t="str">
        <f t="shared" si="37"/>
        <v>no</v>
      </c>
      <c r="T7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0" s="2" t="b">
        <f t="shared" si="38"/>
        <v>0</v>
      </c>
      <c r="V790" s="2">
        <f>IF(Table4[[#This Row],[linear?]],Table4[[#This Row],[av]],10^(Table4[[#This Row],[av]]/10))</f>
        <v>1</v>
      </c>
      <c r="W790" s="2">
        <f>IF(Table4[[#This Row],[linear?]],Table4[[#This Row],[av]],10^(Table4[[#This Row],[av]]/10))</f>
        <v>1</v>
      </c>
      <c r="X790" s="2">
        <f>Table4[[#This Row],[av_lin]]-2*Table4[[#This Row],[std_lin]]</f>
        <v>-1</v>
      </c>
      <c r="Y790" s="2">
        <f>Table4[[#This Row],[av_lin]]+2*Table4[[#This Row],[std_lin]]</f>
        <v>3</v>
      </c>
    </row>
    <row r="791" spans="1:25" x14ac:dyDescent="0.35">
      <c r="A791" s="1">
        <v>1390</v>
      </c>
      <c r="B791" t="s">
        <v>829</v>
      </c>
      <c r="C791" t="s">
        <v>253</v>
      </c>
      <c r="D791" t="s">
        <v>280</v>
      </c>
      <c r="E791" s="2">
        <v>0</v>
      </c>
      <c r="F791" s="2">
        <v>0</v>
      </c>
      <c r="G791">
        <v>27</v>
      </c>
      <c r="H791" t="s">
        <v>58</v>
      </c>
      <c r="M791" s="2">
        <v>0</v>
      </c>
      <c r="N791" s="2">
        <v>0</v>
      </c>
      <c r="O791" s="2">
        <v>0</v>
      </c>
      <c r="R791" t="str">
        <f t="shared" si="36"/>
        <v>yes</v>
      </c>
      <c r="S791" t="str">
        <f t="shared" si="37"/>
        <v>no</v>
      </c>
      <c r="T7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1" s="2" t="b">
        <f t="shared" si="38"/>
        <v>0</v>
      </c>
      <c r="V791" s="2">
        <f>IF(Table4[[#This Row],[linear?]],Table4[[#This Row],[av]],10^(Table4[[#This Row],[av]]/10))</f>
        <v>1</v>
      </c>
      <c r="W791" s="2">
        <f>IF(Table4[[#This Row],[linear?]],Table4[[#This Row],[av]],10^(Table4[[#This Row],[av]]/10))</f>
        <v>1</v>
      </c>
      <c r="X791" s="2">
        <f>Table4[[#This Row],[av_lin]]-2*Table4[[#This Row],[std_lin]]</f>
        <v>-1</v>
      </c>
      <c r="Y791" s="2">
        <f>Table4[[#This Row],[av_lin]]+2*Table4[[#This Row],[std_lin]]</f>
        <v>3</v>
      </c>
    </row>
    <row r="792" spans="1:25" x14ac:dyDescent="0.35">
      <c r="A792" s="1">
        <v>1391</v>
      </c>
      <c r="B792" t="s">
        <v>829</v>
      </c>
      <c r="C792" t="s">
        <v>253</v>
      </c>
      <c r="D792" t="s">
        <v>281</v>
      </c>
      <c r="E792" s="2">
        <v>7.4851037037037029</v>
      </c>
      <c r="F792" s="2">
        <v>15.73205291010307</v>
      </c>
      <c r="G792">
        <v>27</v>
      </c>
      <c r="H792" t="s">
        <v>58</v>
      </c>
      <c r="M792" s="2">
        <v>38.949209523909843</v>
      </c>
      <c r="N792" s="2">
        <v>-23.979002116502439</v>
      </c>
      <c r="O792" s="2">
        <v>62.928211640412279</v>
      </c>
      <c r="P792" s="2">
        <v>0.47578683764130969</v>
      </c>
      <c r="R792" t="str">
        <f t="shared" si="36"/>
        <v>yes</v>
      </c>
      <c r="S792" t="str">
        <f t="shared" si="37"/>
        <v>no</v>
      </c>
      <c r="T7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2" s="2" t="b">
        <f t="shared" si="38"/>
        <v>1</v>
      </c>
      <c r="V792" s="2">
        <f>IF(Table4[[#This Row],[linear?]],Table4[[#This Row],[av]],10^(Table4[[#This Row],[av]]/10))</f>
        <v>7.4851037037037029</v>
      </c>
      <c r="W792" s="2">
        <f>IF(Table4[[#This Row],[linear?]],Table4[[#This Row],[av]],10^(Table4[[#This Row],[av]]/10))</f>
        <v>7.4851037037037029</v>
      </c>
      <c r="X792" s="2">
        <f>Table4[[#This Row],[av_lin]]-2*Table4[[#This Row],[std_lin]]</f>
        <v>-7.4851037037037029</v>
      </c>
      <c r="Y792" s="2">
        <f>Table4[[#This Row],[av_lin]]+2*Table4[[#This Row],[std_lin]]</f>
        <v>22.455311111111108</v>
      </c>
    </row>
    <row r="793" spans="1:25" x14ac:dyDescent="0.35">
      <c r="A793" s="1">
        <v>1392</v>
      </c>
      <c r="B793" t="s">
        <v>829</v>
      </c>
      <c r="C793" t="s">
        <v>253</v>
      </c>
      <c r="D793" t="s">
        <v>282</v>
      </c>
      <c r="E793" s="2">
        <v>27.516974074074071</v>
      </c>
      <c r="F793" s="2">
        <v>60.059210017205601</v>
      </c>
      <c r="G793">
        <v>27</v>
      </c>
      <c r="H793" t="s">
        <v>58</v>
      </c>
      <c r="M793" s="2">
        <v>147.63539410848529</v>
      </c>
      <c r="N793" s="2">
        <v>-92.601445960337131</v>
      </c>
      <c r="O793" s="2">
        <v>240.2368400688224</v>
      </c>
      <c r="P793" s="2">
        <v>0.45816410282771092</v>
      </c>
      <c r="R793" t="str">
        <f t="shared" si="36"/>
        <v>yes</v>
      </c>
      <c r="S793" t="str">
        <f t="shared" si="37"/>
        <v>no</v>
      </c>
      <c r="T7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3" s="2" t="b">
        <f t="shared" si="38"/>
        <v>0</v>
      </c>
      <c r="V793" s="2">
        <f>IF(Table4[[#This Row],[linear?]],Table4[[#This Row],[av]],10^(Table4[[#This Row],[av]]/10))</f>
        <v>564.54349478435654</v>
      </c>
      <c r="W793" s="2">
        <f>IF(Table4[[#This Row],[linear?]],Table4[[#This Row],[av]],10^(Table4[[#This Row],[av]]/10))</f>
        <v>564.54349478435654</v>
      </c>
      <c r="X793" s="2">
        <f>Table4[[#This Row],[av_lin]]-2*Table4[[#This Row],[std_lin]]</f>
        <v>-564.54349478435654</v>
      </c>
      <c r="Y793" s="2">
        <f>Table4[[#This Row],[av_lin]]+2*Table4[[#This Row],[std_lin]]</f>
        <v>1693.6304843530697</v>
      </c>
    </row>
    <row r="794" spans="1:25" x14ac:dyDescent="0.35">
      <c r="A794" s="1">
        <v>1393</v>
      </c>
      <c r="B794" t="s">
        <v>829</v>
      </c>
      <c r="C794" t="s">
        <v>253</v>
      </c>
      <c r="D794" t="s">
        <v>283</v>
      </c>
      <c r="E794" s="2">
        <v>0</v>
      </c>
      <c r="F794" s="2">
        <v>0</v>
      </c>
      <c r="G794">
        <v>27</v>
      </c>
      <c r="H794" t="s">
        <v>58</v>
      </c>
      <c r="M794" s="2">
        <v>0</v>
      </c>
      <c r="N794" s="2">
        <v>0</v>
      </c>
      <c r="O794" s="2">
        <v>0</v>
      </c>
      <c r="R794" t="str">
        <f t="shared" si="36"/>
        <v>yes</v>
      </c>
      <c r="S794" t="str">
        <f t="shared" si="37"/>
        <v>no</v>
      </c>
      <c r="T7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4" s="2" t="b">
        <f t="shared" si="38"/>
        <v>0</v>
      </c>
      <c r="V794" s="2">
        <f>IF(Table4[[#This Row],[linear?]],Table4[[#This Row],[av]],10^(Table4[[#This Row],[av]]/10))</f>
        <v>1</v>
      </c>
      <c r="W794" s="2">
        <f>IF(Table4[[#This Row],[linear?]],Table4[[#This Row],[av]],10^(Table4[[#This Row],[av]]/10))</f>
        <v>1</v>
      </c>
      <c r="X794" s="2">
        <f>Table4[[#This Row],[av_lin]]-2*Table4[[#This Row],[std_lin]]</f>
        <v>-1</v>
      </c>
      <c r="Y794" s="2">
        <f>Table4[[#This Row],[av_lin]]+2*Table4[[#This Row],[std_lin]]</f>
        <v>3</v>
      </c>
    </row>
    <row r="795" spans="1:25" x14ac:dyDescent="0.35">
      <c r="A795" s="1">
        <v>1394</v>
      </c>
      <c r="B795" t="s">
        <v>829</v>
      </c>
      <c r="C795" t="s">
        <v>253</v>
      </c>
      <c r="D795" t="s">
        <v>284</v>
      </c>
      <c r="E795" s="2">
        <v>0</v>
      </c>
      <c r="F795" s="2">
        <v>0</v>
      </c>
      <c r="G795">
        <v>27</v>
      </c>
      <c r="H795" t="s">
        <v>58</v>
      </c>
      <c r="M795" s="2">
        <v>0</v>
      </c>
      <c r="N795" s="2">
        <v>0</v>
      </c>
      <c r="O795" s="2">
        <v>0</v>
      </c>
      <c r="R795" t="str">
        <f t="shared" si="36"/>
        <v>yes</v>
      </c>
      <c r="S795" t="str">
        <f t="shared" si="37"/>
        <v>no</v>
      </c>
      <c r="T7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5" s="2" t="b">
        <f t="shared" si="38"/>
        <v>0</v>
      </c>
      <c r="V795" s="2">
        <f>IF(Table4[[#This Row],[linear?]],Table4[[#This Row],[av]],10^(Table4[[#This Row],[av]]/10))</f>
        <v>1</v>
      </c>
      <c r="W795" s="2">
        <f>IF(Table4[[#This Row],[linear?]],Table4[[#This Row],[av]],10^(Table4[[#This Row],[av]]/10))</f>
        <v>1</v>
      </c>
      <c r="X795" s="2">
        <f>Table4[[#This Row],[av_lin]]-2*Table4[[#This Row],[std_lin]]</f>
        <v>-1</v>
      </c>
      <c r="Y795" s="2">
        <f>Table4[[#This Row],[av_lin]]+2*Table4[[#This Row],[std_lin]]</f>
        <v>3</v>
      </c>
    </row>
    <row r="796" spans="1:25" x14ac:dyDescent="0.35">
      <c r="A796" s="1">
        <v>1395</v>
      </c>
      <c r="B796" t="s">
        <v>829</v>
      </c>
      <c r="C796" t="s">
        <v>253</v>
      </c>
      <c r="D796" t="s">
        <v>285</v>
      </c>
      <c r="E796" s="2">
        <v>6.7929629629629629</v>
      </c>
      <c r="F796" s="2">
        <v>14.26728950543731</v>
      </c>
      <c r="G796">
        <v>27</v>
      </c>
      <c r="H796" t="s">
        <v>58</v>
      </c>
      <c r="M796" s="2">
        <v>35.327541973837583</v>
      </c>
      <c r="N796" s="2">
        <v>-21.741616047911659</v>
      </c>
      <c r="O796" s="2">
        <v>57.069158021749239</v>
      </c>
      <c r="P796" s="2">
        <v>0.47612147776030922</v>
      </c>
      <c r="R796" t="str">
        <f t="shared" si="36"/>
        <v>yes</v>
      </c>
      <c r="S796" t="str">
        <f t="shared" si="37"/>
        <v>no</v>
      </c>
      <c r="T7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6" s="2" t="b">
        <f t="shared" si="38"/>
        <v>1</v>
      </c>
      <c r="V796" s="2">
        <f>IF(Table4[[#This Row],[linear?]],Table4[[#This Row],[av]],10^(Table4[[#This Row],[av]]/10))</f>
        <v>6.7929629629629629</v>
      </c>
      <c r="W796" s="2">
        <f>IF(Table4[[#This Row],[linear?]],Table4[[#This Row],[av]],10^(Table4[[#This Row],[av]]/10))</f>
        <v>6.7929629629629629</v>
      </c>
      <c r="X796" s="2">
        <f>Table4[[#This Row],[av_lin]]-2*Table4[[#This Row],[std_lin]]</f>
        <v>-6.7929629629629629</v>
      </c>
      <c r="Y796" s="2">
        <f>Table4[[#This Row],[av_lin]]+2*Table4[[#This Row],[std_lin]]</f>
        <v>20.378888888888888</v>
      </c>
    </row>
    <row r="797" spans="1:25" x14ac:dyDescent="0.35">
      <c r="A797" s="1">
        <v>1396</v>
      </c>
      <c r="B797" t="s">
        <v>829</v>
      </c>
      <c r="C797" t="s">
        <v>253</v>
      </c>
      <c r="D797" t="s">
        <v>286</v>
      </c>
      <c r="E797" s="2">
        <v>32.468333333333327</v>
      </c>
      <c r="F797" s="2">
        <v>68.164888931755144</v>
      </c>
      <c r="G797">
        <v>27</v>
      </c>
      <c r="H797" t="s">
        <v>58</v>
      </c>
      <c r="M797" s="2">
        <v>168.79811119684359</v>
      </c>
      <c r="N797" s="2">
        <v>-103.861444530177</v>
      </c>
      <c r="O797" s="2">
        <v>272.65955572702057</v>
      </c>
      <c r="P797" s="2">
        <v>0.47632049053640718</v>
      </c>
      <c r="R797" t="str">
        <f t="shared" si="36"/>
        <v>yes</v>
      </c>
      <c r="S797" t="str">
        <f t="shared" si="37"/>
        <v>no</v>
      </c>
      <c r="T7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7" s="2" t="b">
        <f t="shared" si="38"/>
        <v>0</v>
      </c>
      <c r="V797" s="2">
        <f>IF(Table4[[#This Row],[linear?]],Table4[[#This Row],[av]],10^(Table4[[#This Row],[av]]/10))</f>
        <v>1765.3602086561623</v>
      </c>
      <c r="W797" s="2">
        <f>IF(Table4[[#This Row],[linear?]],Table4[[#This Row],[av]],10^(Table4[[#This Row],[av]]/10))</f>
        <v>1765.3602086561623</v>
      </c>
      <c r="X797" s="2">
        <f>Table4[[#This Row],[av_lin]]-2*Table4[[#This Row],[std_lin]]</f>
        <v>-1765.3602086561623</v>
      </c>
      <c r="Y797" s="2">
        <f>Table4[[#This Row],[av_lin]]+2*Table4[[#This Row],[std_lin]]</f>
        <v>5296.0806259684869</v>
      </c>
    </row>
    <row r="798" spans="1:25" x14ac:dyDescent="0.35">
      <c r="A798" s="1">
        <v>1397</v>
      </c>
      <c r="B798" t="s">
        <v>829</v>
      </c>
      <c r="C798" t="s">
        <v>253</v>
      </c>
      <c r="D798" t="s">
        <v>287</v>
      </c>
      <c r="E798" s="2">
        <v>0</v>
      </c>
      <c r="F798" s="2">
        <v>0</v>
      </c>
      <c r="G798">
        <v>27</v>
      </c>
      <c r="H798" t="s">
        <v>58</v>
      </c>
      <c r="M798" s="2">
        <v>0</v>
      </c>
      <c r="N798" s="2">
        <v>0</v>
      </c>
      <c r="O798" s="2">
        <v>0</v>
      </c>
      <c r="R798" t="str">
        <f t="shared" si="36"/>
        <v>yes</v>
      </c>
      <c r="S798" t="str">
        <f t="shared" si="37"/>
        <v>no</v>
      </c>
      <c r="T7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8" s="2" t="b">
        <f t="shared" si="38"/>
        <v>0</v>
      </c>
      <c r="V798" s="2">
        <f>IF(Table4[[#This Row],[linear?]],Table4[[#This Row],[av]],10^(Table4[[#This Row],[av]]/10))</f>
        <v>1</v>
      </c>
      <c r="W798" s="2">
        <f>IF(Table4[[#This Row],[linear?]],Table4[[#This Row],[av]],10^(Table4[[#This Row],[av]]/10))</f>
        <v>1</v>
      </c>
      <c r="X798" s="2">
        <f>Table4[[#This Row],[av_lin]]-2*Table4[[#This Row],[std_lin]]</f>
        <v>-1</v>
      </c>
      <c r="Y798" s="2">
        <f>Table4[[#This Row],[av_lin]]+2*Table4[[#This Row],[std_lin]]</f>
        <v>3</v>
      </c>
    </row>
    <row r="799" spans="1:25" x14ac:dyDescent="0.35">
      <c r="A799" s="1">
        <v>1398</v>
      </c>
      <c r="B799" t="s">
        <v>829</v>
      </c>
      <c r="C799" t="s">
        <v>253</v>
      </c>
      <c r="D799" t="s">
        <v>288</v>
      </c>
      <c r="E799" s="2">
        <v>0</v>
      </c>
      <c r="F799" s="2">
        <v>0</v>
      </c>
      <c r="G799">
        <v>27</v>
      </c>
      <c r="H799" t="s">
        <v>58</v>
      </c>
      <c r="M799" s="2">
        <v>0</v>
      </c>
      <c r="N799" s="2">
        <v>0</v>
      </c>
      <c r="O799" s="2">
        <v>0</v>
      </c>
      <c r="R799" t="str">
        <f t="shared" si="36"/>
        <v>yes</v>
      </c>
      <c r="S799" t="str">
        <f t="shared" si="37"/>
        <v>no</v>
      </c>
      <c r="T7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9" s="2" t="b">
        <f t="shared" si="38"/>
        <v>0</v>
      </c>
      <c r="V799" s="2">
        <f>IF(Table4[[#This Row],[linear?]],Table4[[#This Row],[av]],10^(Table4[[#This Row],[av]]/10))</f>
        <v>1</v>
      </c>
      <c r="W799" s="2">
        <f>IF(Table4[[#This Row],[linear?]],Table4[[#This Row],[av]],10^(Table4[[#This Row],[av]]/10))</f>
        <v>1</v>
      </c>
      <c r="X799" s="2">
        <f>Table4[[#This Row],[av_lin]]-2*Table4[[#This Row],[std_lin]]</f>
        <v>-1</v>
      </c>
      <c r="Y799" s="2">
        <f>Table4[[#This Row],[av_lin]]+2*Table4[[#This Row],[std_lin]]</f>
        <v>3</v>
      </c>
    </row>
    <row r="800" spans="1:25" x14ac:dyDescent="0.35">
      <c r="A800" s="1">
        <v>1399</v>
      </c>
      <c r="B800" t="s">
        <v>829</v>
      </c>
      <c r="C800" t="s">
        <v>253</v>
      </c>
      <c r="D800" t="s">
        <v>289</v>
      </c>
      <c r="E800" s="2">
        <v>7.3786111111111108</v>
      </c>
      <c r="F800" s="2">
        <v>15.485414941003731</v>
      </c>
      <c r="G800">
        <v>27</v>
      </c>
      <c r="H800" t="s">
        <v>58</v>
      </c>
      <c r="M800" s="2">
        <v>38.34944099311857</v>
      </c>
      <c r="N800" s="2">
        <v>-23.592218770896348</v>
      </c>
      <c r="O800" s="2">
        <v>61.941659764014922</v>
      </c>
      <c r="P800" s="2">
        <v>0.476487787974821</v>
      </c>
      <c r="R800" t="str">
        <f t="shared" si="36"/>
        <v>yes</v>
      </c>
      <c r="S800" t="str">
        <f t="shared" si="37"/>
        <v>no</v>
      </c>
      <c r="T8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0" s="2" t="b">
        <f t="shared" si="38"/>
        <v>1</v>
      </c>
      <c r="V800" s="2">
        <f>IF(Table4[[#This Row],[linear?]],Table4[[#This Row],[av]],10^(Table4[[#This Row],[av]]/10))</f>
        <v>7.3786111111111108</v>
      </c>
      <c r="W800" s="2">
        <f>IF(Table4[[#This Row],[linear?]],Table4[[#This Row],[av]],10^(Table4[[#This Row],[av]]/10))</f>
        <v>7.3786111111111108</v>
      </c>
      <c r="X800" s="2">
        <f>Table4[[#This Row],[av_lin]]-2*Table4[[#This Row],[std_lin]]</f>
        <v>-7.3786111111111108</v>
      </c>
      <c r="Y800" s="2">
        <f>Table4[[#This Row],[av_lin]]+2*Table4[[#This Row],[std_lin]]</f>
        <v>22.135833333333331</v>
      </c>
    </row>
    <row r="801" spans="1:25" x14ac:dyDescent="0.35">
      <c r="A801" s="1">
        <v>1400</v>
      </c>
      <c r="B801" t="s">
        <v>829</v>
      </c>
      <c r="C801" t="s">
        <v>253</v>
      </c>
      <c r="D801" t="s">
        <v>290</v>
      </c>
      <c r="E801" s="2">
        <v>27.19964814814815</v>
      </c>
      <c r="F801" s="2">
        <v>59.678368064864671</v>
      </c>
      <c r="G801">
        <v>27</v>
      </c>
      <c r="H801" t="s">
        <v>58</v>
      </c>
      <c r="M801" s="2">
        <v>146.5563842778775</v>
      </c>
      <c r="N801" s="2">
        <v>-92.157087981581185</v>
      </c>
      <c r="O801" s="2">
        <v>238.71347225945871</v>
      </c>
      <c r="P801" s="2">
        <v>0.45577064236382497</v>
      </c>
      <c r="R801" t="str">
        <f t="shared" si="36"/>
        <v>yes</v>
      </c>
      <c r="S801" t="str">
        <f t="shared" si="37"/>
        <v>no</v>
      </c>
      <c r="T8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1" s="2" t="b">
        <f t="shared" si="38"/>
        <v>0</v>
      </c>
      <c r="V801" s="2">
        <f>IF(Table4[[#This Row],[linear?]],Table4[[#This Row],[av]],10^(Table4[[#This Row],[av]]/10))</f>
        <v>524.76494370752198</v>
      </c>
      <c r="W801" s="2">
        <f>IF(Table4[[#This Row],[linear?]],Table4[[#This Row],[av]],10^(Table4[[#This Row],[av]]/10))</f>
        <v>524.76494370752198</v>
      </c>
      <c r="X801" s="2">
        <f>Table4[[#This Row],[av_lin]]-2*Table4[[#This Row],[std_lin]]</f>
        <v>-524.76494370752198</v>
      </c>
      <c r="Y801" s="2">
        <f>Table4[[#This Row],[av_lin]]+2*Table4[[#This Row],[std_lin]]</f>
        <v>1574.2948311225659</v>
      </c>
    </row>
    <row r="802" spans="1:25" x14ac:dyDescent="0.35">
      <c r="A802" s="1">
        <v>1401</v>
      </c>
      <c r="B802" t="s">
        <v>829</v>
      </c>
      <c r="C802" t="s">
        <v>253</v>
      </c>
      <c r="D802" t="s">
        <v>291</v>
      </c>
      <c r="E802" s="2">
        <v>0</v>
      </c>
      <c r="F802" s="2">
        <v>0</v>
      </c>
      <c r="G802">
        <v>27</v>
      </c>
      <c r="H802" t="s">
        <v>58</v>
      </c>
      <c r="M802" s="2">
        <v>0</v>
      </c>
      <c r="N802" s="2">
        <v>0</v>
      </c>
      <c r="O802" s="2">
        <v>0</v>
      </c>
      <c r="R802" t="str">
        <f t="shared" si="36"/>
        <v>yes</v>
      </c>
      <c r="S802" t="str">
        <f t="shared" si="37"/>
        <v>no</v>
      </c>
      <c r="T8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2" s="2" t="b">
        <f t="shared" si="38"/>
        <v>0</v>
      </c>
      <c r="V802" s="2">
        <f>IF(Table4[[#This Row],[linear?]],Table4[[#This Row],[av]],10^(Table4[[#This Row],[av]]/10))</f>
        <v>1</v>
      </c>
      <c r="W802" s="2">
        <f>IF(Table4[[#This Row],[linear?]],Table4[[#This Row],[av]],10^(Table4[[#This Row],[av]]/10))</f>
        <v>1</v>
      </c>
      <c r="X802" s="2">
        <f>Table4[[#This Row],[av_lin]]-2*Table4[[#This Row],[std_lin]]</f>
        <v>-1</v>
      </c>
      <c r="Y802" s="2">
        <f>Table4[[#This Row],[av_lin]]+2*Table4[[#This Row],[std_lin]]</f>
        <v>3</v>
      </c>
    </row>
    <row r="803" spans="1:25" x14ac:dyDescent="0.35">
      <c r="A803" s="1">
        <v>1402</v>
      </c>
      <c r="B803" t="s">
        <v>829</v>
      </c>
      <c r="C803" t="s">
        <v>253</v>
      </c>
      <c r="D803" t="s">
        <v>292</v>
      </c>
      <c r="E803" s="2">
        <v>0</v>
      </c>
      <c r="F803" s="2">
        <v>0</v>
      </c>
      <c r="G803">
        <v>27</v>
      </c>
      <c r="H803" t="s">
        <v>58</v>
      </c>
      <c r="M803" s="2">
        <v>0</v>
      </c>
      <c r="N803" s="2">
        <v>0</v>
      </c>
      <c r="O803" s="2">
        <v>0</v>
      </c>
      <c r="R803" t="str">
        <f t="shared" si="36"/>
        <v>yes</v>
      </c>
      <c r="S803" t="str">
        <f t="shared" si="37"/>
        <v>no</v>
      </c>
      <c r="T8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3" s="2" t="b">
        <f t="shared" si="38"/>
        <v>0</v>
      </c>
      <c r="V803" s="2">
        <f>IF(Table4[[#This Row],[linear?]],Table4[[#This Row],[av]],10^(Table4[[#This Row],[av]]/10))</f>
        <v>1</v>
      </c>
      <c r="W803" s="2">
        <f>IF(Table4[[#This Row],[linear?]],Table4[[#This Row],[av]],10^(Table4[[#This Row],[av]]/10))</f>
        <v>1</v>
      </c>
      <c r="X803" s="2">
        <f>Table4[[#This Row],[av_lin]]-2*Table4[[#This Row],[std_lin]]</f>
        <v>-1</v>
      </c>
      <c r="Y803" s="2">
        <f>Table4[[#This Row],[av_lin]]+2*Table4[[#This Row],[std_lin]]</f>
        <v>3</v>
      </c>
    </row>
    <row r="804" spans="1:25" x14ac:dyDescent="0.35">
      <c r="A804" s="1">
        <v>1403</v>
      </c>
      <c r="B804" t="s">
        <v>829</v>
      </c>
      <c r="C804" t="s">
        <v>253</v>
      </c>
      <c r="D804" t="s">
        <v>293</v>
      </c>
      <c r="E804" s="2">
        <v>6.686481481481481</v>
      </c>
      <c r="F804" s="2">
        <v>14.05511703080615</v>
      </c>
      <c r="G804">
        <v>27</v>
      </c>
      <c r="H804" t="s">
        <v>58</v>
      </c>
      <c r="M804" s="2">
        <v>34.796715543093782</v>
      </c>
      <c r="N804" s="2">
        <v>-21.42375258013082</v>
      </c>
      <c r="O804" s="2">
        <v>56.220468123224599</v>
      </c>
      <c r="P804" s="2">
        <v>0.47573289264158969</v>
      </c>
      <c r="R804" t="str">
        <f t="shared" si="36"/>
        <v>yes</v>
      </c>
      <c r="S804" t="str">
        <f t="shared" si="37"/>
        <v>no</v>
      </c>
      <c r="T8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4" s="2" t="b">
        <f t="shared" si="38"/>
        <v>1</v>
      </c>
      <c r="V804" s="2">
        <f>IF(Table4[[#This Row],[linear?]],Table4[[#This Row],[av]],10^(Table4[[#This Row],[av]]/10))</f>
        <v>6.686481481481481</v>
      </c>
      <c r="W804" s="2">
        <f>IF(Table4[[#This Row],[linear?]],Table4[[#This Row],[av]],10^(Table4[[#This Row],[av]]/10))</f>
        <v>6.686481481481481</v>
      </c>
      <c r="X804" s="2">
        <f>Table4[[#This Row],[av_lin]]-2*Table4[[#This Row],[std_lin]]</f>
        <v>-6.686481481481481</v>
      </c>
      <c r="Y804" s="2">
        <f>Table4[[#This Row],[av_lin]]+2*Table4[[#This Row],[std_lin]]</f>
        <v>20.059444444444445</v>
      </c>
    </row>
    <row r="805" spans="1:25" x14ac:dyDescent="0.35">
      <c r="A805" s="1">
        <v>1404</v>
      </c>
      <c r="B805" t="s">
        <v>829</v>
      </c>
      <c r="C805" t="s">
        <v>253</v>
      </c>
      <c r="D805" t="s">
        <v>294</v>
      </c>
      <c r="E805" s="2">
        <v>30.682081481481479</v>
      </c>
      <c r="F805" s="2">
        <v>64.813691470078695</v>
      </c>
      <c r="G805">
        <v>27</v>
      </c>
      <c r="H805" t="s">
        <v>58</v>
      </c>
      <c r="M805" s="2">
        <v>160.30946442163889</v>
      </c>
      <c r="N805" s="2">
        <v>-98.945301458675914</v>
      </c>
      <c r="O805" s="2">
        <v>259.25476588031478</v>
      </c>
      <c r="P805" s="2">
        <v>0.47338889030330722</v>
      </c>
      <c r="R805" t="str">
        <f t="shared" si="36"/>
        <v>yes</v>
      </c>
      <c r="S805" t="str">
        <f t="shared" si="37"/>
        <v>no</v>
      </c>
      <c r="T8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5" s="2" t="b">
        <f t="shared" si="38"/>
        <v>0</v>
      </c>
      <c r="V805" s="2">
        <f>IF(Table4[[#This Row],[linear?]],Table4[[#This Row],[av]],10^(Table4[[#This Row],[av]]/10))</f>
        <v>1170.060041654825</v>
      </c>
      <c r="W805" s="2">
        <f>IF(Table4[[#This Row],[linear?]],Table4[[#This Row],[av]],10^(Table4[[#This Row],[av]]/10))</f>
        <v>1170.060041654825</v>
      </c>
      <c r="X805" s="2">
        <f>Table4[[#This Row],[av_lin]]-2*Table4[[#This Row],[std_lin]]</f>
        <v>-1170.060041654825</v>
      </c>
      <c r="Y805" s="2">
        <f>Table4[[#This Row],[av_lin]]+2*Table4[[#This Row],[std_lin]]</f>
        <v>3510.180124964475</v>
      </c>
    </row>
    <row r="806" spans="1:25" x14ac:dyDescent="0.35">
      <c r="A806" s="1">
        <v>1405</v>
      </c>
      <c r="B806" t="s">
        <v>829</v>
      </c>
      <c r="C806" t="s">
        <v>253</v>
      </c>
      <c r="D806" t="s">
        <v>295</v>
      </c>
      <c r="E806" s="2">
        <v>0</v>
      </c>
      <c r="F806" s="2">
        <v>0</v>
      </c>
      <c r="G806">
        <v>27</v>
      </c>
      <c r="H806" t="s">
        <v>58</v>
      </c>
      <c r="M806" s="2">
        <v>0</v>
      </c>
      <c r="N806" s="2">
        <v>0</v>
      </c>
      <c r="O806" s="2">
        <v>0</v>
      </c>
      <c r="R806" t="str">
        <f t="shared" si="36"/>
        <v>yes</v>
      </c>
      <c r="S806" t="str">
        <f t="shared" si="37"/>
        <v>no</v>
      </c>
      <c r="T8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6" s="2" t="b">
        <f t="shared" si="38"/>
        <v>0</v>
      </c>
      <c r="V806" s="2">
        <f>IF(Table4[[#This Row],[linear?]],Table4[[#This Row],[av]],10^(Table4[[#This Row],[av]]/10))</f>
        <v>1</v>
      </c>
      <c r="W806" s="2">
        <f>IF(Table4[[#This Row],[linear?]],Table4[[#This Row],[av]],10^(Table4[[#This Row],[av]]/10))</f>
        <v>1</v>
      </c>
      <c r="X806" s="2">
        <f>Table4[[#This Row],[av_lin]]-2*Table4[[#This Row],[std_lin]]</f>
        <v>-1</v>
      </c>
      <c r="Y806" s="2">
        <f>Table4[[#This Row],[av_lin]]+2*Table4[[#This Row],[std_lin]]</f>
        <v>3</v>
      </c>
    </row>
    <row r="807" spans="1:25" x14ac:dyDescent="0.35">
      <c r="A807" s="1">
        <v>1406</v>
      </c>
      <c r="B807" t="s">
        <v>829</v>
      </c>
      <c r="C807" t="s">
        <v>253</v>
      </c>
      <c r="D807" t="s">
        <v>296</v>
      </c>
      <c r="E807" s="2">
        <v>0</v>
      </c>
      <c r="F807" s="2">
        <v>0</v>
      </c>
      <c r="G807">
        <v>27</v>
      </c>
      <c r="H807" t="s">
        <v>58</v>
      </c>
      <c r="M807" s="2">
        <v>0</v>
      </c>
      <c r="N807" s="2">
        <v>0</v>
      </c>
      <c r="O807" s="2">
        <v>0</v>
      </c>
      <c r="R807" t="str">
        <f t="shared" si="36"/>
        <v>yes</v>
      </c>
      <c r="S807" t="str">
        <f t="shared" si="37"/>
        <v>no</v>
      </c>
      <c r="T8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7" s="2" t="b">
        <f t="shared" si="38"/>
        <v>0</v>
      </c>
      <c r="V807" s="2">
        <f>IF(Table4[[#This Row],[linear?]],Table4[[#This Row],[av]],10^(Table4[[#This Row],[av]]/10))</f>
        <v>1</v>
      </c>
      <c r="W807" s="2">
        <f>IF(Table4[[#This Row],[linear?]],Table4[[#This Row],[av]],10^(Table4[[#This Row],[av]]/10))</f>
        <v>1</v>
      </c>
      <c r="X807" s="2">
        <f>Table4[[#This Row],[av_lin]]-2*Table4[[#This Row],[std_lin]]</f>
        <v>-1</v>
      </c>
      <c r="Y807" s="2">
        <f>Table4[[#This Row],[av_lin]]+2*Table4[[#This Row],[std_lin]]</f>
        <v>3</v>
      </c>
    </row>
    <row r="808" spans="1:25" x14ac:dyDescent="0.35">
      <c r="A808" s="1">
        <v>1407</v>
      </c>
      <c r="B808" t="s">
        <v>829</v>
      </c>
      <c r="C808" t="s">
        <v>253</v>
      </c>
      <c r="D808" t="s">
        <v>297</v>
      </c>
      <c r="E808" s="2">
        <v>6.420274074074074</v>
      </c>
      <c r="F808" s="2">
        <v>13.48091334804419</v>
      </c>
      <c r="G808">
        <v>27</v>
      </c>
      <c r="H808" t="s">
        <v>58</v>
      </c>
      <c r="M808" s="2">
        <v>33.382100770162452</v>
      </c>
      <c r="N808" s="2">
        <v>-20.541552622014311</v>
      </c>
      <c r="O808" s="2">
        <v>53.92365339217676</v>
      </c>
      <c r="P808" s="2">
        <v>0.47624919086105738</v>
      </c>
      <c r="R808" t="str">
        <f t="shared" si="36"/>
        <v>yes</v>
      </c>
      <c r="S808" t="str">
        <f t="shared" si="37"/>
        <v>no</v>
      </c>
      <c r="T8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8" s="2" t="b">
        <f t="shared" si="38"/>
        <v>1</v>
      </c>
      <c r="V808" s="2">
        <f>IF(Table4[[#This Row],[linear?]],Table4[[#This Row],[av]],10^(Table4[[#This Row],[av]]/10))</f>
        <v>6.420274074074074</v>
      </c>
      <c r="W808" s="2">
        <f>IF(Table4[[#This Row],[linear?]],Table4[[#This Row],[av]],10^(Table4[[#This Row],[av]]/10))</f>
        <v>6.420274074074074</v>
      </c>
      <c r="X808" s="2">
        <f>Table4[[#This Row],[av_lin]]-2*Table4[[#This Row],[std_lin]]</f>
        <v>-6.420274074074074</v>
      </c>
      <c r="Y808" s="2">
        <f>Table4[[#This Row],[av_lin]]+2*Table4[[#This Row],[std_lin]]</f>
        <v>19.260822222222224</v>
      </c>
    </row>
    <row r="809" spans="1:25" x14ac:dyDescent="0.35">
      <c r="A809" s="1">
        <v>1408</v>
      </c>
      <c r="B809" t="s">
        <v>829</v>
      </c>
      <c r="C809" t="s">
        <v>253</v>
      </c>
      <c r="D809" t="s">
        <v>298</v>
      </c>
      <c r="E809" s="2">
        <v>26.10714444444444</v>
      </c>
      <c r="F809" s="2">
        <v>58.512931992207427</v>
      </c>
      <c r="G809">
        <v>27</v>
      </c>
      <c r="H809" t="s">
        <v>58</v>
      </c>
      <c r="M809" s="2">
        <v>143.13300842885931</v>
      </c>
      <c r="N809" s="2">
        <v>-90.918719539970411</v>
      </c>
      <c r="O809" s="2">
        <v>234.05172796882971</v>
      </c>
      <c r="P809" s="2">
        <v>0.44617734158187988</v>
      </c>
      <c r="R809" t="str">
        <f t="shared" si="36"/>
        <v>yes</v>
      </c>
      <c r="S809" t="str">
        <f t="shared" si="37"/>
        <v>no</v>
      </c>
      <c r="T8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9" s="2" t="b">
        <f t="shared" si="38"/>
        <v>0</v>
      </c>
      <c r="V809" s="2">
        <f>IF(Table4[[#This Row],[linear?]],Table4[[#This Row],[av]],10^(Table4[[#This Row],[av]]/10))</f>
        <v>408.05099806163383</v>
      </c>
      <c r="W809" s="2">
        <f>IF(Table4[[#This Row],[linear?]],Table4[[#This Row],[av]],10^(Table4[[#This Row],[av]]/10))</f>
        <v>408.05099806163383</v>
      </c>
      <c r="X809" s="2">
        <f>Table4[[#This Row],[av_lin]]-2*Table4[[#This Row],[std_lin]]</f>
        <v>-408.05099806163383</v>
      </c>
      <c r="Y809" s="2">
        <f>Table4[[#This Row],[av_lin]]+2*Table4[[#This Row],[std_lin]]</f>
        <v>1224.1529941849014</v>
      </c>
    </row>
    <row r="810" spans="1:25" x14ac:dyDescent="0.35">
      <c r="A810" s="1">
        <v>1409</v>
      </c>
      <c r="B810" t="s">
        <v>829</v>
      </c>
      <c r="C810" t="s">
        <v>253</v>
      </c>
      <c r="D810" t="s">
        <v>299</v>
      </c>
      <c r="E810" s="2">
        <v>0</v>
      </c>
      <c r="F810" s="2">
        <v>0</v>
      </c>
      <c r="G810">
        <v>27</v>
      </c>
      <c r="H810" t="s">
        <v>58</v>
      </c>
      <c r="M810" s="2">
        <v>0</v>
      </c>
      <c r="N810" s="2">
        <v>0</v>
      </c>
      <c r="O810" s="2">
        <v>0</v>
      </c>
      <c r="R810" t="str">
        <f t="shared" si="36"/>
        <v>yes</v>
      </c>
      <c r="S810" t="str">
        <f t="shared" si="37"/>
        <v>no</v>
      </c>
      <c r="T8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0" s="2" t="b">
        <f t="shared" si="38"/>
        <v>0</v>
      </c>
      <c r="V810" s="2">
        <f>IF(Table4[[#This Row],[linear?]],Table4[[#This Row],[av]],10^(Table4[[#This Row],[av]]/10))</f>
        <v>1</v>
      </c>
      <c r="W810" s="2">
        <f>IF(Table4[[#This Row],[linear?]],Table4[[#This Row],[av]],10^(Table4[[#This Row],[av]]/10))</f>
        <v>1</v>
      </c>
      <c r="X810" s="2">
        <f>Table4[[#This Row],[av_lin]]-2*Table4[[#This Row],[std_lin]]</f>
        <v>-1</v>
      </c>
      <c r="Y810" s="2">
        <f>Table4[[#This Row],[av_lin]]+2*Table4[[#This Row],[std_lin]]</f>
        <v>3</v>
      </c>
    </row>
    <row r="811" spans="1:25" x14ac:dyDescent="0.35">
      <c r="A811" s="1">
        <v>1410</v>
      </c>
      <c r="B811" t="s">
        <v>829</v>
      </c>
      <c r="C811" t="s">
        <v>253</v>
      </c>
      <c r="D811" t="s">
        <v>300</v>
      </c>
      <c r="E811" s="2">
        <v>0</v>
      </c>
      <c r="F811" s="2">
        <v>0</v>
      </c>
      <c r="G811">
        <v>27</v>
      </c>
      <c r="H811" t="s">
        <v>58</v>
      </c>
      <c r="M811" s="2">
        <v>0</v>
      </c>
      <c r="N811" s="2">
        <v>0</v>
      </c>
      <c r="O811" s="2">
        <v>0</v>
      </c>
      <c r="R811" t="str">
        <f t="shared" si="36"/>
        <v>yes</v>
      </c>
      <c r="S811" t="str">
        <f t="shared" si="37"/>
        <v>no</v>
      </c>
      <c r="T8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1" s="2" t="b">
        <f t="shared" si="38"/>
        <v>0</v>
      </c>
      <c r="V811" s="2">
        <f>IF(Table4[[#This Row],[linear?]],Table4[[#This Row],[av]],10^(Table4[[#This Row],[av]]/10))</f>
        <v>1</v>
      </c>
      <c r="W811" s="2">
        <f>IF(Table4[[#This Row],[linear?]],Table4[[#This Row],[av]],10^(Table4[[#This Row],[av]]/10))</f>
        <v>1</v>
      </c>
      <c r="X811" s="2">
        <f>Table4[[#This Row],[av_lin]]-2*Table4[[#This Row],[std_lin]]</f>
        <v>-1</v>
      </c>
      <c r="Y811" s="2">
        <f>Table4[[#This Row],[av_lin]]+2*Table4[[#This Row],[std_lin]]</f>
        <v>3</v>
      </c>
    </row>
    <row r="812" spans="1:25" x14ac:dyDescent="0.35">
      <c r="A812" s="1">
        <v>1411</v>
      </c>
      <c r="B812" t="s">
        <v>829</v>
      </c>
      <c r="C812" t="s">
        <v>253</v>
      </c>
      <c r="D812" t="s">
        <v>301</v>
      </c>
      <c r="E812" s="2">
        <v>7.8045481481481476</v>
      </c>
      <c r="F812" s="2">
        <v>16.431622008557959</v>
      </c>
      <c r="G812">
        <v>27</v>
      </c>
      <c r="H812" t="s">
        <v>58</v>
      </c>
      <c r="M812" s="2">
        <v>40.667792165264068</v>
      </c>
      <c r="N812" s="2">
        <v>-25.058695868967771</v>
      </c>
      <c r="O812" s="2">
        <v>65.726488034231835</v>
      </c>
      <c r="P812" s="2">
        <v>0.4749712562815383</v>
      </c>
      <c r="R812" t="str">
        <f t="shared" si="36"/>
        <v>yes</v>
      </c>
      <c r="S812" t="str">
        <f t="shared" si="37"/>
        <v>no</v>
      </c>
      <c r="T8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2" s="2" t="b">
        <f t="shared" si="38"/>
        <v>1</v>
      </c>
      <c r="V812" s="2">
        <f>IF(Table4[[#This Row],[linear?]],Table4[[#This Row],[av]],10^(Table4[[#This Row],[av]]/10))</f>
        <v>7.8045481481481476</v>
      </c>
      <c r="W812" s="2">
        <f>IF(Table4[[#This Row],[linear?]],Table4[[#This Row],[av]],10^(Table4[[#This Row],[av]]/10))</f>
        <v>7.8045481481481476</v>
      </c>
      <c r="X812" s="2">
        <f>Table4[[#This Row],[av_lin]]-2*Table4[[#This Row],[std_lin]]</f>
        <v>-7.8045481481481476</v>
      </c>
      <c r="Y812" s="2">
        <f>Table4[[#This Row],[av_lin]]+2*Table4[[#This Row],[std_lin]]</f>
        <v>23.413644444444444</v>
      </c>
    </row>
    <row r="813" spans="1:25" x14ac:dyDescent="0.35">
      <c r="A813" s="1">
        <v>1412</v>
      </c>
      <c r="B813" t="s">
        <v>829</v>
      </c>
      <c r="C813" t="s">
        <v>253</v>
      </c>
      <c r="D813" t="s">
        <v>302</v>
      </c>
      <c r="E813" s="2">
        <v>0</v>
      </c>
      <c r="F813" s="2">
        <v>0</v>
      </c>
      <c r="G813">
        <v>27</v>
      </c>
      <c r="H813" t="s">
        <v>58</v>
      </c>
      <c r="M813" s="2">
        <v>0</v>
      </c>
      <c r="N813" s="2">
        <v>0</v>
      </c>
      <c r="O813" s="2">
        <v>0</v>
      </c>
      <c r="R813" t="str">
        <f t="shared" si="36"/>
        <v>yes</v>
      </c>
      <c r="S813" t="str">
        <f t="shared" si="37"/>
        <v>no</v>
      </c>
      <c r="T8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3" s="2" t="b">
        <f t="shared" si="38"/>
        <v>0</v>
      </c>
      <c r="V813" s="2">
        <f>IF(Table4[[#This Row],[linear?]],Table4[[#This Row],[av]],10^(Table4[[#This Row],[av]]/10))</f>
        <v>1</v>
      </c>
      <c r="W813" s="2">
        <f>IF(Table4[[#This Row],[linear?]],Table4[[#This Row],[av]],10^(Table4[[#This Row],[av]]/10))</f>
        <v>1</v>
      </c>
      <c r="X813" s="2">
        <f>Table4[[#This Row],[av_lin]]-2*Table4[[#This Row],[std_lin]]</f>
        <v>-1</v>
      </c>
      <c r="Y813" s="2">
        <f>Table4[[#This Row],[av_lin]]+2*Table4[[#This Row],[std_lin]]</f>
        <v>3</v>
      </c>
    </row>
    <row r="814" spans="1:25" x14ac:dyDescent="0.35">
      <c r="A814" s="1">
        <v>1413</v>
      </c>
      <c r="B814" t="s">
        <v>829</v>
      </c>
      <c r="C814" t="s">
        <v>253</v>
      </c>
      <c r="D814" t="s">
        <v>303</v>
      </c>
      <c r="E814" s="2">
        <v>2.9957555555555562</v>
      </c>
      <c r="F814" s="2">
        <v>5.6045454517067581</v>
      </c>
      <c r="G814">
        <v>27</v>
      </c>
      <c r="H814" t="s">
        <v>58</v>
      </c>
      <c r="M814" s="2">
        <v>14.204846458969071</v>
      </c>
      <c r="N814" s="2">
        <v>-8.21333534785796</v>
      </c>
      <c r="O814" s="2">
        <v>22.418181806827029</v>
      </c>
      <c r="P814" s="2">
        <v>0.5345224838248489</v>
      </c>
      <c r="R814" t="str">
        <f t="shared" si="36"/>
        <v>yes</v>
      </c>
      <c r="S814" t="str">
        <f t="shared" si="37"/>
        <v>no</v>
      </c>
      <c r="T8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4" s="2" t="b">
        <f t="shared" si="38"/>
        <v>0</v>
      </c>
      <c r="V814" s="2">
        <f>IF(Table4[[#This Row],[linear?]],Table4[[#This Row],[av]],10^(Table4[[#This Row],[av]]/10))</f>
        <v>1.9933132588797982</v>
      </c>
      <c r="W814" s="2">
        <f>IF(Table4[[#This Row],[linear?]],Table4[[#This Row],[av]],10^(Table4[[#This Row],[av]]/10))</f>
        <v>1.9933132588797982</v>
      </c>
      <c r="X814" s="2">
        <f>Table4[[#This Row],[av_lin]]-2*Table4[[#This Row],[std_lin]]</f>
        <v>-1.9933132588797982</v>
      </c>
      <c r="Y814" s="2">
        <f>Table4[[#This Row],[av_lin]]+2*Table4[[#This Row],[std_lin]]</f>
        <v>5.9799397766393945</v>
      </c>
    </row>
    <row r="815" spans="1:25" x14ac:dyDescent="0.35">
      <c r="A815" s="1">
        <v>1414</v>
      </c>
      <c r="B815" t="s">
        <v>829</v>
      </c>
      <c r="C815" t="s">
        <v>253</v>
      </c>
      <c r="D815" t="s">
        <v>304</v>
      </c>
      <c r="E815" s="2">
        <v>0</v>
      </c>
      <c r="F815" s="2">
        <v>0</v>
      </c>
      <c r="G815">
        <v>27</v>
      </c>
      <c r="H815" t="s">
        <v>58</v>
      </c>
      <c r="M815" s="2">
        <v>0</v>
      </c>
      <c r="N815" s="2">
        <v>0</v>
      </c>
      <c r="O815" s="2">
        <v>0</v>
      </c>
      <c r="R815" t="str">
        <f t="shared" si="36"/>
        <v>yes</v>
      </c>
      <c r="S815" t="str">
        <f t="shared" si="37"/>
        <v>no</v>
      </c>
      <c r="T8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5" s="2" t="b">
        <f t="shared" si="38"/>
        <v>0</v>
      </c>
      <c r="V815" s="2">
        <f>IF(Table4[[#This Row],[linear?]],Table4[[#This Row],[av]],10^(Table4[[#This Row],[av]]/10))</f>
        <v>1</v>
      </c>
      <c r="W815" s="2">
        <f>IF(Table4[[#This Row],[linear?]],Table4[[#This Row],[av]],10^(Table4[[#This Row],[av]]/10))</f>
        <v>1</v>
      </c>
      <c r="X815" s="2">
        <f>Table4[[#This Row],[av_lin]]-2*Table4[[#This Row],[std_lin]]</f>
        <v>-1</v>
      </c>
      <c r="Y815" s="2">
        <f>Table4[[#This Row],[av_lin]]+2*Table4[[#This Row],[std_lin]]</f>
        <v>3</v>
      </c>
    </row>
    <row r="816" spans="1:25" x14ac:dyDescent="0.35">
      <c r="A816" s="1">
        <v>1415</v>
      </c>
      <c r="B816" t="s">
        <v>829</v>
      </c>
      <c r="C816" t="s">
        <v>253</v>
      </c>
      <c r="D816" t="s">
        <v>305</v>
      </c>
      <c r="E816" s="2">
        <v>9.6849037037037036</v>
      </c>
      <c r="F816" s="2">
        <v>18.245077643014191</v>
      </c>
      <c r="G816">
        <v>27</v>
      </c>
      <c r="H816" t="s">
        <v>58</v>
      </c>
      <c r="M816" s="2">
        <v>46.175058989732094</v>
      </c>
      <c r="N816" s="2">
        <v>-26.805251582324679</v>
      </c>
      <c r="O816" s="2">
        <v>72.980310572056766</v>
      </c>
      <c r="P816" s="2">
        <v>0.53082282757025867</v>
      </c>
      <c r="R816" t="str">
        <f t="shared" si="36"/>
        <v>yes</v>
      </c>
      <c r="S816" t="str">
        <f t="shared" si="37"/>
        <v>no</v>
      </c>
      <c r="T8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6" s="2" t="b">
        <f t="shared" si="38"/>
        <v>1</v>
      </c>
      <c r="V816" s="2">
        <f>IF(Table4[[#This Row],[linear?]],Table4[[#This Row],[av]],10^(Table4[[#This Row],[av]]/10))</f>
        <v>9.6849037037037036</v>
      </c>
      <c r="W816" s="2">
        <f>IF(Table4[[#This Row],[linear?]],Table4[[#This Row],[av]],10^(Table4[[#This Row],[av]]/10))</f>
        <v>9.6849037037037036</v>
      </c>
      <c r="X816" s="2">
        <f>Table4[[#This Row],[av_lin]]-2*Table4[[#This Row],[std_lin]]</f>
        <v>-9.6849037037037036</v>
      </c>
      <c r="Y816" s="2">
        <f>Table4[[#This Row],[av_lin]]+2*Table4[[#This Row],[std_lin]]</f>
        <v>29.054711111111111</v>
      </c>
    </row>
    <row r="817" spans="1:25" x14ac:dyDescent="0.35">
      <c r="A817" s="1">
        <v>1416</v>
      </c>
      <c r="B817" t="s">
        <v>829</v>
      </c>
      <c r="C817" t="s">
        <v>253</v>
      </c>
      <c r="D817" t="s">
        <v>306</v>
      </c>
      <c r="E817" s="2">
        <v>0</v>
      </c>
      <c r="F817" s="2">
        <v>0</v>
      </c>
      <c r="G817">
        <v>27</v>
      </c>
      <c r="H817" t="s">
        <v>58</v>
      </c>
      <c r="M817" s="2">
        <v>0</v>
      </c>
      <c r="N817" s="2">
        <v>0</v>
      </c>
      <c r="O817" s="2">
        <v>0</v>
      </c>
      <c r="R817" t="str">
        <f t="shared" si="36"/>
        <v>yes</v>
      </c>
      <c r="S817" t="str">
        <f t="shared" si="37"/>
        <v>no</v>
      </c>
      <c r="T8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7" s="2" t="b">
        <f t="shared" si="38"/>
        <v>0</v>
      </c>
      <c r="V817" s="2">
        <f>IF(Table4[[#This Row],[linear?]],Table4[[#This Row],[av]],10^(Table4[[#This Row],[av]]/10))</f>
        <v>1</v>
      </c>
      <c r="W817" s="2">
        <f>IF(Table4[[#This Row],[linear?]],Table4[[#This Row],[av]],10^(Table4[[#This Row],[av]]/10))</f>
        <v>1</v>
      </c>
      <c r="X817" s="2">
        <f>Table4[[#This Row],[av_lin]]-2*Table4[[#This Row],[std_lin]]</f>
        <v>-1</v>
      </c>
      <c r="Y817" s="2">
        <f>Table4[[#This Row],[av_lin]]+2*Table4[[#This Row],[std_lin]]</f>
        <v>3</v>
      </c>
    </row>
    <row r="818" spans="1:25" x14ac:dyDescent="0.35">
      <c r="A818" s="1">
        <v>1417</v>
      </c>
      <c r="B818" t="s">
        <v>829</v>
      </c>
      <c r="C818" t="s">
        <v>253</v>
      </c>
      <c r="D818" t="s">
        <v>307</v>
      </c>
      <c r="E818" s="2">
        <v>3.994340740740741</v>
      </c>
      <c r="F818" s="2">
        <v>6.1556924987129253</v>
      </c>
      <c r="G818">
        <v>27</v>
      </c>
      <c r="H818" t="s">
        <v>58</v>
      </c>
      <c r="M818" s="2">
        <v>16.30572573816659</v>
      </c>
      <c r="N818" s="2">
        <v>-8.3170442566851097</v>
      </c>
      <c r="O818" s="2">
        <v>24.622769994851701</v>
      </c>
      <c r="P818" s="2">
        <v>0.64888568452305007</v>
      </c>
      <c r="R818" t="str">
        <f t="shared" si="36"/>
        <v>yes</v>
      </c>
      <c r="S818" t="str">
        <f t="shared" si="37"/>
        <v>no</v>
      </c>
      <c r="T8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8" s="2" t="b">
        <f t="shared" si="38"/>
        <v>0</v>
      </c>
      <c r="V818" s="2">
        <f>IF(Table4[[#This Row],[linear?]],Table4[[#This Row],[av]],10^(Table4[[#This Row],[av]]/10))</f>
        <v>2.508615342615431</v>
      </c>
      <c r="W818" s="2">
        <f>IF(Table4[[#This Row],[linear?]],Table4[[#This Row],[av]],10^(Table4[[#This Row],[av]]/10))</f>
        <v>2.508615342615431</v>
      </c>
      <c r="X818" s="2">
        <f>Table4[[#This Row],[av_lin]]-2*Table4[[#This Row],[std_lin]]</f>
        <v>-2.508615342615431</v>
      </c>
      <c r="Y818" s="2">
        <f>Table4[[#This Row],[av_lin]]+2*Table4[[#This Row],[std_lin]]</f>
        <v>7.5258460278462929</v>
      </c>
    </row>
    <row r="819" spans="1:25" x14ac:dyDescent="0.35">
      <c r="A819" s="1">
        <v>1418</v>
      </c>
      <c r="B819" t="s">
        <v>829</v>
      </c>
      <c r="C819" t="s">
        <v>253</v>
      </c>
      <c r="D819" t="s">
        <v>308</v>
      </c>
      <c r="E819" s="2">
        <v>0</v>
      </c>
      <c r="F819" s="2">
        <v>0</v>
      </c>
      <c r="G819">
        <v>27</v>
      </c>
      <c r="H819" t="s">
        <v>58</v>
      </c>
      <c r="M819" s="2">
        <v>0</v>
      </c>
      <c r="N819" s="2">
        <v>0</v>
      </c>
      <c r="O819" s="2">
        <v>0</v>
      </c>
      <c r="R819" t="str">
        <f t="shared" si="36"/>
        <v>yes</v>
      </c>
      <c r="S819" t="str">
        <f t="shared" si="37"/>
        <v>no</v>
      </c>
      <c r="T8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9" s="2" t="b">
        <f t="shared" si="38"/>
        <v>0</v>
      </c>
      <c r="V819" s="2">
        <f>IF(Table4[[#This Row],[linear?]],Table4[[#This Row],[av]],10^(Table4[[#This Row],[av]]/10))</f>
        <v>1</v>
      </c>
      <c r="W819" s="2">
        <f>IF(Table4[[#This Row],[linear?]],Table4[[#This Row],[av]],10^(Table4[[#This Row],[av]]/10))</f>
        <v>1</v>
      </c>
      <c r="X819" s="2">
        <f>Table4[[#This Row],[av_lin]]-2*Table4[[#This Row],[std_lin]]</f>
        <v>-1</v>
      </c>
      <c r="Y819" s="2">
        <f>Table4[[#This Row],[av_lin]]+2*Table4[[#This Row],[std_lin]]</f>
        <v>3</v>
      </c>
    </row>
    <row r="820" spans="1:25" x14ac:dyDescent="0.35">
      <c r="A820" s="1">
        <v>1419</v>
      </c>
      <c r="B820" t="s">
        <v>829</v>
      </c>
      <c r="C820" t="s">
        <v>253</v>
      </c>
      <c r="D820" t="s">
        <v>309</v>
      </c>
      <c r="E820" s="2">
        <v>12.540518518518519</v>
      </c>
      <c r="F820" s="2">
        <v>19.751001805910111</v>
      </c>
      <c r="G820">
        <v>27</v>
      </c>
      <c r="H820" t="s">
        <v>58</v>
      </c>
      <c r="M820" s="2">
        <v>52.042522130338739</v>
      </c>
      <c r="N820" s="2">
        <v>-26.9614850933017</v>
      </c>
      <c r="O820" s="2">
        <v>79.004007223640443</v>
      </c>
      <c r="P820" s="2">
        <v>0.6349307565131207</v>
      </c>
      <c r="R820" t="str">
        <f t="shared" si="36"/>
        <v>yes</v>
      </c>
      <c r="S820" t="str">
        <f t="shared" si="37"/>
        <v>no</v>
      </c>
      <c r="T8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0" s="2" t="b">
        <f t="shared" si="38"/>
        <v>1</v>
      </c>
      <c r="V820" s="2">
        <f>IF(Table4[[#This Row],[linear?]],Table4[[#This Row],[av]],10^(Table4[[#This Row],[av]]/10))</f>
        <v>12.540518518518519</v>
      </c>
      <c r="W820" s="2">
        <f>IF(Table4[[#This Row],[linear?]],Table4[[#This Row],[av]],10^(Table4[[#This Row],[av]]/10))</f>
        <v>12.540518518518519</v>
      </c>
      <c r="X820" s="2">
        <f>Table4[[#This Row],[av_lin]]-2*Table4[[#This Row],[std_lin]]</f>
        <v>-12.540518518518519</v>
      </c>
      <c r="Y820" s="2">
        <f>Table4[[#This Row],[av_lin]]+2*Table4[[#This Row],[std_lin]]</f>
        <v>37.62155555555556</v>
      </c>
    </row>
    <row r="821" spans="1:25" x14ac:dyDescent="0.35">
      <c r="A821" s="1">
        <v>1420</v>
      </c>
      <c r="B821" t="s">
        <v>829</v>
      </c>
      <c r="C821" t="s">
        <v>253</v>
      </c>
      <c r="D821" t="s">
        <v>310</v>
      </c>
      <c r="E821" s="2">
        <v>0</v>
      </c>
      <c r="F821" s="2">
        <v>0</v>
      </c>
      <c r="G821">
        <v>27</v>
      </c>
      <c r="H821" t="s">
        <v>58</v>
      </c>
      <c r="M821" s="2">
        <v>0</v>
      </c>
      <c r="N821" s="2">
        <v>0</v>
      </c>
      <c r="O821" s="2">
        <v>0</v>
      </c>
      <c r="R821" t="str">
        <f t="shared" si="36"/>
        <v>yes</v>
      </c>
      <c r="S821" t="str">
        <f t="shared" si="37"/>
        <v>no</v>
      </c>
      <c r="T8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1" s="2" t="b">
        <f t="shared" si="38"/>
        <v>0</v>
      </c>
      <c r="V821" s="2">
        <f>IF(Table4[[#This Row],[linear?]],Table4[[#This Row],[av]],10^(Table4[[#This Row],[av]]/10))</f>
        <v>1</v>
      </c>
      <c r="W821" s="2">
        <f>IF(Table4[[#This Row],[linear?]],Table4[[#This Row],[av]],10^(Table4[[#This Row],[av]]/10))</f>
        <v>1</v>
      </c>
      <c r="X821" s="2">
        <f>Table4[[#This Row],[av_lin]]-2*Table4[[#This Row],[std_lin]]</f>
        <v>-1</v>
      </c>
      <c r="Y821" s="2">
        <f>Table4[[#This Row],[av_lin]]+2*Table4[[#This Row],[std_lin]]</f>
        <v>3</v>
      </c>
    </row>
    <row r="822" spans="1:25" x14ac:dyDescent="0.35">
      <c r="A822" s="1">
        <v>1421</v>
      </c>
      <c r="B822" t="s">
        <v>829</v>
      </c>
      <c r="C822" t="s">
        <v>253</v>
      </c>
      <c r="D822" t="s">
        <v>311</v>
      </c>
      <c r="E822" s="2">
        <v>2.9957555555555562</v>
      </c>
      <c r="F822" s="2">
        <v>5.6045454517067581</v>
      </c>
      <c r="G822">
        <v>27</v>
      </c>
      <c r="H822" t="s">
        <v>58</v>
      </c>
      <c r="M822" s="2">
        <v>14.204846458969071</v>
      </c>
      <c r="N822" s="2">
        <v>-8.21333534785796</v>
      </c>
      <c r="O822" s="2">
        <v>22.418181806827029</v>
      </c>
      <c r="P822" s="2">
        <v>0.5345224838248489</v>
      </c>
      <c r="R822" t="str">
        <f t="shared" si="36"/>
        <v>yes</v>
      </c>
      <c r="S822" t="str">
        <f t="shared" si="37"/>
        <v>no</v>
      </c>
      <c r="T8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2" s="2" t="b">
        <f t="shared" si="38"/>
        <v>0</v>
      </c>
      <c r="V822" s="2">
        <f>IF(Table4[[#This Row],[linear?]],Table4[[#This Row],[av]],10^(Table4[[#This Row],[av]]/10))</f>
        <v>1.9933132588797982</v>
      </c>
      <c r="W822" s="2">
        <f>IF(Table4[[#This Row],[linear?]],Table4[[#This Row],[av]],10^(Table4[[#This Row],[av]]/10))</f>
        <v>1.9933132588797982</v>
      </c>
      <c r="X822" s="2">
        <f>Table4[[#This Row],[av_lin]]-2*Table4[[#This Row],[std_lin]]</f>
        <v>-1.9933132588797982</v>
      </c>
      <c r="Y822" s="2">
        <f>Table4[[#This Row],[av_lin]]+2*Table4[[#This Row],[std_lin]]</f>
        <v>5.9799397766393945</v>
      </c>
    </row>
    <row r="823" spans="1:25" x14ac:dyDescent="0.35">
      <c r="A823" s="1">
        <v>1422</v>
      </c>
      <c r="B823" t="s">
        <v>829</v>
      </c>
      <c r="C823" t="s">
        <v>253</v>
      </c>
      <c r="D823" t="s">
        <v>312</v>
      </c>
      <c r="E823" s="2">
        <v>0</v>
      </c>
      <c r="F823" s="2">
        <v>0</v>
      </c>
      <c r="G823">
        <v>27</v>
      </c>
      <c r="H823" t="s">
        <v>58</v>
      </c>
      <c r="M823" s="2">
        <v>0</v>
      </c>
      <c r="N823" s="2">
        <v>0</v>
      </c>
      <c r="O823" s="2">
        <v>0</v>
      </c>
      <c r="R823" t="str">
        <f t="shared" si="36"/>
        <v>yes</v>
      </c>
      <c r="S823" t="str">
        <f t="shared" si="37"/>
        <v>no</v>
      </c>
      <c r="T8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3" s="2" t="b">
        <f t="shared" si="38"/>
        <v>0</v>
      </c>
      <c r="V823" s="2">
        <f>IF(Table4[[#This Row],[linear?]],Table4[[#This Row],[av]],10^(Table4[[#This Row],[av]]/10))</f>
        <v>1</v>
      </c>
      <c r="W823" s="2">
        <f>IF(Table4[[#This Row],[linear?]],Table4[[#This Row],[av]],10^(Table4[[#This Row],[av]]/10))</f>
        <v>1</v>
      </c>
      <c r="X823" s="2">
        <f>Table4[[#This Row],[av_lin]]-2*Table4[[#This Row],[std_lin]]</f>
        <v>-1</v>
      </c>
      <c r="Y823" s="2">
        <f>Table4[[#This Row],[av_lin]]+2*Table4[[#This Row],[std_lin]]</f>
        <v>3</v>
      </c>
    </row>
    <row r="824" spans="1:25" x14ac:dyDescent="0.35">
      <c r="A824" s="1">
        <v>1423</v>
      </c>
      <c r="B824" t="s">
        <v>829</v>
      </c>
      <c r="C824" t="s">
        <v>253</v>
      </c>
      <c r="D824" t="s">
        <v>313</v>
      </c>
      <c r="E824" s="2">
        <v>7.8746999999999998</v>
      </c>
      <c r="F824" s="2">
        <v>14.76680814163481</v>
      </c>
      <c r="G824">
        <v>27</v>
      </c>
      <c r="H824" t="s">
        <v>58</v>
      </c>
      <c r="M824" s="2">
        <v>37.40831628326962</v>
      </c>
      <c r="N824" s="2">
        <v>-21.658916283269619</v>
      </c>
      <c r="O824" s="2">
        <v>59.067232566539239</v>
      </c>
      <c r="P824" s="2">
        <v>0.53327028593250247</v>
      </c>
      <c r="R824" t="str">
        <f t="shared" si="36"/>
        <v>yes</v>
      </c>
      <c r="S824" t="str">
        <f t="shared" si="37"/>
        <v>no</v>
      </c>
      <c r="T8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4" s="2" t="b">
        <f t="shared" si="38"/>
        <v>1</v>
      </c>
      <c r="V824" s="2">
        <f>IF(Table4[[#This Row],[linear?]],Table4[[#This Row],[av]],10^(Table4[[#This Row],[av]]/10))</f>
        <v>7.8746999999999998</v>
      </c>
      <c r="W824" s="2">
        <f>IF(Table4[[#This Row],[linear?]],Table4[[#This Row],[av]],10^(Table4[[#This Row],[av]]/10))</f>
        <v>7.8746999999999998</v>
      </c>
      <c r="X824" s="2">
        <f>Table4[[#This Row],[av_lin]]-2*Table4[[#This Row],[std_lin]]</f>
        <v>-7.8746999999999998</v>
      </c>
      <c r="Y824" s="2">
        <f>Table4[[#This Row],[av_lin]]+2*Table4[[#This Row],[std_lin]]</f>
        <v>23.624099999999999</v>
      </c>
    </row>
    <row r="825" spans="1:25" x14ac:dyDescent="0.35">
      <c r="A825" s="1">
        <v>1424</v>
      </c>
      <c r="B825" t="s">
        <v>829</v>
      </c>
      <c r="C825" t="s">
        <v>253</v>
      </c>
      <c r="D825" t="s">
        <v>314</v>
      </c>
      <c r="E825" s="2">
        <v>0</v>
      </c>
      <c r="F825" s="2">
        <v>0</v>
      </c>
      <c r="G825">
        <v>27</v>
      </c>
      <c r="H825" t="s">
        <v>58</v>
      </c>
      <c r="M825" s="2">
        <v>0</v>
      </c>
      <c r="N825" s="2">
        <v>0</v>
      </c>
      <c r="O825" s="2">
        <v>0</v>
      </c>
      <c r="R825" t="str">
        <f t="shared" si="36"/>
        <v>yes</v>
      </c>
      <c r="S825" t="str">
        <f t="shared" si="37"/>
        <v>no</v>
      </c>
      <c r="T8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5" s="2" t="b">
        <f t="shared" si="38"/>
        <v>0</v>
      </c>
      <c r="V825" s="2">
        <f>IF(Table4[[#This Row],[linear?]],Table4[[#This Row],[av]],10^(Table4[[#This Row],[av]]/10))</f>
        <v>1</v>
      </c>
      <c r="W825" s="2">
        <f>IF(Table4[[#This Row],[linear?]],Table4[[#This Row],[av]],10^(Table4[[#This Row],[av]]/10))</f>
        <v>1</v>
      </c>
      <c r="X825" s="2">
        <f>Table4[[#This Row],[av_lin]]-2*Table4[[#This Row],[std_lin]]</f>
        <v>-1</v>
      </c>
      <c r="Y825" s="2">
        <f>Table4[[#This Row],[av_lin]]+2*Table4[[#This Row],[std_lin]]</f>
        <v>3</v>
      </c>
    </row>
    <row r="826" spans="1:25" x14ac:dyDescent="0.35">
      <c r="A826" s="1">
        <v>1425</v>
      </c>
      <c r="B826" t="s">
        <v>829</v>
      </c>
      <c r="C826" t="s">
        <v>253</v>
      </c>
      <c r="D826" t="s">
        <v>315</v>
      </c>
      <c r="E826" s="2">
        <v>3.994340740740741</v>
      </c>
      <c r="F826" s="2">
        <v>6.1556924987129253</v>
      </c>
      <c r="G826">
        <v>27</v>
      </c>
      <c r="H826" t="s">
        <v>58</v>
      </c>
      <c r="M826" s="2">
        <v>16.30572573816659</v>
      </c>
      <c r="N826" s="2">
        <v>-8.3170442566851097</v>
      </c>
      <c r="O826" s="2">
        <v>24.622769994851701</v>
      </c>
      <c r="P826" s="2">
        <v>0.64888568452305007</v>
      </c>
      <c r="R826" t="str">
        <f t="shared" si="36"/>
        <v>yes</v>
      </c>
      <c r="S826" t="str">
        <f t="shared" si="37"/>
        <v>no</v>
      </c>
      <c r="T8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6" s="2" t="b">
        <f t="shared" si="38"/>
        <v>0</v>
      </c>
      <c r="V826" s="2">
        <f>IF(Table4[[#This Row],[linear?]],Table4[[#This Row],[av]],10^(Table4[[#This Row],[av]]/10))</f>
        <v>2.508615342615431</v>
      </c>
      <c r="W826" s="2">
        <f>IF(Table4[[#This Row],[linear?]],Table4[[#This Row],[av]],10^(Table4[[#This Row],[av]]/10))</f>
        <v>2.508615342615431</v>
      </c>
      <c r="X826" s="2">
        <f>Table4[[#This Row],[av_lin]]-2*Table4[[#This Row],[std_lin]]</f>
        <v>-2.508615342615431</v>
      </c>
      <c r="Y826" s="2">
        <f>Table4[[#This Row],[av_lin]]+2*Table4[[#This Row],[std_lin]]</f>
        <v>7.5258460278462929</v>
      </c>
    </row>
    <row r="827" spans="1:25" x14ac:dyDescent="0.35">
      <c r="A827" s="1">
        <v>1426</v>
      </c>
      <c r="B827" t="s">
        <v>829</v>
      </c>
      <c r="C827" t="s">
        <v>253</v>
      </c>
      <c r="D827" t="s">
        <v>316</v>
      </c>
      <c r="E827" s="2">
        <v>0</v>
      </c>
      <c r="F827" s="2">
        <v>0</v>
      </c>
      <c r="G827">
        <v>27</v>
      </c>
      <c r="H827" t="s">
        <v>58</v>
      </c>
      <c r="M827" s="2">
        <v>0</v>
      </c>
      <c r="N827" s="2">
        <v>0</v>
      </c>
      <c r="O827" s="2">
        <v>0</v>
      </c>
      <c r="R827" t="str">
        <f t="shared" si="36"/>
        <v>yes</v>
      </c>
      <c r="S827" t="str">
        <f t="shared" si="37"/>
        <v>no</v>
      </c>
      <c r="T8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7" s="2" t="b">
        <f t="shared" si="38"/>
        <v>0</v>
      </c>
      <c r="V827" s="2">
        <f>IF(Table4[[#This Row],[linear?]],Table4[[#This Row],[av]],10^(Table4[[#This Row],[av]]/10))</f>
        <v>1</v>
      </c>
      <c r="W827" s="2">
        <f>IF(Table4[[#This Row],[linear?]],Table4[[#This Row],[av]],10^(Table4[[#This Row],[av]]/10))</f>
        <v>1</v>
      </c>
      <c r="X827" s="2">
        <f>Table4[[#This Row],[av_lin]]-2*Table4[[#This Row],[std_lin]]</f>
        <v>-1</v>
      </c>
      <c r="Y827" s="2">
        <f>Table4[[#This Row],[av_lin]]+2*Table4[[#This Row],[std_lin]]</f>
        <v>3</v>
      </c>
    </row>
    <row r="828" spans="1:25" x14ac:dyDescent="0.35">
      <c r="A828" s="1">
        <v>1427</v>
      </c>
      <c r="B828" t="s">
        <v>829</v>
      </c>
      <c r="C828" t="s">
        <v>253</v>
      </c>
      <c r="D828" t="s">
        <v>317</v>
      </c>
      <c r="E828" s="2">
        <v>10.836796296296299</v>
      </c>
      <c r="F828" s="2">
        <v>16.780344863724991</v>
      </c>
      <c r="G828">
        <v>27</v>
      </c>
      <c r="H828" t="s">
        <v>58</v>
      </c>
      <c r="M828" s="2">
        <v>44.397486023746282</v>
      </c>
      <c r="N828" s="2">
        <v>-22.72389343115368</v>
      </c>
      <c r="O828" s="2">
        <v>67.121379454899966</v>
      </c>
      <c r="P828" s="2">
        <v>0.64580295484408112</v>
      </c>
      <c r="R828" t="str">
        <f t="shared" si="36"/>
        <v>yes</v>
      </c>
      <c r="S828" t="str">
        <f t="shared" si="37"/>
        <v>no</v>
      </c>
      <c r="T8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8" s="2" t="b">
        <f t="shared" si="38"/>
        <v>1</v>
      </c>
      <c r="V828" s="2">
        <f>IF(Table4[[#This Row],[linear?]],Table4[[#This Row],[av]],10^(Table4[[#This Row],[av]]/10))</f>
        <v>10.836796296296299</v>
      </c>
      <c r="W828" s="2">
        <f>IF(Table4[[#This Row],[linear?]],Table4[[#This Row],[av]],10^(Table4[[#This Row],[av]]/10))</f>
        <v>10.836796296296299</v>
      </c>
      <c r="X828" s="2">
        <f>Table4[[#This Row],[av_lin]]-2*Table4[[#This Row],[std_lin]]</f>
        <v>-10.836796296296299</v>
      </c>
      <c r="Y828" s="2">
        <f>Table4[[#This Row],[av_lin]]+2*Table4[[#This Row],[std_lin]]</f>
        <v>32.510388888888897</v>
      </c>
    </row>
    <row r="829" spans="1:25" x14ac:dyDescent="0.35">
      <c r="A829" s="1">
        <v>1428</v>
      </c>
      <c r="B829" t="s">
        <v>829</v>
      </c>
      <c r="C829" t="s">
        <v>253</v>
      </c>
      <c r="D829" t="s">
        <v>318</v>
      </c>
      <c r="E829" s="2">
        <v>0</v>
      </c>
      <c r="F829" s="2">
        <v>0</v>
      </c>
      <c r="G829">
        <v>27</v>
      </c>
      <c r="H829" t="s">
        <v>58</v>
      </c>
      <c r="M829" s="2">
        <v>0</v>
      </c>
      <c r="N829" s="2">
        <v>0</v>
      </c>
      <c r="O829" s="2">
        <v>0</v>
      </c>
      <c r="R829" t="str">
        <f t="shared" si="36"/>
        <v>yes</v>
      </c>
      <c r="S829" t="str">
        <f t="shared" si="37"/>
        <v>no</v>
      </c>
      <c r="T8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9" s="2" t="b">
        <f t="shared" si="38"/>
        <v>0</v>
      </c>
      <c r="V829" s="2">
        <f>IF(Table4[[#This Row],[linear?]],Table4[[#This Row],[av]],10^(Table4[[#This Row],[av]]/10))</f>
        <v>1</v>
      </c>
      <c r="W829" s="2">
        <f>IF(Table4[[#This Row],[linear?]],Table4[[#This Row],[av]],10^(Table4[[#This Row],[av]]/10))</f>
        <v>1</v>
      </c>
      <c r="X829" s="2">
        <f>Table4[[#This Row],[av_lin]]-2*Table4[[#This Row],[std_lin]]</f>
        <v>-1</v>
      </c>
      <c r="Y829" s="2">
        <f>Table4[[#This Row],[av_lin]]+2*Table4[[#This Row],[std_lin]]</f>
        <v>3</v>
      </c>
    </row>
    <row r="830" spans="1:25" x14ac:dyDescent="0.35">
      <c r="A830" s="1">
        <v>1429</v>
      </c>
      <c r="B830" t="s">
        <v>829</v>
      </c>
      <c r="C830" t="s">
        <v>253</v>
      </c>
      <c r="D830" t="s">
        <v>319</v>
      </c>
      <c r="E830" s="2">
        <v>2.9957555555555562</v>
      </c>
      <c r="F830" s="2">
        <v>5.6045454517067581</v>
      </c>
      <c r="G830">
        <v>27</v>
      </c>
      <c r="H830" t="s">
        <v>58</v>
      </c>
      <c r="M830" s="2">
        <v>14.204846458969071</v>
      </c>
      <c r="N830" s="2">
        <v>-8.21333534785796</v>
      </c>
      <c r="O830" s="2">
        <v>22.418181806827029</v>
      </c>
      <c r="P830" s="2">
        <v>0.5345224838248489</v>
      </c>
      <c r="R830" t="str">
        <f t="shared" si="36"/>
        <v>yes</v>
      </c>
      <c r="S830" t="str">
        <f t="shared" si="37"/>
        <v>no</v>
      </c>
      <c r="T8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0" s="2" t="b">
        <f t="shared" si="38"/>
        <v>0</v>
      </c>
      <c r="V830" s="2">
        <f>IF(Table4[[#This Row],[linear?]],Table4[[#This Row],[av]],10^(Table4[[#This Row],[av]]/10))</f>
        <v>1.9933132588797982</v>
      </c>
      <c r="W830" s="2">
        <f>IF(Table4[[#This Row],[linear?]],Table4[[#This Row],[av]],10^(Table4[[#This Row],[av]]/10))</f>
        <v>1.9933132588797982</v>
      </c>
      <c r="X830" s="2">
        <f>Table4[[#This Row],[av_lin]]-2*Table4[[#This Row],[std_lin]]</f>
        <v>-1.9933132588797982</v>
      </c>
      <c r="Y830" s="2">
        <f>Table4[[#This Row],[av_lin]]+2*Table4[[#This Row],[std_lin]]</f>
        <v>5.9799397766393945</v>
      </c>
    </row>
    <row r="831" spans="1:25" x14ac:dyDescent="0.35">
      <c r="A831" s="1">
        <v>1430</v>
      </c>
      <c r="B831" t="s">
        <v>829</v>
      </c>
      <c r="C831" t="s">
        <v>253</v>
      </c>
      <c r="D831" t="s">
        <v>320</v>
      </c>
      <c r="E831" s="2">
        <v>0</v>
      </c>
      <c r="F831" s="2">
        <v>0</v>
      </c>
      <c r="G831">
        <v>27</v>
      </c>
      <c r="H831" t="s">
        <v>58</v>
      </c>
      <c r="M831" s="2">
        <v>0</v>
      </c>
      <c r="N831" s="2">
        <v>0</v>
      </c>
      <c r="O831" s="2">
        <v>0</v>
      </c>
      <c r="R831" t="str">
        <f t="shared" si="36"/>
        <v>yes</v>
      </c>
      <c r="S831" t="str">
        <f t="shared" si="37"/>
        <v>no</v>
      </c>
      <c r="T8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1" s="2" t="b">
        <f t="shared" si="38"/>
        <v>0</v>
      </c>
      <c r="V831" s="2">
        <f>IF(Table4[[#This Row],[linear?]],Table4[[#This Row],[av]],10^(Table4[[#This Row],[av]]/10))</f>
        <v>1</v>
      </c>
      <c r="W831" s="2">
        <f>IF(Table4[[#This Row],[linear?]],Table4[[#This Row],[av]],10^(Table4[[#This Row],[av]]/10))</f>
        <v>1</v>
      </c>
      <c r="X831" s="2">
        <f>Table4[[#This Row],[av_lin]]-2*Table4[[#This Row],[std_lin]]</f>
        <v>-1</v>
      </c>
      <c r="Y831" s="2">
        <f>Table4[[#This Row],[av_lin]]+2*Table4[[#This Row],[std_lin]]</f>
        <v>3</v>
      </c>
    </row>
    <row r="832" spans="1:25" x14ac:dyDescent="0.35">
      <c r="A832" s="1">
        <v>1431</v>
      </c>
      <c r="B832" t="s">
        <v>829</v>
      </c>
      <c r="C832" t="s">
        <v>253</v>
      </c>
      <c r="D832" t="s">
        <v>321</v>
      </c>
      <c r="E832" s="2">
        <v>9.3832037037037033</v>
      </c>
      <c r="F832" s="2">
        <v>17.692091006110751</v>
      </c>
      <c r="G832">
        <v>27</v>
      </c>
      <c r="H832" t="s">
        <v>58</v>
      </c>
      <c r="M832" s="2">
        <v>44.767385715925201</v>
      </c>
      <c r="N832" s="2">
        <v>-26.000978308517801</v>
      </c>
      <c r="O832" s="2">
        <v>70.768364024443002</v>
      </c>
      <c r="P832" s="2">
        <v>0.53036148754055112</v>
      </c>
      <c r="R832" t="str">
        <f t="shared" si="36"/>
        <v>yes</v>
      </c>
      <c r="S832" t="str">
        <f t="shared" si="37"/>
        <v>no</v>
      </c>
      <c r="T8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2" s="2" t="b">
        <f t="shared" si="38"/>
        <v>1</v>
      </c>
      <c r="V832" s="2">
        <f>IF(Table4[[#This Row],[linear?]],Table4[[#This Row],[av]],10^(Table4[[#This Row],[av]]/10))</f>
        <v>9.3832037037037033</v>
      </c>
      <c r="W832" s="2">
        <f>IF(Table4[[#This Row],[linear?]],Table4[[#This Row],[av]],10^(Table4[[#This Row],[av]]/10))</f>
        <v>9.3832037037037033</v>
      </c>
      <c r="X832" s="2">
        <f>Table4[[#This Row],[av_lin]]-2*Table4[[#This Row],[std_lin]]</f>
        <v>-9.3832037037037033</v>
      </c>
      <c r="Y832" s="2">
        <f>Table4[[#This Row],[av_lin]]+2*Table4[[#This Row],[std_lin]]</f>
        <v>28.14961111111111</v>
      </c>
    </row>
    <row r="833" spans="1:25" x14ac:dyDescent="0.35">
      <c r="A833" s="1">
        <v>1432</v>
      </c>
      <c r="B833" t="s">
        <v>829</v>
      </c>
      <c r="C833" t="s">
        <v>253</v>
      </c>
      <c r="D833" t="s">
        <v>322</v>
      </c>
      <c r="E833" s="2">
        <v>0</v>
      </c>
      <c r="F833" s="2">
        <v>0</v>
      </c>
      <c r="G833">
        <v>27</v>
      </c>
      <c r="H833" t="s">
        <v>58</v>
      </c>
      <c r="M833" s="2">
        <v>0</v>
      </c>
      <c r="N833" s="2">
        <v>0</v>
      </c>
      <c r="O833" s="2">
        <v>0</v>
      </c>
      <c r="R833" t="str">
        <f t="shared" si="36"/>
        <v>yes</v>
      </c>
      <c r="S833" t="str">
        <f t="shared" si="37"/>
        <v>no</v>
      </c>
      <c r="T8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3" s="2" t="b">
        <f t="shared" si="38"/>
        <v>0</v>
      </c>
      <c r="V833" s="2">
        <f>IF(Table4[[#This Row],[linear?]],Table4[[#This Row],[av]],10^(Table4[[#This Row],[av]]/10))</f>
        <v>1</v>
      </c>
      <c r="W833" s="2">
        <f>IF(Table4[[#This Row],[linear?]],Table4[[#This Row],[av]],10^(Table4[[#This Row],[av]]/10))</f>
        <v>1</v>
      </c>
      <c r="X833" s="2">
        <f>Table4[[#This Row],[av_lin]]-2*Table4[[#This Row],[std_lin]]</f>
        <v>-1</v>
      </c>
      <c r="Y833" s="2">
        <f>Table4[[#This Row],[av_lin]]+2*Table4[[#This Row],[std_lin]]</f>
        <v>3</v>
      </c>
    </row>
    <row r="834" spans="1:25" x14ac:dyDescent="0.35">
      <c r="A834" s="1">
        <v>1433</v>
      </c>
      <c r="B834" t="s">
        <v>829</v>
      </c>
      <c r="C834" t="s">
        <v>253</v>
      </c>
      <c r="D834" t="s">
        <v>323</v>
      </c>
      <c r="E834" s="2">
        <v>3.994340740740741</v>
      </c>
      <c r="F834" s="2">
        <v>6.1556924987129253</v>
      </c>
      <c r="G834">
        <v>27</v>
      </c>
      <c r="H834" t="s">
        <v>58</v>
      </c>
      <c r="M834" s="2">
        <v>16.30572573816659</v>
      </c>
      <c r="N834" s="2">
        <v>-8.3170442566851097</v>
      </c>
      <c r="O834" s="2">
        <v>24.622769994851701</v>
      </c>
      <c r="P834" s="2">
        <v>0.64888568452305007</v>
      </c>
      <c r="R834" t="str">
        <f t="shared" ref="R834:R897" si="39">IF(H834="yes","yes","no")</f>
        <v>yes</v>
      </c>
      <c r="S834" t="str">
        <f t="shared" ref="S834:S897" si="40">IF(I834,"yes","no")</f>
        <v>no</v>
      </c>
      <c r="T8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4" s="2" t="b">
        <f t="shared" ref="U834:U897" si="41">NOT(ISNUMBER(SEARCH("RFIC*POWER", D834)))</f>
        <v>0</v>
      </c>
      <c r="V834" s="2">
        <f>IF(Table4[[#This Row],[linear?]],Table4[[#This Row],[av]],10^(Table4[[#This Row],[av]]/10))</f>
        <v>2.508615342615431</v>
      </c>
      <c r="W834" s="2">
        <f>IF(Table4[[#This Row],[linear?]],Table4[[#This Row],[av]],10^(Table4[[#This Row],[av]]/10))</f>
        <v>2.508615342615431</v>
      </c>
      <c r="X834" s="2">
        <f>Table4[[#This Row],[av_lin]]-2*Table4[[#This Row],[std_lin]]</f>
        <v>-2.508615342615431</v>
      </c>
      <c r="Y834" s="2">
        <f>Table4[[#This Row],[av_lin]]+2*Table4[[#This Row],[std_lin]]</f>
        <v>7.5258460278462929</v>
      </c>
    </row>
    <row r="835" spans="1:25" x14ac:dyDescent="0.35">
      <c r="A835" s="1">
        <v>1434</v>
      </c>
      <c r="B835" t="s">
        <v>829</v>
      </c>
      <c r="C835" t="s">
        <v>253</v>
      </c>
      <c r="D835" t="s">
        <v>324</v>
      </c>
      <c r="E835" s="2">
        <v>0</v>
      </c>
      <c r="F835" s="2">
        <v>0</v>
      </c>
      <c r="G835">
        <v>27</v>
      </c>
      <c r="H835" t="s">
        <v>58</v>
      </c>
      <c r="M835" s="2">
        <v>0</v>
      </c>
      <c r="N835" s="2">
        <v>0</v>
      </c>
      <c r="O835" s="2">
        <v>0</v>
      </c>
      <c r="R835" t="str">
        <f t="shared" si="39"/>
        <v>yes</v>
      </c>
      <c r="S835" t="str">
        <f t="shared" si="40"/>
        <v>no</v>
      </c>
      <c r="T8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5" s="2" t="b">
        <f t="shared" si="41"/>
        <v>0</v>
      </c>
      <c r="V835" s="2">
        <f>IF(Table4[[#This Row],[linear?]],Table4[[#This Row],[av]],10^(Table4[[#This Row],[av]]/10))</f>
        <v>1</v>
      </c>
      <c r="W835" s="2">
        <f>IF(Table4[[#This Row],[linear?]],Table4[[#This Row],[av]],10^(Table4[[#This Row],[av]]/10))</f>
        <v>1</v>
      </c>
      <c r="X835" s="2">
        <f>Table4[[#This Row],[av_lin]]-2*Table4[[#This Row],[std_lin]]</f>
        <v>-1</v>
      </c>
      <c r="Y835" s="2">
        <f>Table4[[#This Row],[av_lin]]+2*Table4[[#This Row],[std_lin]]</f>
        <v>3</v>
      </c>
    </row>
    <row r="836" spans="1:25" x14ac:dyDescent="0.35">
      <c r="A836" s="1">
        <v>1435</v>
      </c>
      <c r="B836" t="s">
        <v>829</v>
      </c>
      <c r="C836" t="s">
        <v>253</v>
      </c>
      <c r="D836" t="s">
        <v>325</v>
      </c>
      <c r="E836" s="2">
        <v>10.67706666666667</v>
      </c>
      <c r="F836" s="2">
        <v>16.53681990443906</v>
      </c>
      <c r="G836">
        <v>27</v>
      </c>
      <c r="H836" t="s">
        <v>58</v>
      </c>
      <c r="M836" s="2">
        <v>43.750706475544789</v>
      </c>
      <c r="N836" s="2">
        <v>-22.396573142211452</v>
      </c>
      <c r="O836" s="2">
        <v>66.14727961775624</v>
      </c>
      <c r="P836" s="2">
        <v>0.64565416617983318</v>
      </c>
      <c r="R836" t="str">
        <f t="shared" si="39"/>
        <v>yes</v>
      </c>
      <c r="S836" t="str">
        <f t="shared" si="40"/>
        <v>no</v>
      </c>
      <c r="T8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6" s="2" t="b">
        <f t="shared" si="41"/>
        <v>1</v>
      </c>
      <c r="V836" s="2">
        <f>IF(Table4[[#This Row],[linear?]],Table4[[#This Row],[av]],10^(Table4[[#This Row],[av]]/10))</f>
        <v>10.67706666666667</v>
      </c>
      <c r="W836" s="2">
        <f>IF(Table4[[#This Row],[linear?]],Table4[[#This Row],[av]],10^(Table4[[#This Row],[av]]/10))</f>
        <v>10.67706666666667</v>
      </c>
      <c r="X836" s="2">
        <f>Table4[[#This Row],[av_lin]]-2*Table4[[#This Row],[std_lin]]</f>
        <v>-10.67706666666667</v>
      </c>
      <c r="Y836" s="2">
        <f>Table4[[#This Row],[av_lin]]+2*Table4[[#This Row],[std_lin]]</f>
        <v>32.031200000000013</v>
      </c>
    </row>
    <row r="837" spans="1:25" x14ac:dyDescent="0.35">
      <c r="A837" s="1">
        <v>1436</v>
      </c>
      <c r="B837" t="s">
        <v>829</v>
      </c>
      <c r="C837" t="s">
        <v>253</v>
      </c>
      <c r="D837" t="s">
        <v>326</v>
      </c>
      <c r="E837" s="2">
        <v>32.398551851851849</v>
      </c>
      <c r="F837" s="2">
        <v>67.997800796868717</v>
      </c>
      <c r="G837">
        <v>27</v>
      </c>
      <c r="H837" t="s">
        <v>58</v>
      </c>
      <c r="M837" s="2">
        <v>168.3941534455893</v>
      </c>
      <c r="N837" s="2">
        <v>-103.5970497418856</v>
      </c>
      <c r="O837" s="2">
        <v>271.99120318747492</v>
      </c>
      <c r="P837" s="2">
        <v>0.4764647013899278</v>
      </c>
      <c r="R837" t="str">
        <f t="shared" si="39"/>
        <v>yes</v>
      </c>
      <c r="S837" t="str">
        <f t="shared" si="40"/>
        <v>no</v>
      </c>
      <c r="T8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7" s="2" t="b">
        <f t="shared" si="41"/>
        <v>0</v>
      </c>
      <c r="V837" s="2">
        <f>IF(Table4[[#This Row],[linear?]],Table4[[#This Row],[av]],10^(Table4[[#This Row],[av]]/10))</f>
        <v>1737.2214583851469</v>
      </c>
      <c r="W837" s="2">
        <f>IF(Table4[[#This Row],[linear?]],Table4[[#This Row],[av]],10^(Table4[[#This Row],[av]]/10))</f>
        <v>1737.2214583851469</v>
      </c>
      <c r="X837" s="2">
        <f>Table4[[#This Row],[av_lin]]-2*Table4[[#This Row],[std_lin]]</f>
        <v>-1737.2214583851469</v>
      </c>
      <c r="Y837" s="2">
        <f>Table4[[#This Row],[av_lin]]+2*Table4[[#This Row],[std_lin]]</f>
        <v>5211.6643751554402</v>
      </c>
    </row>
    <row r="838" spans="1:25" x14ac:dyDescent="0.35">
      <c r="A838" s="1">
        <v>1437</v>
      </c>
      <c r="B838" t="s">
        <v>829</v>
      </c>
      <c r="C838" t="s">
        <v>253</v>
      </c>
      <c r="D838" t="s">
        <v>327</v>
      </c>
      <c r="E838" s="2">
        <v>0</v>
      </c>
      <c r="F838" s="2">
        <v>0</v>
      </c>
      <c r="G838">
        <v>27</v>
      </c>
      <c r="H838" t="s">
        <v>58</v>
      </c>
      <c r="M838" s="2">
        <v>0</v>
      </c>
      <c r="N838" s="2">
        <v>0</v>
      </c>
      <c r="O838" s="2">
        <v>0</v>
      </c>
      <c r="R838" t="str">
        <f t="shared" si="39"/>
        <v>yes</v>
      </c>
      <c r="S838" t="str">
        <f t="shared" si="40"/>
        <v>no</v>
      </c>
      <c r="T8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8" s="2" t="b">
        <f t="shared" si="41"/>
        <v>0</v>
      </c>
      <c r="V838" s="2">
        <f>IF(Table4[[#This Row],[linear?]],Table4[[#This Row],[av]],10^(Table4[[#This Row],[av]]/10))</f>
        <v>1</v>
      </c>
      <c r="W838" s="2">
        <f>IF(Table4[[#This Row],[linear?]],Table4[[#This Row],[av]],10^(Table4[[#This Row],[av]]/10))</f>
        <v>1</v>
      </c>
      <c r="X838" s="2">
        <f>Table4[[#This Row],[av_lin]]-2*Table4[[#This Row],[std_lin]]</f>
        <v>-1</v>
      </c>
      <c r="Y838" s="2">
        <f>Table4[[#This Row],[av_lin]]+2*Table4[[#This Row],[std_lin]]</f>
        <v>3</v>
      </c>
    </row>
    <row r="839" spans="1:25" x14ac:dyDescent="0.35">
      <c r="A839" s="1">
        <v>1438</v>
      </c>
      <c r="B839" t="s">
        <v>829</v>
      </c>
      <c r="C839" t="s">
        <v>253</v>
      </c>
      <c r="D839" t="s">
        <v>328</v>
      </c>
      <c r="E839" s="2">
        <v>0</v>
      </c>
      <c r="F839" s="2">
        <v>0</v>
      </c>
      <c r="G839">
        <v>27</v>
      </c>
      <c r="H839" t="s">
        <v>58</v>
      </c>
      <c r="M839" s="2">
        <v>0</v>
      </c>
      <c r="N839" s="2">
        <v>0</v>
      </c>
      <c r="O839" s="2">
        <v>0</v>
      </c>
      <c r="R839" t="str">
        <f t="shared" si="39"/>
        <v>yes</v>
      </c>
      <c r="S839" t="str">
        <f t="shared" si="40"/>
        <v>no</v>
      </c>
      <c r="T8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9" s="2" t="b">
        <f t="shared" si="41"/>
        <v>0</v>
      </c>
      <c r="V839" s="2">
        <f>IF(Table4[[#This Row],[linear?]],Table4[[#This Row],[av]],10^(Table4[[#This Row],[av]]/10))</f>
        <v>1</v>
      </c>
      <c r="W839" s="2">
        <f>IF(Table4[[#This Row],[linear?]],Table4[[#This Row],[av]],10^(Table4[[#This Row],[av]]/10))</f>
        <v>1</v>
      </c>
      <c r="X839" s="2">
        <f>Table4[[#This Row],[av_lin]]-2*Table4[[#This Row],[std_lin]]</f>
        <v>-1</v>
      </c>
      <c r="Y839" s="2">
        <f>Table4[[#This Row],[av_lin]]+2*Table4[[#This Row],[std_lin]]</f>
        <v>3</v>
      </c>
    </row>
    <row r="840" spans="1:25" x14ac:dyDescent="0.35">
      <c r="A840" s="1">
        <v>1439</v>
      </c>
      <c r="B840" t="s">
        <v>829</v>
      </c>
      <c r="C840" t="s">
        <v>253</v>
      </c>
      <c r="D840" t="s">
        <v>329</v>
      </c>
      <c r="E840" s="2">
        <v>6.9704296296296304</v>
      </c>
      <c r="F840" s="2">
        <v>14.693586156168671</v>
      </c>
      <c r="G840">
        <v>27</v>
      </c>
      <c r="H840" t="s">
        <v>58</v>
      </c>
      <c r="M840" s="2">
        <v>36.357601941966969</v>
      </c>
      <c r="N840" s="2">
        <v>-22.41674268270771</v>
      </c>
      <c r="O840" s="2">
        <v>58.774344624674683</v>
      </c>
      <c r="P840" s="2">
        <v>0.47438586846978131</v>
      </c>
      <c r="R840" t="str">
        <f t="shared" si="39"/>
        <v>yes</v>
      </c>
      <c r="S840" t="str">
        <f t="shared" si="40"/>
        <v>no</v>
      </c>
      <c r="T8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0" s="2" t="b">
        <f t="shared" si="41"/>
        <v>1</v>
      </c>
      <c r="V840" s="2">
        <f>IF(Table4[[#This Row],[linear?]],Table4[[#This Row],[av]],10^(Table4[[#This Row],[av]]/10))</f>
        <v>6.9704296296296304</v>
      </c>
      <c r="W840" s="2">
        <f>IF(Table4[[#This Row],[linear?]],Table4[[#This Row],[av]],10^(Table4[[#This Row],[av]]/10))</f>
        <v>6.9704296296296304</v>
      </c>
      <c r="X840" s="2">
        <f>Table4[[#This Row],[av_lin]]-2*Table4[[#This Row],[std_lin]]</f>
        <v>-6.9704296296296304</v>
      </c>
      <c r="Y840" s="2">
        <f>Table4[[#This Row],[av_lin]]+2*Table4[[#This Row],[std_lin]]</f>
        <v>20.91128888888889</v>
      </c>
    </row>
    <row r="841" spans="1:25" x14ac:dyDescent="0.35">
      <c r="A841" s="1">
        <v>1440</v>
      </c>
      <c r="B841" t="s">
        <v>829</v>
      </c>
      <c r="C841" t="s">
        <v>253</v>
      </c>
      <c r="D841" t="s">
        <v>330</v>
      </c>
      <c r="E841" s="2">
        <v>27.735825925925919</v>
      </c>
      <c r="F841" s="2">
        <v>60.238440876124628</v>
      </c>
      <c r="G841">
        <v>27</v>
      </c>
      <c r="H841" t="s">
        <v>58</v>
      </c>
      <c r="M841" s="2">
        <v>148.21270767817521</v>
      </c>
      <c r="N841" s="2">
        <v>-92.741055826323333</v>
      </c>
      <c r="O841" s="2">
        <v>240.95376350449851</v>
      </c>
      <c r="P841" s="2">
        <v>0.46043399401658408</v>
      </c>
      <c r="R841" t="str">
        <f t="shared" si="39"/>
        <v>yes</v>
      </c>
      <c r="S841" t="str">
        <f t="shared" si="40"/>
        <v>no</v>
      </c>
      <c r="T8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1" s="2" t="b">
        <f t="shared" si="41"/>
        <v>0</v>
      </c>
      <c r="V841" s="2">
        <f>IF(Table4[[#This Row],[linear?]],Table4[[#This Row],[av]],10^(Table4[[#This Row],[av]]/10))</f>
        <v>593.72124926829702</v>
      </c>
      <c r="W841" s="2">
        <f>IF(Table4[[#This Row],[linear?]],Table4[[#This Row],[av]],10^(Table4[[#This Row],[av]]/10))</f>
        <v>593.72124926829702</v>
      </c>
      <c r="X841" s="2">
        <f>Table4[[#This Row],[av_lin]]-2*Table4[[#This Row],[std_lin]]</f>
        <v>-593.72124926829702</v>
      </c>
      <c r="Y841" s="2">
        <f>Table4[[#This Row],[av_lin]]+2*Table4[[#This Row],[std_lin]]</f>
        <v>1781.163747804891</v>
      </c>
    </row>
    <row r="842" spans="1:25" x14ac:dyDescent="0.35">
      <c r="A842" s="1">
        <v>1441</v>
      </c>
      <c r="B842" t="s">
        <v>829</v>
      </c>
      <c r="C842" t="s">
        <v>253</v>
      </c>
      <c r="D842" t="s">
        <v>331</v>
      </c>
      <c r="E842" s="2">
        <v>0</v>
      </c>
      <c r="F842" s="2">
        <v>0</v>
      </c>
      <c r="G842">
        <v>27</v>
      </c>
      <c r="H842" t="s">
        <v>58</v>
      </c>
      <c r="M842" s="2">
        <v>0</v>
      </c>
      <c r="N842" s="2">
        <v>0</v>
      </c>
      <c r="O842" s="2">
        <v>0</v>
      </c>
      <c r="R842" t="str">
        <f t="shared" si="39"/>
        <v>yes</v>
      </c>
      <c r="S842" t="str">
        <f t="shared" si="40"/>
        <v>no</v>
      </c>
      <c r="T8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2" s="2" t="b">
        <f t="shared" si="41"/>
        <v>0</v>
      </c>
      <c r="V842" s="2">
        <f>IF(Table4[[#This Row],[linear?]],Table4[[#This Row],[av]],10^(Table4[[#This Row],[av]]/10))</f>
        <v>1</v>
      </c>
      <c r="W842" s="2">
        <f>IF(Table4[[#This Row],[linear?]],Table4[[#This Row],[av]],10^(Table4[[#This Row],[av]]/10))</f>
        <v>1</v>
      </c>
      <c r="X842" s="2">
        <f>Table4[[#This Row],[av_lin]]-2*Table4[[#This Row],[std_lin]]</f>
        <v>-1</v>
      </c>
      <c r="Y842" s="2">
        <f>Table4[[#This Row],[av_lin]]+2*Table4[[#This Row],[std_lin]]</f>
        <v>3</v>
      </c>
    </row>
    <row r="843" spans="1:25" x14ac:dyDescent="0.35">
      <c r="A843" s="1">
        <v>1442</v>
      </c>
      <c r="B843" t="s">
        <v>829</v>
      </c>
      <c r="C843" t="s">
        <v>253</v>
      </c>
      <c r="D843" t="s">
        <v>332</v>
      </c>
      <c r="E843" s="2">
        <v>0</v>
      </c>
      <c r="F843" s="2">
        <v>0</v>
      </c>
      <c r="G843">
        <v>27</v>
      </c>
      <c r="H843" t="s">
        <v>58</v>
      </c>
      <c r="M843" s="2">
        <v>0</v>
      </c>
      <c r="N843" s="2">
        <v>0</v>
      </c>
      <c r="O843" s="2">
        <v>0</v>
      </c>
      <c r="R843" t="str">
        <f t="shared" si="39"/>
        <v>yes</v>
      </c>
      <c r="S843" t="str">
        <f t="shared" si="40"/>
        <v>no</v>
      </c>
      <c r="T8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3" s="2" t="b">
        <f t="shared" si="41"/>
        <v>0</v>
      </c>
      <c r="V843" s="2">
        <f>IF(Table4[[#This Row],[linear?]],Table4[[#This Row],[av]],10^(Table4[[#This Row],[av]]/10))</f>
        <v>1</v>
      </c>
      <c r="W843" s="2">
        <f>IF(Table4[[#This Row],[linear?]],Table4[[#This Row],[av]],10^(Table4[[#This Row],[av]]/10))</f>
        <v>1</v>
      </c>
      <c r="X843" s="2">
        <f>Table4[[#This Row],[av_lin]]-2*Table4[[#This Row],[std_lin]]</f>
        <v>-1</v>
      </c>
      <c r="Y843" s="2">
        <f>Table4[[#This Row],[av_lin]]+2*Table4[[#This Row],[std_lin]]</f>
        <v>3</v>
      </c>
    </row>
    <row r="844" spans="1:25" x14ac:dyDescent="0.35">
      <c r="A844" s="1">
        <v>1443</v>
      </c>
      <c r="B844" t="s">
        <v>829</v>
      </c>
      <c r="C844" t="s">
        <v>253</v>
      </c>
      <c r="D844" t="s">
        <v>333</v>
      </c>
      <c r="E844" s="2">
        <v>6.1185740740740746</v>
      </c>
      <c r="F844" s="2">
        <v>12.84899834570175</v>
      </c>
      <c r="G844">
        <v>27</v>
      </c>
      <c r="H844" t="s">
        <v>58</v>
      </c>
      <c r="M844" s="2">
        <v>31.816570765477579</v>
      </c>
      <c r="N844" s="2">
        <v>-19.579422617329421</v>
      </c>
      <c r="O844" s="2">
        <v>51.395993382806999</v>
      </c>
      <c r="P844" s="2">
        <v>0.47619074339136019</v>
      </c>
      <c r="R844" t="str">
        <f t="shared" si="39"/>
        <v>yes</v>
      </c>
      <c r="S844" t="str">
        <f t="shared" si="40"/>
        <v>no</v>
      </c>
      <c r="T8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4" s="2" t="b">
        <f t="shared" si="41"/>
        <v>1</v>
      </c>
      <c r="V844" s="2">
        <f>IF(Table4[[#This Row],[linear?]],Table4[[#This Row],[av]],10^(Table4[[#This Row],[av]]/10))</f>
        <v>6.1185740740740746</v>
      </c>
      <c r="W844" s="2">
        <f>IF(Table4[[#This Row],[linear?]],Table4[[#This Row],[av]],10^(Table4[[#This Row],[av]]/10))</f>
        <v>6.1185740740740746</v>
      </c>
      <c r="X844" s="2">
        <f>Table4[[#This Row],[av_lin]]-2*Table4[[#This Row],[std_lin]]</f>
        <v>-6.1185740740740746</v>
      </c>
      <c r="Y844" s="2">
        <f>Table4[[#This Row],[av_lin]]+2*Table4[[#This Row],[std_lin]]</f>
        <v>18.355722222222223</v>
      </c>
    </row>
    <row r="845" spans="1:25" x14ac:dyDescent="0.35">
      <c r="A845" s="1">
        <v>1444</v>
      </c>
      <c r="B845" t="s">
        <v>829</v>
      </c>
      <c r="C845" t="s">
        <v>253</v>
      </c>
      <c r="D845" t="s">
        <v>334</v>
      </c>
      <c r="E845" s="2">
        <v>33.198244444444441</v>
      </c>
      <c r="F845" s="2">
        <v>69.640748834164668</v>
      </c>
      <c r="G845">
        <v>27</v>
      </c>
      <c r="H845" t="s">
        <v>58</v>
      </c>
      <c r="M845" s="2">
        <v>172.47974211277381</v>
      </c>
      <c r="N845" s="2">
        <v>-106.0832532238849</v>
      </c>
      <c r="O845" s="2">
        <v>278.56299533665867</v>
      </c>
      <c r="P845" s="2">
        <v>0.47670717216868719</v>
      </c>
      <c r="R845" t="str">
        <f t="shared" si="39"/>
        <v>yes</v>
      </c>
      <c r="S845" t="str">
        <f t="shared" si="40"/>
        <v>no</v>
      </c>
      <c r="T8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5" s="2" t="b">
        <f t="shared" si="41"/>
        <v>0</v>
      </c>
      <c r="V845" s="2">
        <f>IF(Table4[[#This Row],[linear?]],Table4[[#This Row],[av]],10^(Table4[[#This Row],[av]]/10))</f>
        <v>2088.4517420011248</v>
      </c>
      <c r="W845" s="2">
        <f>IF(Table4[[#This Row],[linear?]],Table4[[#This Row],[av]],10^(Table4[[#This Row],[av]]/10))</f>
        <v>2088.4517420011248</v>
      </c>
      <c r="X845" s="2">
        <f>Table4[[#This Row],[av_lin]]-2*Table4[[#This Row],[std_lin]]</f>
        <v>-2088.4517420011248</v>
      </c>
      <c r="Y845" s="2">
        <f>Table4[[#This Row],[av_lin]]+2*Table4[[#This Row],[std_lin]]</f>
        <v>6265.3552260033739</v>
      </c>
    </row>
    <row r="846" spans="1:25" x14ac:dyDescent="0.35">
      <c r="A846" s="1">
        <v>1445</v>
      </c>
      <c r="B846" t="s">
        <v>829</v>
      </c>
      <c r="C846" t="s">
        <v>253</v>
      </c>
      <c r="D846" t="s">
        <v>335</v>
      </c>
      <c r="E846" s="2">
        <v>0</v>
      </c>
      <c r="F846" s="2">
        <v>0</v>
      </c>
      <c r="G846">
        <v>27</v>
      </c>
      <c r="H846" t="s">
        <v>58</v>
      </c>
      <c r="M846" s="2">
        <v>0</v>
      </c>
      <c r="N846" s="2">
        <v>0</v>
      </c>
      <c r="O846" s="2">
        <v>0</v>
      </c>
      <c r="R846" t="str">
        <f t="shared" si="39"/>
        <v>yes</v>
      </c>
      <c r="S846" t="str">
        <f t="shared" si="40"/>
        <v>no</v>
      </c>
      <c r="T8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6" s="2" t="b">
        <f t="shared" si="41"/>
        <v>0</v>
      </c>
      <c r="V846" s="2">
        <f>IF(Table4[[#This Row],[linear?]],Table4[[#This Row],[av]],10^(Table4[[#This Row],[av]]/10))</f>
        <v>1</v>
      </c>
      <c r="W846" s="2">
        <f>IF(Table4[[#This Row],[linear?]],Table4[[#This Row],[av]],10^(Table4[[#This Row],[av]]/10))</f>
        <v>1</v>
      </c>
      <c r="X846" s="2">
        <f>Table4[[#This Row],[av_lin]]-2*Table4[[#This Row],[std_lin]]</f>
        <v>-1</v>
      </c>
      <c r="Y846" s="2">
        <f>Table4[[#This Row],[av_lin]]+2*Table4[[#This Row],[std_lin]]</f>
        <v>3</v>
      </c>
    </row>
    <row r="847" spans="1:25" x14ac:dyDescent="0.35">
      <c r="A847" s="1">
        <v>1446</v>
      </c>
      <c r="B847" t="s">
        <v>829</v>
      </c>
      <c r="C847" t="s">
        <v>253</v>
      </c>
      <c r="D847" t="s">
        <v>336</v>
      </c>
      <c r="E847" s="2">
        <v>0</v>
      </c>
      <c r="F847" s="2">
        <v>0</v>
      </c>
      <c r="G847">
        <v>27</v>
      </c>
      <c r="H847" t="s">
        <v>58</v>
      </c>
      <c r="M847" s="2">
        <v>0</v>
      </c>
      <c r="N847" s="2">
        <v>0</v>
      </c>
      <c r="O847" s="2">
        <v>0</v>
      </c>
      <c r="R847" t="str">
        <f t="shared" si="39"/>
        <v>yes</v>
      </c>
      <c r="S847" t="str">
        <f t="shared" si="40"/>
        <v>no</v>
      </c>
      <c r="T8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7" s="2" t="b">
        <f t="shared" si="41"/>
        <v>0</v>
      </c>
      <c r="V847" s="2">
        <f>IF(Table4[[#This Row],[linear?]],Table4[[#This Row],[av]],10^(Table4[[#This Row],[av]]/10))</f>
        <v>1</v>
      </c>
      <c r="W847" s="2">
        <f>IF(Table4[[#This Row],[linear?]],Table4[[#This Row],[av]],10^(Table4[[#This Row],[av]]/10))</f>
        <v>1</v>
      </c>
      <c r="X847" s="2">
        <f>Table4[[#This Row],[av_lin]]-2*Table4[[#This Row],[std_lin]]</f>
        <v>-1</v>
      </c>
      <c r="Y847" s="2">
        <f>Table4[[#This Row],[av_lin]]+2*Table4[[#This Row],[std_lin]]</f>
        <v>3</v>
      </c>
    </row>
    <row r="848" spans="1:25" x14ac:dyDescent="0.35">
      <c r="A848" s="1">
        <v>1447</v>
      </c>
      <c r="B848" t="s">
        <v>829</v>
      </c>
      <c r="C848" t="s">
        <v>253</v>
      </c>
      <c r="D848" t="s">
        <v>337</v>
      </c>
      <c r="E848" s="2">
        <v>6.1008296296296303</v>
      </c>
      <c r="F848" s="2">
        <v>12.819383859083461</v>
      </c>
      <c r="G848">
        <v>27</v>
      </c>
      <c r="H848" t="s">
        <v>58</v>
      </c>
      <c r="M848" s="2">
        <v>31.739597347796551</v>
      </c>
      <c r="N848" s="2">
        <v>-19.537938088537292</v>
      </c>
      <c r="O848" s="2">
        <v>51.277535436333842</v>
      </c>
      <c r="P848" s="2">
        <v>0.47590661896802089</v>
      </c>
      <c r="R848" t="str">
        <f t="shared" si="39"/>
        <v>yes</v>
      </c>
      <c r="S848" t="str">
        <f t="shared" si="40"/>
        <v>no</v>
      </c>
      <c r="T8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8" s="2" t="b">
        <f t="shared" si="41"/>
        <v>1</v>
      </c>
      <c r="V848" s="2">
        <f>IF(Table4[[#This Row],[linear?]],Table4[[#This Row],[av]],10^(Table4[[#This Row],[av]]/10))</f>
        <v>6.1008296296296303</v>
      </c>
      <c r="W848" s="2">
        <f>IF(Table4[[#This Row],[linear?]],Table4[[#This Row],[av]],10^(Table4[[#This Row],[av]]/10))</f>
        <v>6.1008296296296303</v>
      </c>
      <c r="X848" s="2">
        <f>Table4[[#This Row],[av_lin]]-2*Table4[[#This Row],[std_lin]]</f>
        <v>-6.1008296296296303</v>
      </c>
      <c r="Y848" s="2">
        <f>Table4[[#This Row],[av_lin]]+2*Table4[[#This Row],[std_lin]]</f>
        <v>18.302488888888892</v>
      </c>
    </row>
    <row r="849" spans="1:25" x14ac:dyDescent="0.35">
      <c r="A849" s="1">
        <v>1448</v>
      </c>
      <c r="B849" t="s">
        <v>829</v>
      </c>
      <c r="C849" t="s">
        <v>253</v>
      </c>
      <c r="D849" t="s">
        <v>338</v>
      </c>
      <c r="E849" s="2">
        <v>26.99681851851852</v>
      </c>
      <c r="F849" s="2">
        <v>59.444755163354287</v>
      </c>
      <c r="G849">
        <v>27</v>
      </c>
      <c r="H849" t="s">
        <v>58</v>
      </c>
      <c r="M849" s="2">
        <v>145.8863288452271</v>
      </c>
      <c r="N849" s="2">
        <v>-91.892691808190051</v>
      </c>
      <c r="O849" s="2">
        <v>237.77902065341709</v>
      </c>
      <c r="P849" s="2">
        <v>0.45414971336548049</v>
      </c>
      <c r="R849" t="str">
        <f t="shared" si="39"/>
        <v>yes</v>
      </c>
      <c r="S849" t="str">
        <f t="shared" si="40"/>
        <v>no</v>
      </c>
      <c r="T8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9" s="2" t="b">
        <f t="shared" si="41"/>
        <v>0</v>
      </c>
      <c r="V849" s="2">
        <f>IF(Table4[[#This Row],[linear?]],Table4[[#This Row],[av]],10^(Table4[[#This Row],[av]]/10))</f>
        <v>500.82021675991825</v>
      </c>
      <c r="W849" s="2">
        <f>IF(Table4[[#This Row],[linear?]],Table4[[#This Row],[av]],10^(Table4[[#This Row],[av]]/10))</f>
        <v>500.82021675991825</v>
      </c>
      <c r="X849" s="2">
        <f>Table4[[#This Row],[av_lin]]-2*Table4[[#This Row],[std_lin]]</f>
        <v>-500.82021675991825</v>
      </c>
      <c r="Y849" s="2">
        <f>Table4[[#This Row],[av_lin]]+2*Table4[[#This Row],[std_lin]]</f>
        <v>1502.4606502797546</v>
      </c>
    </row>
    <row r="850" spans="1:25" x14ac:dyDescent="0.35">
      <c r="A850" s="1">
        <v>1449</v>
      </c>
      <c r="B850" t="s">
        <v>829</v>
      </c>
      <c r="C850" t="s">
        <v>253</v>
      </c>
      <c r="D850" t="s">
        <v>339</v>
      </c>
      <c r="E850" s="2">
        <v>0</v>
      </c>
      <c r="F850" s="2">
        <v>0</v>
      </c>
      <c r="G850">
        <v>27</v>
      </c>
      <c r="H850" t="s">
        <v>58</v>
      </c>
      <c r="M850" s="2">
        <v>0</v>
      </c>
      <c r="N850" s="2">
        <v>0</v>
      </c>
      <c r="O850" s="2">
        <v>0</v>
      </c>
      <c r="R850" t="str">
        <f t="shared" si="39"/>
        <v>yes</v>
      </c>
      <c r="S850" t="str">
        <f t="shared" si="40"/>
        <v>no</v>
      </c>
      <c r="T8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0" s="2" t="b">
        <f t="shared" si="41"/>
        <v>0</v>
      </c>
      <c r="V850" s="2">
        <f>IF(Table4[[#This Row],[linear?]],Table4[[#This Row],[av]],10^(Table4[[#This Row],[av]]/10))</f>
        <v>1</v>
      </c>
      <c r="W850" s="2">
        <f>IF(Table4[[#This Row],[linear?]],Table4[[#This Row],[av]],10^(Table4[[#This Row],[av]]/10))</f>
        <v>1</v>
      </c>
      <c r="X850" s="2">
        <f>Table4[[#This Row],[av_lin]]-2*Table4[[#This Row],[std_lin]]</f>
        <v>-1</v>
      </c>
      <c r="Y850" s="2">
        <f>Table4[[#This Row],[av_lin]]+2*Table4[[#This Row],[std_lin]]</f>
        <v>3</v>
      </c>
    </row>
    <row r="851" spans="1:25" x14ac:dyDescent="0.35">
      <c r="A851" s="1">
        <v>1450</v>
      </c>
      <c r="B851" t="s">
        <v>829</v>
      </c>
      <c r="C851" t="s">
        <v>253</v>
      </c>
      <c r="D851" t="s">
        <v>340</v>
      </c>
      <c r="E851" s="2">
        <v>0</v>
      </c>
      <c r="F851" s="2">
        <v>0</v>
      </c>
      <c r="G851">
        <v>27</v>
      </c>
      <c r="H851" t="s">
        <v>58</v>
      </c>
      <c r="M851" s="2">
        <v>0</v>
      </c>
      <c r="N851" s="2">
        <v>0</v>
      </c>
      <c r="O851" s="2">
        <v>0</v>
      </c>
      <c r="R851" t="str">
        <f t="shared" si="39"/>
        <v>yes</v>
      </c>
      <c r="S851" t="str">
        <f t="shared" si="40"/>
        <v>no</v>
      </c>
      <c r="T8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1" s="2" t="b">
        <f t="shared" si="41"/>
        <v>0</v>
      </c>
      <c r="V851" s="2">
        <f>IF(Table4[[#This Row],[linear?]],Table4[[#This Row],[av]],10^(Table4[[#This Row],[av]]/10))</f>
        <v>1</v>
      </c>
      <c r="W851" s="2">
        <f>IF(Table4[[#This Row],[linear?]],Table4[[#This Row],[av]],10^(Table4[[#This Row],[av]]/10))</f>
        <v>1</v>
      </c>
      <c r="X851" s="2">
        <f>Table4[[#This Row],[av_lin]]-2*Table4[[#This Row],[std_lin]]</f>
        <v>-1</v>
      </c>
      <c r="Y851" s="2">
        <f>Table4[[#This Row],[av_lin]]+2*Table4[[#This Row],[std_lin]]</f>
        <v>3</v>
      </c>
    </row>
    <row r="852" spans="1:25" x14ac:dyDescent="0.35">
      <c r="A852" s="1">
        <v>1451</v>
      </c>
      <c r="B852" t="s">
        <v>829</v>
      </c>
      <c r="C852" t="s">
        <v>253</v>
      </c>
      <c r="D852" t="s">
        <v>341</v>
      </c>
      <c r="E852" s="2">
        <v>6.9704333333333333</v>
      </c>
      <c r="F852" s="2">
        <v>14.6825949390073</v>
      </c>
      <c r="G852">
        <v>27</v>
      </c>
      <c r="H852" t="s">
        <v>58</v>
      </c>
      <c r="M852" s="2">
        <v>36.335623211347936</v>
      </c>
      <c r="N852" s="2">
        <v>-22.394756544681272</v>
      </c>
      <c r="O852" s="2">
        <v>58.730379756029208</v>
      </c>
      <c r="P852" s="2">
        <v>0.47474124037944809</v>
      </c>
      <c r="R852" t="str">
        <f t="shared" si="39"/>
        <v>yes</v>
      </c>
      <c r="S852" t="str">
        <f t="shared" si="40"/>
        <v>no</v>
      </c>
      <c r="T8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2" s="2" t="b">
        <f t="shared" si="41"/>
        <v>1</v>
      </c>
      <c r="V852" s="2">
        <f>IF(Table4[[#This Row],[linear?]],Table4[[#This Row],[av]],10^(Table4[[#This Row],[av]]/10))</f>
        <v>6.9704333333333333</v>
      </c>
      <c r="W852" s="2">
        <f>IF(Table4[[#This Row],[linear?]],Table4[[#This Row],[av]],10^(Table4[[#This Row],[av]]/10))</f>
        <v>6.9704333333333333</v>
      </c>
      <c r="X852" s="2">
        <f>Table4[[#This Row],[av_lin]]-2*Table4[[#This Row],[std_lin]]</f>
        <v>-6.9704333333333333</v>
      </c>
      <c r="Y852" s="2">
        <f>Table4[[#This Row],[av_lin]]+2*Table4[[#This Row],[std_lin]]</f>
        <v>20.911300000000001</v>
      </c>
    </row>
    <row r="853" spans="1:25" x14ac:dyDescent="0.35">
      <c r="A853" s="1">
        <v>1452</v>
      </c>
      <c r="B853" t="s">
        <v>829</v>
      </c>
      <c r="C853" t="s">
        <v>253</v>
      </c>
      <c r="D853" t="s">
        <v>342</v>
      </c>
      <c r="E853" s="2">
        <v>31.557803703703701</v>
      </c>
      <c r="F853" s="2">
        <v>66.394303018777507</v>
      </c>
      <c r="G853">
        <v>27</v>
      </c>
      <c r="H853" t="s">
        <v>58</v>
      </c>
      <c r="M853" s="2">
        <v>164.3464097412587</v>
      </c>
      <c r="N853" s="2">
        <v>-101.2308023338513</v>
      </c>
      <c r="O853" s="2">
        <v>265.57721207511003</v>
      </c>
      <c r="P853" s="2">
        <v>0.4753089085787765</v>
      </c>
      <c r="R853" t="str">
        <f t="shared" si="39"/>
        <v>yes</v>
      </c>
      <c r="S853" t="str">
        <f t="shared" si="40"/>
        <v>no</v>
      </c>
      <c r="T8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3" s="2" t="b">
        <f t="shared" si="41"/>
        <v>0</v>
      </c>
      <c r="V853" s="2">
        <f>IF(Table4[[#This Row],[linear?]],Table4[[#This Row],[av]],10^(Table4[[#This Row],[av]]/10))</f>
        <v>1431.4638021742464</v>
      </c>
      <c r="W853" s="2">
        <f>IF(Table4[[#This Row],[linear?]],Table4[[#This Row],[av]],10^(Table4[[#This Row],[av]]/10))</f>
        <v>1431.4638021742464</v>
      </c>
      <c r="X853" s="2">
        <f>Table4[[#This Row],[av_lin]]-2*Table4[[#This Row],[std_lin]]</f>
        <v>-1431.4638021742464</v>
      </c>
      <c r="Y853" s="2">
        <f>Table4[[#This Row],[av_lin]]+2*Table4[[#This Row],[std_lin]]</f>
        <v>4294.3914065227391</v>
      </c>
    </row>
    <row r="854" spans="1:25" x14ac:dyDescent="0.35">
      <c r="A854" s="1">
        <v>1453</v>
      </c>
      <c r="B854" t="s">
        <v>829</v>
      </c>
      <c r="C854" t="s">
        <v>253</v>
      </c>
      <c r="D854" t="s">
        <v>343</v>
      </c>
      <c r="E854" s="2">
        <v>0</v>
      </c>
      <c r="F854" s="2">
        <v>0</v>
      </c>
      <c r="G854">
        <v>27</v>
      </c>
      <c r="H854" t="s">
        <v>58</v>
      </c>
      <c r="M854" s="2">
        <v>0</v>
      </c>
      <c r="N854" s="2">
        <v>0</v>
      </c>
      <c r="O854" s="2">
        <v>0</v>
      </c>
      <c r="R854" t="str">
        <f t="shared" si="39"/>
        <v>yes</v>
      </c>
      <c r="S854" t="str">
        <f t="shared" si="40"/>
        <v>no</v>
      </c>
      <c r="T8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4" s="2" t="b">
        <f t="shared" si="41"/>
        <v>0</v>
      </c>
      <c r="V854" s="2">
        <f>IF(Table4[[#This Row],[linear?]],Table4[[#This Row],[av]],10^(Table4[[#This Row],[av]]/10))</f>
        <v>1</v>
      </c>
      <c r="W854" s="2">
        <f>IF(Table4[[#This Row],[linear?]],Table4[[#This Row],[av]],10^(Table4[[#This Row],[av]]/10))</f>
        <v>1</v>
      </c>
      <c r="X854" s="2">
        <f>Table4[[#This Row],[av_lin]]-2*Table4[[#This Row],[std_lin]]</f>
        <v>-1</v>
      </c>
      <c r="Y854" s="2">
        <f>Table4[[#This Row],[av_lin]]+2*Table4[[#This Row],[std_lin]]</f>
        <v>3</v>
      </c>
    </row>
    <row r="855" spans="1:25" x14ac:dyDescent="0.35">
      <c r="A855" s="1">
        <v>1454</v>
      </c>
      <c r="B855" t="s">
        <v>829</v>
      </c>
      <c r="C855" t="s">
        <v>253</v>
      </c>
      <c r="D855" t="s">
        <v>344</v>
      </c>
      <c r="E855" s="2">
        <v>0</v>
      </c>
      <c r="F855" s="2">
        <v>0</v>
      </c>
      <c r="G855">
        <v>27</v>
      </c>
      <c r="H855" t="s">
        <v>58</v>
      </c>
      <c r="M855" s="2">
        <v>0</v>
      </c>
      <c r="N855" s="2">
        <v>0</v>
      </c>
      <c r="O855" s="2">
        <v>0</v>
      </c>
      <c r="R855" t="str">
        <f t="shared" si="39"/>
        <v>yes</v>
      </c>
      <c r="S855" t="str">
        <f t="shared" si="40"/>
        <v>no</v>
      </c>
      <c r="T8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5" s="2" t="b">
        <f t="shared" si="41"/>
        <v>0</v>
      </c>
      <c r="V855" s="2">
        <f>IF(Table4[[#This Row],[linear?]],Table4[[#This Row],[av]],10^(Table4[[#This Row],[av]]/10))</f>
        <v>1</v>
      </c>
      <c r="W855" s="2">
        <f>IF(Table4[[#This Row],[linear?]],Table4[[#This Row],[av]],10^(Table4[[#This Row],[av]]/10))</f>
        <v>1</v>
      </c>
      <c r="X855" s="2">
        <f>Table4[[#This Row],[av_lin]]-2*Table4[[#This Row],[std_lin]]</f>
        <v>-1</v>
      </c>
      <c r="Y855" s="2">
        <f>Table4[[#This Row],[av_lin]]+2*Table4[[#This Row],[std_lin]]</f>
        <v>3</v>
      </c>
    </row>
    <row r="856" spans="1:25" x14ac:dyDescent="0.35">
      <c r="A856" s="1">
        <v>1455</v>
      </c>
      <c r="B856" t="s">
        <v>829</v>
      </c>
      <c r="C856" t="s">
        <v>253</v>
      </c>
      <c r="D856" t="s">
        <v>345</v>
      </c>
      <c r="E856" s="2">
        <v>7.4496074074074068</v>
      </c>
      <c r="F856" s="2">
        <v>15.68563510594908</v>
      </c>
      <c r="G856">
        <v>27</v>
      </c>
      <c r="H856" t="s">
        <v>58</v>
      </c>
      <c r="M856" s="2">
        <v>38.82087761930557</v>
      </c>
      <c r="N856" s="2">
        <v>-23.921662804490751</v>
      </c>
      <c r="O856" s="2">
        <v>62.742540423796328</v>
      </c>
      <c r="P856" s="2">
        <v>0.47493183139151313</v>
      </c>
      <c r="R856" t="str">
        <f t="shared" si="39"/>
        <v>yes</v>
      </c>
      <c r="S856" t="str">
        <f t="shared" si="40"/>
        <v>no</v>
      </c>
      <c r="T8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6" s="2" t="b">
        <f t="shared" si="41"/>
        <v>1</v>
      </c>
      <c r="V856" s="2">
        <f>IF(Table4[[#This Row],[linear?]],Table4[[#This Row],[av]],10^(Table4[[#This Row],[av]]/10))</f>
        <v>7.4496074074074068</v>
      </c>
      <c r="W856" s="2">
        <f>IF(Table4[[#This Row],[linear?]],Table4[[#This Row],[av]],10^(Table4[[#This Row],[av]]/10))</f>
        <v>7.4496074074074068</v>
      </c>
      <c r="X856" s="2">
        <f>Table4[[#This Row],[av_lin]]-2*Table4[[#This Row],[std_lin]]</f>
        <v>-7.4496074074074068</v>
      </c>
      <c r="Y856" s="2">
        <f>Table4[[#This Row],[av_lin]]+2*Table4[[#This Row],[std_lin]]</f>
        <v>22.348822222222221</v>
      </c>
    </row>
    <row r="857" spans="1:25" x14ac:dyDescent="0.35">
      <c r="A857" s="1">
        <v>1456</v>
      </c>
      <c r="B857" t="s">
        <v>829</v>
      </c>
      <c r="C857" t="s">
        <v>253</v>
      </c>
      <c r="D857" t="s">
        <v>346</v>
      </c>
      <c r="E857" s="2">
        <v>26.309255555555559</v>
      </c>
      <c r="F857" s="2">
        <v>58.711124888845212</v>
      </c>
      <c r="G857">
        <v>27</v>
      </c>
      <c r="H857" t="s">
        <v>58</v>
      </c>
      <c r="M857" s="2">
        <v>143.73150533324599</v>
      </c>
      <c r="N857" s="2">
        <v>-91.112994222134859</v>
      </c>
      <c r="O857" s="2">
        <v>234.84449955538079</v>
      </c>
      <c r="P857" s="2">
        <v>0.44811363443241009</v>
      </c>
      <c r="R857" t="str">
        <f t="shared" si="39"/>
        <v>yes</v>
      </c>
      <c r="S857" t="str">
        <f t="shared" si="40"/>
        <v>no</v>
      </c>
      <c r="T8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7" s="2" t="b">
        <f t="shared" si="41"/>
        <v>0</v>
      </c>
      <c r="V857" s="2">
        <f>IF(Table4[[#This Row],[linear?]],Table4[[#This Row],[av]],10^(Table4[[#This Row],[av]]/10))</f>
        <v>427.48960188257217</v>
      </c>
      <c r="W857" s="2">
        <f>IF(Table4[[#This Row],[linear?]],Table4[[#This Row],[av]],10^(Table4[[#This Row],[av]]/10))</f>
        <v>427.48960188257217</v>
      </c>
      <c r="X857" s="2">
        <f>Table4[[#This Row],[av_lin]]-2*Table4[[#This Row],[std_lin]]</f>
        <v>-427.48960188257217</v>
      </c>
      <c r="Y857" s="2">
        <f>Table4[[#This Row],[av_lin]]+2*Table4[[#This Row],[std_lin]]</f>
        <v>1282.4688056477166</v>
      </c>
    </row>
    <row r="858" spans="1:25" x14ac:dyDescent="0.35">
      <c r="A858" s="1">
        <v>1457</v>
      </c>
      <c r="B858" t="s">
        <v>829</v>
      </c>
      <c r="C858" t="s">
        <v>253</v>
      </c>
      <c r="D858" t="s">
        <v>347</v>
      </c>
      <c r="E858" s="2">
        <v>0</v>
      </c>
      <c r="F858" s="2">
        <v>0</v>
      </c>
      <c r="G858">
        <v>27</v>
      </c>
      <c r="H858" t="s">
        <v>58</v>
      </c>
      <c r="M858" s="2">
        <v>0</v>
      </c>
      <c r="N858" s="2">
        <v>0</v>
      </c>
      <c r="O858" s="2">
        <v>0</v>
      </c>
      <c r="R858" t="str">
        <f t="shared" si="39"/>
        <v>yes</v>
      </c>
      <c r="S858" t="str">
        <f t="shared" si="40"/>
        <v>no</v>
      </c>
      <c r="T8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8" s="2" t="b">
        <f t="shared" si="41"/>
        <v>0</v>
      </c>
      <c r="V858" s="2">
        <f>IF(Table4[[#This Row],[linear?]],Table4[[#This Row],[av]],10^(Table4[[#This Row],[av]]/10))</f>
        <v>1</v>
      </c>
      <c r="W858" s="2">
        <f>IF(Table4[[#This Row],[linear?]],Table4[[#This Row],[av]],10^(Table4[[#This Row],[av]]/10))</f>
        <v>1</v>
      </c>
      <c r="X858" s="2">
        <f>Table4[[#This Row],[av_lin]]-2*Table4[[#This Row],[std_lin]]</f>
        <v>-1</v>
      </c>
      <c r="Y858" s="2">
        <f>Table4[[#This Row],[av_lin]]+2*Table4[[#This Row],[std_lin]]</f>
        <v>3</v>
      </c>
    </row>
    <row r="859" spans="1:25" x14ac:dyDescent="0.35">
      <c r="A859" s="1">
        <v>1458</v>
      </c>
      <c r="B859" t="s">
        <v>829</v>
      </c>
      <c r="C859" t="s">
        <v>253</v>
      </c>
      <c r="D859" t="s">
        <v>348</v>
      </c>
      <c r="E859" s="2">
        <v>0</v>
      </c>
      <c r="F859" s="2">
        <v>0</v>
      </c>
      <c r="G859">
        <v>27</v>
      </c>
      <c r="H859" t="s">
        <v>58</v>
      </c>
      <c r="M859" s="2">
        <v>0</v>
      </c>
      <c r="N859" s="2">
        <v>0</v>
      </c>
      <c r="O859" s="2">
        <v>0</v>
      </c>
      <c r="R859" t="str">
        <f t="shared" si="39"/>
        <v>yes</v>
      </c>
      <c r="S859" t="str">
        <f t="shared" si="40"/>
        <v>no</v>
      </c>
      <c r="T8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9" s="2" t="b">
        <f t="shared" si="41"/>
        <v>0</v>
      </c>
      <c r="V859" s="2">
        <f>IF(Table4[[#This Row],[linear?]],Table4[[#This Row],[av]],10^(Table4[[#This Row],[av]]/10))</f>
        <v>1</v>
      </c>
      <c r="W859" s="2">
        <f>IF(Table4[[#This Row],[linear?]],Table4[[#This Row],[av]],10^(Table4[[#This Row],[av]]/10))</f>
        <v>1</v>
      </c>
      <c r="X859" s="2">
        <f>Table4[[#This Row],[av_lin]]-2*Table4[[#This Row],[std_lin]]</f>
        <v>-1</v>
      </c>
      <c r="Y859" s="2">
        <f>Table4[[#This Row],[av_lin]]+2*Table4[[#This Row],[std_lin]]</f>
        <v>3</v>
      </c>
    </row>
    <row r="860" spans="1:25" x14ac:dyDescent="0.35">
      <c r="A860" s="1">
        <v>1459</v>
      </c>
      <c r="B860" t="s">
        <v>829</v>
      </c>
      <c r="C860" t="s">
        <v>253</v>
      </c>
      <c r="D860" t="s">
        <v>349</v>
      </c>
      <c r="E860" s="2">
        <v>5.8346111111111103</v>
      </c>
      <c r="F860" s="2">
        <v>12.248784813448751</v>
      </c>
      <c r="G860">
        <v>27</v>
      </c>
      <c r="H860" t="s">
        <v>58</v>
      </c>
      <c r="M860" s="2">
        <v>30.33218073800861</v>
      </c>
      <c r="N860" s="2">
        <v>-18.662958515786389</v>
      </c>
      <c r="O860" s="2">
        <v>48.995139253795003</v>
      </c>
      <c r="P860" s="2">
        <v>0.47634203718763229</v>
      </c>
      <c r="R860" t="str">
        <f t="shared" si="39"/>
        <v>yes</v>
      </c>
      <c r="S860" t="str">
        <f t="shared" si="40"/>
        <v>no</v>
      </c>
      <c r="T8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0" s="2" t="b">
        <f t="shared" si="41"/>
        <v>1</v>
      </c>
      <c r="V860" s="2">
        <f>IF(Table4[[#This Row],[linear?]],Table4[[#This Row],[av]],10^(Table4[[#This Row],[av]]/10))</f>
        <v>5.8346111111111103</v>
      </c>
      <c r="W860" s="2">
        <f>IF(Table4[[#This Row],[linear?]],Table4[[#This Row],[av]],10^(Table4[[#This Row],[av]]/10))</f>
        <v>5.8346111111111103</v>
      </c>
      <c r="X860" s="2">
        <f>Table4[[#This Row],[av_lin]]-2*Table4[[#This Row],[std_lin]]</f>
        <v>-5.8346111111111103</v>
      </c>
      <c r="Y860" s="2">
        <f>Table4[[#This Row],[av_lin]]+2*Table4[[#This Row],[std_lin]]</f>
        <v>17.503833333333333</v>
      </c>
    </row>
    <row r="861" spans="1:25" x14ac:dyDescent="0.35">
      <c r="A861" s="1">
        <v>1460</v>
      </c>
      <c r="B861" t="s">
        <v>829</v>
      </c>
      <c r="C861" t="s">
        <v>253</v>
      </c>
      <c r="D861" t="s">
        <v>350</v>
      </c>
      <c r="E861" s="2">
        <v>0</v>
      </c>
      <c r="F861" s="2">
        <v>0</v>
      </c>
      <c r="G861">
        <v>27</v>
      </c>
      <c r="H861" t="s">
        <v>58</v>
      </c>
      <c r="M861" s="2">
        <v>0</v>
      </c>
      <c r="N861" s="2">
        <v>0</v>
      </c>
      <c r="O861" s="2">
        <v>0</v>
      </c>
      <c r="R861" t="str">
        <f t="shared" si="39"/>
        <v>yes</v>
      </c>
      <c r="S861" t="str">
        <f t="shared" si="40"/>
        <v>no</v>
      </c>
      <c r="T8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1" s="2" t="b">
        <f t="shared" si="41"/>
        <v>0</v>
      </c>
      <c r="V861" s="2">
        <f>IF(Table4[[#This Row],[linear?]],Table4[[#This Row],[av]],10^(Table4[[#This Row],[av]]/10))</f>
        <v>1</v>
      </c>
      <c r="W861" s="2">
        <f>IF(Table4[[#This Row],[linear?]],Table4[[#This Row],[av]],10^(Table4[[#This Row],[av]]/10))</f>
        <v>1</v>
      </c>
      <c r="X861" s="2">
        <f>Table4[[#This Row],[av_lin]]-2*Table4[[#This Row],[std_lin]]</f>
        <v>-1</v>
      </c>
      <c r="Y861" s="2">
        <f>Table4[[#This Row],[av_lin]]+2*Table4[[#This Row],[std_lin]]</f>
        <v>3</v>
      </c>
    </row>
    <row r="862" spans="1:25" x14ac:dyDescent="0.35">
      <c r="A862" s="1">
        <v>1461</v>
      </c>
      <c r="B862" t="s">
        <v>829</v>
      </c>
      <c r="C862" t="s">
        <v>253</v>
      </c>
      <c r="D862" t="s">
        <v>351</v>
      </c>
      <c r="E862" s="2">
        <v>2.9957555555555562</v>
      </c>
      <c r="F862" s="2">
        <v>5.6045454517067581</v>
      </c>
      <c r="G862">
        <v>27</v>
      </c>
      <c r="H862" t="s">
        <v>58</v>
      </c>
      <c r="M862" s="2">
        <v>14.204846458969071</v>
      </c>
      <c r="N862" s="2">
        <v>-8.21333534785796</v>
      </c>
      <c r="O862" s="2">
        <v>22.418181806827029</v>
      </c>
      <c r="P862" s="2">
        <v>0.5345224838248489</v>
      </c>
      <c r="R862" t="str">
        <f t="shared" si="39"/>
        <v>yes</v>
      </c>
      <c r="S862" t="str">
        <f t="shared" si="40"/>
        <v>no</v>
      </c>
      <c r="T8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2" s="2" t="b">
        <f t="shared" si="41"/>
        <v>0</v>
      </c>
      <c r="V862" s="2">
        <f>IF(Table4[[#This Row],[linear?]],Table4[[#This Row],[av]],10^(Table4[[#This Row],[av]]/10))</f>
        <v>1.9933132588797982</v>
      </c>
      <c r="W862" s="2">
        <f>IF(Table4[[#This Row],[linear?]],Table4[[#This Row],[av]],10^(Table4[[#This Row],[av]]/10))</f>
        <v>1.9933132588797982</v>
      </c>
      <c r="X862" s="2">
        <f>Table4[[#This Row],[av_lin]]-2*Table4[[#This Row],[std_lin]]</f>
        <v>-1.9933132588797982</v>
      </c>
      <c r="Y862" s="2">
        <f>Table4[[#This Row],[av_lin]]+2*Table4[[#This Row],[std_lin]]</f>
        <v>5.9799397766393945</v>
      </c>
    </row>
    <row r="863" spans="1:25" x14ac:dyDescent="0.35">
      <c r="A863" s="1">
        <v>1462</v>
      </c>
      <c r="B863" t="s">
        <v>829</v>
      </c>
      <c r="C863" t="s">
        <v>253</v>
      </c>
      <c r="D863" t="s">
        <v>352</v>
      </c>
      <c r="E863" s="2">
        <v>0</v>
      </c>
      <c r="F863" s="2">
        <v>0</v>
      </c>
      <c r="G863">
        <v>27</v>
      </c>
      <c r="H863" t="s">
        <v>58</v>
      </c>
      <c r="M863" s="2">
        <v>0</v>
      </c>
      <c r="N863" s="2">
        <v>0</v>
      </c>
      <c r="O863" s="2">
        <v>0</v>
      </c>
      <c r="R863" t="str">
        <f t="shared" si="39"/>
        <v>yes</v>
      </c>
      <c r="S863" t="str">
        <f t="shared" si="40"/>
        <v>no</v>
      </c>
      <c r="T8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3" s="2" t="b">
        <f t="shared" si="41"/>
        <v>0</v>
      </c>
      <c r="V863" s="2">
        <f>IF(Table4[[#This Row],[linear?]],Table4[[#This Row],[av]],10^(Table4[[#This Row],[av]]/10))</f>
        <v>1</v>
      </c>
      <c r="W863" s="2">
        <f>IF(Table4[[#This Row],[linear?]],Table4[[#This Row],[av]],10^(Table4[[#This Row],[av]]/10))</f>
        <v>1</v>
      </c>
      <c r="X863" s="2">
        <f>Table4[[#This Row],[av_lin]]-2*Table4[[#This Row],[std_lin]]</f>
        <v>-1</v>
      </c>
      <c r="Y863" s="2">
        <f>Table4[[#This Row],[av_lin]]+2*Table4[[#This Row],[std_lin]]</f>
        <v>3</v>
      </c>
    </row>
    <row r="864" spans="1:25" x14ac:dyDescent="0.35">
      <c r="A864" s="1">
        <v>1463</v>
      </c>
      <c r="B864" t="s">
        <v>829</v>
      </c>
      <c r="C864" t="s">
        <v>253</v>
      </c>
      <c r="D864" t="s">
        <v>353</v>
      </c>
      <c r="E864" s="2">
        <v>9.1524925925925924</v>
      </c>
      <c r="F864" s="2">
        <v>17.219319130384321</v>
      </c>
      <c r="G864">
        <v>27</v>
      </c>
      <c r="H864" t="s">
        <v>58</v>
      </c>
      <c r="M864" s="2">
        <v>43.591130853361243</v>
      </c>
      <c r="N864" s="2">
        <v>-25.286145668176051</v>
      </c>
      <c r="O864" s="2">
        <v>68.877276521537283</v>
      </c>
      <c r="P864" s="2">
        <v>0.53152465107883251</v>
      </c>
      <c r="R864" t="str">
        <f t="shared" si="39"/>
        <v>yes</v>
      </c>
      <c r="S864" t="str">
        <f t="shared" si="40"/>
        <v>no</v>
      </c>
      <c r="T8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4" s="2" t="b">
        <f t="shared" si="41"/>
        <v>1</v>
      </c>
      <c r="V864" s="2">
        <f>IF(Table4[[#This Row],[linear?]],Table4[[#This Row],[av]],10^(Table4[[#This Row],[av]]/10))</f>
        <v>9.1524925925925924</v>
      </c>
      <c r="W864" s="2">
        <f>IF(Table4[[#This Row],[linear?]],Table4[[#This Row],[av]],10^(Table4[[#This Row],[av]]/10))</f>
        <v>9.1524925925925924</v>
      </c>
      <c r="X864" s="2">
        <f>Table4[[#This Row],[av_lin]]-2*Table4[[#This Row],[std_lin]]</f>
        <v>-9.1524925925925924</v>
      </c>
      <c r="Y864" s="2">
        <f>Table4[[#This Row],[av_lin]]+2*Table4[[#This Row],[std_lin]]</f>
        <v>27.457477777777775</v>
      </c>
    </row>
    <row r="865" spans="1:25" x14ac:dyDescent="0.35">
      <c r="A865" s="1">
        <v>1464</v>
      </c>
      <c r="B865" t="s">
        <v>829</v>
      </c>
      <c r="C865" t="s">
        <v>253</v>
      </c>
      <c r="D865" t="s">
        <v>354</v>
      </c>
      <c r="E865" s="2">
        <v>0</v>
      </c>
      <c r="F865" s="2">
        <v>0</v>
      </c>
      <c r="G865">
        <v>27</v>
      </c>
      <c r="H865" t="s">
        <v>58</v>
      </c>
      <c r="M865" s="2">
        <v>0</v>
      </c>
      <c r="N865" s="2">
        <v>0</v>
      </c>
      <c r="O865" s="2">
        <v>0</v>
      </c>
      <c r="R865" t="str">
        <f t="shared" si="39"/>
        <v>yes</v>
      </c>
      <c r="S865" t="str">
        <f t="shared" si="40"/>
        <v>no</v>
      </c>
      <c r="T8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5" s="2" t="b">
        <f t="shared" si="41"/>
        <v>0</v>
      </c>
      <c r="V865" s="2">
        <f>IF(Table4[[#This Row],[linear?]],Table4[[#This Row],[av]],10^(Table4[[#This Row],[av]]/10))</f>
        <v>1</v>
      </c>
      <c r="W865" s="2">
        <f>IF(Table4[[#This Row],[linear?]],Table4[[#This Row],[av]],10^(Table4[[#This Row],[av]]/10))</f>
        <v>1</v>
      </c>
      <c r="X865" s="2">
        <f>Table4[[#This Row],[av_lin]]-2*Table4[[#This Row],[std_lin]]</f>
        <v>-1</v>
      </c>
      <c r="Y865" s="2">
        <f>Table4[[#This Row],[av_lin]]+2*Table4[[#This Row],[std_lin]]</f>
        <v>3</v>
      </c>
    </row>
    <row r="866" spans="1:25" x14ac:dyDescent="0.35">
      <c r="A866" s="1">
        <v>1465</v>
      </c>
      <c r="B866" t="s">
        <v>829</v>
      </c>
      <c r="C866" t="s">
        <v>253</v>
      </c>
      <c r="D866" t="s">
        <v>355</v>
      </c>
      <c r="E866" s="2">
        <v>3.994340740740741</v>
      </c>
      <c r="F866" s="2">
        <v>6.1556924987129253</v>
      </c>
      <c r="G866">
        <v>27</v>
      </c>
      <c r="H866" t="s">
        <v>58</v>
      </c>
      <c r="M866" s="2">
        <v>16.30572573816659</v>
      </c>
      <c r="N866" s="2">
        <v>-8.3170442566851097</v>
      </c>
      <c r="O866" s="2">
        <v>24.622769994851701</v>
      </c>
      <c r="P866" s="2">
        <v>0.64888568452305007</v>
      </c>
      <c r="R866" t="str">
        <f t="shared" si="39"/>
        <v>yes</v>
      </c>
      <c r="S866" t="str">
        <f t="shared" si="40"/>
        <v>no</v>
      </c>
      <c r="T8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6" s="2" t="b">
        <f t="shared" si="41"/>
        <v>0</v>
      </c>
      <c r="V866" s="2">
        <f>IF(Table4[[#This Row],[linear?]],Table4[[#This Row],[av]],10^(Table4[[#This Row],[av]]/10))</f>
        <v>2.508615342615431</v>
      </c>
      <c r="W866" s="2">
        <f>IF(Table4[[#This Row],[linear?]],Table4[[#This Row],[av]],10^(Table4[[#This Row],[av]]/10))</f>
        <v>2.508615342615431</v>
      </c>
      <c r="X866" s="2">
        <f>Table4[[#This Row],[av_lin]]-2*Table4[[#This Row],[std_lin]]</f>
        <v>-2.508615342615431</v>
      </c>
      <c r="Y866" s="2">
        <f>Table4[[#This Row],[av_lin]]+2*Table4[[#This Row],[std_lin]]</f>
        <v>7.5258460278462929</v>
      </c>
    </row>
    <row r="867" spans="1:25" x14ac:dyDescent="0.35">
      <c r="A867" s="1">
        <v>1466</v>
      </c>
      <c r="B867" t="s">
        <v>829</v>
      </c>
      <c r="C867" t="s">
        <v>253</v>
      </c>
      <c r="D867" t="s">
        <v>356</v>
      </c>
      <c r="E867" s="2">
        <v>0</v>
      </c>
      <c r="F867" s="2">
        <v>0</v>
      </c>
      <c r="G867">
        <v>27</v>
      </c>
      <c r="H867" t="s">
        <v>58</v>
      </c>
      <c r="M867" s="2">
        <v>0</v>
      </c>
      <c r="N867" s="2">
        <v>0</v>
      </c>
      <c r="O867" s="2">
        <v>0</v>
      </c>
      <c r="R867" t="str">
        <f t="shared" si="39"/>
        <v>yes</v>
      </c>
      <c r="S867" t="str">
        <f t="shared" si="40"/>
        <v>no</v>
      </c>
      <c r="T8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7" s="2" t="b">
        <f t="shared" si="41"/>
        <v>0</v>
      </c>
      <c r="V867" s="2">
        <f>IF(Table4[[#This Row],[linear?]],Table4[[#This Row],[av]],10^(Table4[[#This Row],[av]]/10))</f>
        <v>1</v>
      </c>
      <c r="W867" s="2">
        <f>IF(Table4[[#This Row],[linear?]],Table4[[#This Row],[av]],10^(Table4[[#This Row],[av]]/10))</f>
        <v>1</v>
      </c>
      <c r="X867" s="2">
        <f>Table4[[#This Row],[av_lin]]-2*Table4[[#This Row],[std_lin]]</f>
        <v>-1</v>
      </c>
      <c r="Y867" s="2">
        <f>Table4[[#This Row],[av_lin]]+2*Table4[[#This Row],[std_lin]]</f>
        <v>3</v>
      </c>
    </row>
    <row r="868" spans="1:25" x14ac:dyDescent="0.35">
      <c r="A868" s="1">
        <v>1467</v>
      </c>
      <c r="B868" t="s">
        <v>829</v>
      </c>
      <c r="C868" t="s">
        <v>253</v>
      </c>
      <c r="D868" t="s">
        <v>357</v>
      </c>
      <c r="E868" s="2">
        <v>11.56442592592593</v>
      </c>
      <c r="F868" s="2">
        <v>17.994353387219629</v>
      </c>
      <c r="G868">
        <v>27</v>
      </c>
      <c r="H868" t="s">
        <v>58</v>
      </c>
      <c r="M868" s="2">
        <v>47.55313270036519</v>
      </c>
      <c r="N868" s="2">
        <v>-24.42428084851333</v>
      </c>
      <c r="O868" s="2">
        <v>71.977413548878516</v>
      </c>
      <c r="P868" s="2">
        <v>0.64266971294114339</v>
      </c>
      <c r="R868" t="str">
        <f t="shared" si="39"/>
        <v>yes</v>
      </c>
      <c r="S868" t="str">
        <f t="shared" si="40"/>
        <v>no</v>
      </c>
      <c r="T8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8" s="2" t="b">
        <f t="shared" si="41"/>
        <v>1</v>
      </c>
      <c r="V868" s="2">
        <f>IF(Table4[[#This Row],[linear?]],Table4[[#This Row],[av]],10^(Table4[[#This Row],[av]]/10))</f>
        <v>11.56442592592593</v>
      </c>
      <c r="W868" s="2">
        <f>IF(Table4[[#This Row],[linear?]],Table4[[#This Row],[av]],10^(Table4[[#This Row],[av]]/10))</f>
        <v>11.56442592592593</v>
      </c>
      <c r="X868" s="2">
        <f>Table4[[#This Row],[av_lin]]-2*Table4[[#This Row],[std_lin]]</f>
        <v>-11.56442592592593</v>
      </c>
      <c r="Y868" s="2">
        <f>Table4[[#This Row],[av_lin]]+2*Table4[[#This Row],[std_lin]]</f>
        <v>34.693277777777787</v>
      </c>
    </row>
    <row r="869" spans="1:25" x14ac:dyDescent="0.35">
      <c r="A869" s="1">
        <v>1468</v>
      </c>
      <c r="B869" t="s">
        <v>829</v>
      </c>
      <c r="C869" t="s">
        <v>253</v>
      </c>
      <c r="D869" t="s">
        <v>358</v>
      </c>
      <c r="E869" s="2">
        <v>0</v>
      </c>
      <c r="F869" s="2">
        <v>0</v>
      </c>
      <c r="G869">
        <v>27</v>
      </c>
      <c r="H869" t="s">
        <v>58</v>
      </c>
      <c r="M869" s="2">
        <v>0</v>
      </c>
      <c r="N869" s="2">
        <v>0</v>
      </c>
      <c r="O869" s="2">
        <v>0</v>
      </c>
      <c r="R869" t="str">
        <f t="shared" si="39"/>
        <v>yes</v>
      </c>
      <c r="S869" t="str">
        <f t="shared" si="40"/>
        <v>no</v>
      </c>
      <c r="T8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9" s="2" t="b">
        <f t="shared" si="41"/>
        <v>0</v>
      </c>
      <c r="V869" s="2">
        <f>IF(Table4[[#This Row],[linear?]],Table4[[#This Row],[av]],10^(Table4[[#This Row],[av]]/10))</f>
        <v>1</v>
      </c>
      <c r="W869" s="2">
        <f>IF(Table4[[#This Row],[linear?]],Table4[[#This Row],[av]],10^(Table4[[#This Row],[av]]/10))</f>
        <v>1</v>
      </c>
      <c r="X869" s="2">
        <f>Table4[[#This Row],[av_lin]]-2*Table4[[#This Row],[std_lin]]</f>
        <v>-1</v>
      </c>
      <c r="Y869" s="2">
        <f>Table4[[#This Row],[av_lin]]+2*Table4[[#This Row],[std_lin]]</f>
        <v>3</v>
      </c>
    </row>
    <row r="870" spans="1:25" x14ac:dyDescent="0.35">
      <c r="A870" s="1">
        <v>1469</v>
      </c>
      <c r="B870" t="s">
        <v>829</v>
      </c>
      <c r="C870" t="s">
        <v>253</v>
      </c>
      <c r="D870" t="s">
        <v>359</v>
      </c>
      <c r="E870" s="2">
        <v>2.9957555555555562</v>
      </c>
      <c r="F870" s="2">
        <v>5.6045454517067581</v>
      </c>
      <c r="G870">
        <v>27</v>
      </c>
      <c r="H870" t="s">
        <v>58</v>
      </c>
      <c r="M870" s="2">
        <v>14.204846458969071</v>
      </c>
      <c r="N870" s="2">
        <v>-8.21333534785796</v>
      </c>
      <c r="O870" s="2">
        <v>22.418181806827029</v>
      </c>
      <c r="P870" s="2">
        <v>0.5345224838248489</v>
      </c>
      <c r="R870" t="str">
        <f t="shared" si="39"/>
        <v>yes</v>
      </c>
      <c r="S870" t="str">
        <f t="shared" si="40"/>
        <v>no</v>
      </c>
      <c r="T8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0" s="2" t="b">
        <f t="shared" si="41"/>
        <v>0</v>
      </c>
      <c r="V870" s="2">
        <f>IF(Table4[[#This Row],[linear?]],Table4[[#This Row],[av]],10^(Table4[[#This Row],[av]]/10))</f>
        <v>1.9933132588797982</v>
      </c>
      <c r="W870" s="2">
        <f>IF(Table4[[#This Row],[linear?]],Table4[[#This Row],[av]],10^(Table4[[#This Row],[av]]/10))</f>
        <v>1.9933132588797982</v>
      </c>
      <c r="X870" s="2">
        <f>Table4[[#This Row],[av_lin]]-2*Table4[[#This Row],[std_lin]]</f>
        <v>-1.9933132588797982</v>
      </c>
      <c r="Y870" s="2">
        <f>Table4[[#This Row],[av_lin]]+2*Table4[[#This Row],[std_lin]]</f>
        <v>5.9799397766393945</v>
      </c>
    </row>
    <row r="871" spans="1:25" x14ac:dyDescent="0.35">
      <c r="A871" s="1">
        <v>1470</v>
      </c>
      <c r="B871" t="s">
        <v>829</v>
      </c>
      <c r="C871" t="s">
        <v>253</v>
      </c>
      <c r="D871" t="s">
        <v>360</v>
      </c>
      <c r="E871" s="2">
        <v>0</v>
      </c>
      <c r="F871" s="2">
        <v>0</v>
      </c>
      <c r="G871">
        <v>27</v>
      </c>
      <c r="H871" t="s">
        <v>58</v>
      </c>
      <c r="M871" s="2">
        <v>0</v>
      </c>
      <c r="N871" s="2">
        <v>0</v>
      </c>
      <c r="O871" s="2">
        <v>0</v>
      </c>
      <c r="R871" t="str">
        <f t="shared" si="39"/>
        <v>yes</v>
      </c>
      <c r="S871" t="str">
        <f t="shared" si="40"/>
        <v>no</v>
      </c>
      <c r="T8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1" s="2" t="b">
        <f t="shared" si="41"/>
        <v>0</v>
      </c>
      <c r="V871" s="2">
        <f>IF(Table4[[#This Row],[linear?]],Table4[[#This Row],[av]],10^(Table4[[#This Row],[av]]/10))</f>
        <v>1</v>
      </c>
      <c r="W871" s="2">
        <f>IF(Table4[[#This Row],[linear?]],Table4[[#This Row],[av]],10^(Table4[[#This Row],[av]]/10))</f>
        <v>1</v>
      </c>
      <c r="X871" s="2">
        <f>Table4[[#This Row],[av_lin]]-2*Table4[[#This Row],[std_lin]]</f>
        <v>-1</v>
      </c>
      <c r="Y871" s="2">
        <f>Table4[[#This Row],[av_lin]]+2*Table4[[#This Row],[std_lin]]</f>
        <v>3</v>
      </c>
    </row>
    <row r="872" spans="1:25" x14ac:dyDescent="0.35">
      <c r="A872" s="1">
        <v>1471</v>
      </c>
      <c r="B872" t="s">
        <v>829</v>
      </c>
      <c r="C872" t="s">
        <v>253</v>
      </c>
      <c r="D872" t="s">
        <v>361</v>
      </c>
      <c r="E872" s="2">
        <v>8.9927703703703692</v>
      </c>
      <c r="F872" s="2">
        <v>17.015801167755921</v>
      </c>
      <c r="G872">
        <v>27</v>
      </c>
      <c r="H872" t="s">
        <v>58</v>
      </c>
      <c r="M872" s="2">
        <v>43.024372705882207</v>
      </c>
      <c r="N872" s="2">
        <v>-25.038831965141469</v>
      </c>
      <c r="O872" s="2">
        <v>68.063204671023684</v>
      </c>
      <c r="P872" s="2">
        <v>0.52849526635344168</v>
      </c>
      <c r="R872" t="str">
        <f t="shared" si="39"/>
        <v>yes</v>
      </c>
      <c r="S872" t="str">
        <f t="shared" si="40"/>
        <v>no</v>
      </c>
      <c r="T8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2" s="2" t="b">
        <f t="shared" si="41"/>
        <v>1</v>
      </c>
      <c r="V872" s="2">
        <f>IF(Table4[[#This Row],[linear?]],Table4[[#This Row],[av]],10^(Table4[[#This Row],[av]]/10))</f>
        <v>8.9927703703703692</v>
      </c>
      <c r="W872" s="2">
        <f>IF(Table4[[#This Row],[linear?]],Table4[[#This Row],[av]],10^(Table4[[#This Row],[av]]/10))</f>
        <v>8.9927703703703692</v>
      </c>
      <c r="X872" s="2">
        <f>Table4[[#This Row],[av_lin]]-2*Table4[[#This Row],[std_lin]]</f>
        <v>-8.9927703703703692</v>
      </c>
      <c r="Y872" s="2">
        <f>Table4[[#This Row],[av_lin]]+2*Table4[[#This Row],[std_lin]]</f>
        <v>26.978311111111108</v>
      </c>
    </row>
    <row r="873" spans="1:25" x14ac:dyDescent="0.35">
      <c r="A873" s="1">
        <v>1472</v>
      </c>
      <c r="B873" t="s">
        <v>829</v>
      </c>
      <c r="C873" t="s">
        <v>253</v>
      </c>
      <c r="D873" t="s">
        <v>362</v>
      </c>
      <c r="E873" s="2">
        <v>0</v>
      </c>
      <c r="F873" s="2">
        <v>0</v>
      </c>
      <c r="G873">
        <v>27</v>
      </c>
      <c r="H873" t="s">
        <v>58</v>
      </c>
      <c r="M873" s="2">
        <v>0</v>
      </c>
      <c r="N873" s="2">
        <v>0</v>
      </c>
      <c r="O873" s="2">
        <v>0</v>
      </c>
      <c r="R873" t="str">
        <f t="shared" si="39"/>
        <v>yes</v>
      </c>
      <c r="S873" t="str">
        <f t="shared" si="40"/>
        <v>no</v>
      </c>
      <c r="T8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3" s="2" t="b">
        <f t="shared" si="41"/>
        <v>0</v>
      </c>
      <c r="V873" s="2">
        <f>IF(Table4[[#This Row],[linear?]],Table4[[#This Row],[av]],10^(Table4[[#This Row],[av]]/10))</f>
        <v>1</v>
      </c>
      <c r="W873" s="2">
        <f>IF(Table4[[#This Row],[linear?]],Table4[[#This Row],[av]],10^(Table4[[#This Row],[av]]/10))</f>
        <v>1</v>
      </c>
      <c r="X873" s="2">
        <f>Table4[[#This Row],[av_lin]]-2*Table4[[#This Row],[std_lin]]</f>
        <v>-1</v>
      </c>
      <c r="Y873" s="2">
        <f>Table4[[#This Row],[av_lin]]+2*Table4[[#This Row],[std_lin]]</f>
        <v>3</v>
      </c>
    </row>
    <row r="874" spans="1:25" x14ac:dyDescent="0.35">
      <c r="A874" s="1">
        <v>1473</v>
      </c>
      <c r="B874" t="s">
        <v>829</v>
      </c>
      <c r="C874" t="s">
        <v>253</v>
      </c>
      <c r="D874" t="s">
        <v>363</v>
      </c>
      <c r="E874" s="2">
        <v>3.994340740740741</v>
      </c>
      <c r="F874" s="2">
        <v>6.1556924987129253</v>
      </c>
      <c r="G874">
        <v>27</v>
      </c>
      <c r="H874" t="s">
        <v>58</v>
      </c>
      <c r="M874" s="2">
        <v>16.30572573816659</v>
      </c>
      <c r="N874" s="2">
        <v>-8.3170442566851097</v>
      </c>
      <c r="O874" s="2">
        <v>24.622769994851701</v>
      </c>
      <c r="P874" s="2">
        <v>0.64888568452305007</v>
      </c>
      <c r="R874" t="str">
        <f t="shared" si="39"/>
        <v>yes</v>
      </c>
      <c r="S874" t="str">
        <f t="shared" si="40"/>
        <v>no</v>
      </c>
      <c r="T8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4" s="2" t="b">
        <f t="shared" si="41"/>
        <v>0</v>
      </c>
      <c r="V874" s="2">
        <f>IF(Table4[[#This Row],[linear?]],Table4[[#This Row],[av]],10^(Table4[[#This Row],[av]]/10))</f>
        <v>2.508615342615431</v>
      </c>
      <c r="W874" s="2">
        <f>IF(Table4[[#This Row],[linear?]],Table4[[#This Row],[av]],10^(Table4[[#This Row],[av]]/10))</f>
        <v>2.508615342615431</v>
      </c>
      <c r="X874" s="2">
        <f>Table4[[#This Row],[av_lin]]-2*Table4[[#This Row],[std_lin]]</f>
        <v>-2.508615342615431</v>
      </c>
      <c r="Y874" s="2">
        <f>Table4[[#This Row],[av_lin]]+2*Table4[[#This Row],[std_lin]]</f>
        <v>7.5258460278462929</v>
      </c>
    </row>
    <row r="875" spans="1:25" x14ac:dyDescent="0.35">
      <c r="A875" s="1">
        <v>1474</v>
      </c>
      <c r="B875" t="s">
        <v>829</v>
      </c>
      <c r="C875" t="s">
        <v>253</v>
      </c>
      <c r="D875" t="s">
        <v>364</v>
      </c>
      <c r="E875" s="2">
        <v>0</v>
      </c>
      <c r="F875" s="2">
        <v>0</v>
      </c>
      <c r="G875">
        <v>27</v>
      </c>
      <c r="H875" t="s">
        <v>58</v>
      </c>
      <c r="M875" s="2">
        <v>0</v>
      </c>
      <c r="N875" s="2">
        <v>0</v>
      </c>
      <c r="O875" s="2">
        <v>0</v>
      </c>
      <c r="R875" t="str">
        <f t="shared" si="39"/>
        <v>yes</v>
      </c>
      <c r="S875" t="str">
        <f t="shared" si="40"/>
        <v>no</v>
      </c>
      <c r="T8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5" s="2" t="b">
        <f t="shared" si="41"/>
        <v>0</v>
      </c>
      <c r="V875" s="2">
        <f>IF(Table4[[#This Row],[linear?]],Table4[[#This Row],[av]],10^(Table4[[#This Row],[av]]/10))</f>
        <v>1</v>
      </c>
      <c r="W875" s="2">
        <f>IF(Table4[[#This Row],[linear?]],Table4[[#This Row],[av]],10^(Table4[[#This Row],[av]]/10))</f>
        <v>1</v>
      </c>
      <c r="X875" s="2">
        <f>Table4[[#This Row],[av_lin]]-2*Table4[[#This Row],[std_lin]]</f>
        <v>-1</v>
      </c>
      <c r="Y875" s="2">
        <f>Table4[[#This Row],[av_lin]]+2*Table4[[#This Row],[std_lin]]</f>
        <v>3</v>
      </c>
    </row>
    <row r="876" spans="1:25" x14ac:dyDescent="0.35">
      <c r="A876" s="1">
        <v>1475</v>
      </c>
      <c r="B876" t="s">
        <v>829</v>
      </c>
      <c r="C876" t="s">
        <v>253</v>
      </c>
      <c r="D876" t="s">
        <v>365</v>
      </c>
      <c r="E876" s="2">
        <v>11.475688888888889</v>
      </c>
      <c r="F876" s="2">
        <v>17.77990914588155</v>
      </c>
      <c r="G876">
        <v>27</v>
      </c>
      <c r="H876" t="s">
        <v>58</v>
      </c>
      <c r="M876" s="2">
        <v>47.03550718065199</v>
      </c>
      <c r="N876" s="2">
        <v>-24.084129402874211</v>
      </c>
      <c r="O876" s="2">
        <v>71.119636583526201</v>
      </c>
      <c r="P876" s="2">
        <v>0.6454301197341642</v>
      </c>
      <c r="R876" t="str">
        <f t="shared" si="39"/>
        <v>yes</v>
      </c>
      <c r="S876" t="str">
        <f t="shared" si="40"/>
        <v>no</v>
      </c>
      <c r="T8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6" s="2" t="b">
        <f t="shared" si="41"/>
        <v>1</v>
      </c>
      <c r="V876" s="2">
        <f>IF(Table4[[#This Row],[linear?]],Table4[[#This Row],[av]],10^(Table4[[#This Row],[av]]/10))</f>
        <v>11.475688888888889</v>
      </c>
      <c r="W876" s="2">
        <f>IF(Table4[[#This Row],[linear?]],Table4[[#This Row],[av]],10^(Table4[[#This Row],[av]]/10))</f>
        <v>11.475688888888889</v>
      </c>
      <c r="X876" s="2">
        <f>Table4[[#This Row],[av_lin]]-2*Table4[[#This Row],[std_lin]]</f>
        <v>-11.475688888888889</v>
      </c>
      <c r="Y876" s="2">
        <f>Table4[[#This Row],[av_lin]]+2*Table4[[#This Row],[std_lin]]</f>
        <v>34.427066666666668</v>
      </c>
    </row>
    <row r="877" spans="1:25" x14ac:dyDescent="0.35">
      <c r="A877" s="1">
        <v>1476</v>
      </c>
      <c r="B877" t="s">
        <v>829</v>
      </c>
      <c r="C877" t="s">
        <v>253</v>
      </c>
      <c r="D877" t="s">
        <v>366</v>
      </c>
      <c r="E877" s="2">
        <v>0</v>
      </c>
      <c r="F877" s="2">
        <v>0</v>
      </c>
      <c r="G877">
        <v>27</v>
      </c>
      <c r="H877" t="s">
        <v>58</v>
      </c>
      <c r="M877" s="2">
        <v>0</v>
      </c>
      <c r="N877" s="2">
        <v>0</v>
      </c>
      <c r="O877" s="2">
        <v>0</v>
      </c>
      <c r="R877" t="str">
        <f t="shared" si="39"/>
        <v>yes</v>
      </c>
      <c r="S877" t="str">
        <f t="shared" si="40"/>
        <v>no</v>
      </c>
      <c r="T8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7" s="2" t="b">
        <f t="shared" si="41"/>
        <v>0</v>
      </c>
      <c r="V877" s="2">
        <f>IF(Table4[[#This Row],[linear?]],Table4[[#This Row],[av]],10^(Table4[[#This Row],[av]]/10))</f>
        <v>1</v>
      </c>
      <c r="W877" s="2">
        <f>IF(Table4[[#This Row],[linear?]],Table4[[#This Row],[av]],10^(Table4[[#This Row],[av]]/10))</f>
        <v>1</v>
      </c>
      <c r="X877" s="2">
        <f>Table4[[#This Row],[av_lin]]-2*Table4[[#This Row],[std_lin]]</f>
        <v>-1</v>
      </c>
      <c r="Y877" s="2">
        <f>Table4[[#This Row],[av_lin]]+2*Table4[[#This Row],[std_lin]]</f>
        <v>3</v>
      </c>
    </row>
    <row r="878" spans="1:25" x14ac:dyDescent="0.35">
      <c r="A878" s="1">
        <v>1477</v>
      </c>
      <c r="B878" t="s">
        <v>829</v>
      </c>
      <c r="C878" t="s">
        <v>253</v>
      </c>
      <c r="D878" t="s">
        <v>367</v>
      </c>
      <c r="E878" s="2">
        <v>2.9957555555555562</v>
      </c>
      <c r="F878" s="2">
        <v>5.6045454517067581</v>
      </c>
      <c r="G878">
        <v>27</v>
      </c>
      <c r="H878" t="s">
        <v>58</v>
      </c>
      <c r="M878" s="2">
        <v>14.204846458969071</v>
      </c>
      <c r="N878" s="2">
        <v>-8.21333534785796</v>
      </c>
      <c r="O878" s="2">
        <v>22.418181806827029</v>
      </c>
      <c r="P878" s="2">
        <v>0.5345224838248489</v>
      </c>
      <c r="R878" t="str">
        <f t="shared" si="39"/>
        <v>yes</v>
      </c>
      <c r="S878" t="str">
        <f t="shared" si="40"/>
        <v>no</v>
      </c>
      <c r="T8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8" s="2" t="b">
        <f t="shared" si="41"/>
        <v>0</v>
      </c>
      <c r="V878" s="2">
        <f>IF(Table4[[#This Row],[linear?]],Table4[[#This Row],[av]],10^(Table4[[#This Row],[av]]/10))</f>
        <v>1.9933132588797982</v>
      </c>
      <c r="W878" s="2">
        <f>IF(Table4[[#This Row],[linear?]],Table4[[#This Row],[av]],10^(Table4[[#This Row],[av]]/10))</f>
        <v>1.9933132588797982</v>
      </c>
      <c r="X878" s="2">
        <f>Table4[[#This Row],[av_lin]]-2*Table4[[#This Row],[std_lin]]</f>
        <v>-1.9933132588797982</v>
      </c>
      <c r="Y878" s="2">
        <f>Table4[[#This Row],[av_lin]]+2*Table4[[#This Row],[std_lin]]</f>
        <v>5.9799397766393945</v>
      </c>
    </row>
    <row r="879" spans="1:25" x14ac:dyDescent="0.35">
      <c r="A879" s="1">
        <v>1478</v>
      </c>
      <c r="B879" t="s">
        <v>829</v>
      </c>
      <c r="C879" t="s">
        <v>253</v>
      </c>
      <c r="D879" t="s">
        <v>368</v>
      </c>
      <c r="E879" s="2">
        <v>0</v>
      </c>
      <c r="F879" s="2">
        <v>0</v>
      </c>
      <c r="G879">
        <v>27</v>
      </c>
      <c r="H879" t="s">
        <v>58</v>
      </c>
      <c r="M879" s="2">
        <v>0</v>
      </c>
      <c r="N879" s="2">
        <v>0</v>
      </c>
      <c r="O879" s="2">
        <v>0</v>
      </c>
      <c r="R879" t="str">
        <f t="shared" si="39"/>
        <v>yes</v>
      </c>
      <c r="S879" t="str">
        <f t="shared" si="40"/>
        <v>no</v>
      </c>
      <c r="T8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9" s="2" t="b">
        <f t="shared" si="41"/>
        <v>0</v>
      </c>
      <c r="V879" s="2">
        <f>IF(Table4[[#This Row],[linear?]],Table4[[#This Row],[av]],10^(Table4[[#This Row],[av]]/10))</f>
        <v>1</v>
      </c>
      <c r="W879" s="2">
        <f>IF(Table4[[#This Row],[linear?]],Table4[[#This Row],[av]],10^(Table4[[#This Row],[av]]/10))</f>
        <v>1</v>
      </c>
      <c r="X879" s="2">
        <f>Table4[[#This Row],[av_lin]]-2*Table4[[#This Row],[std_lin]]</f>
        <v>-1</v>
      </c>
      <c r="Y879" s="2">
        <f>Table4[[#This Row],[av_lin]]+2*Table4[[#This Row],[std_lin]]</f>
        <v>3</v>
      </c>
    </row>
    <row r="880" spans="1:25" x14ac:dyDescent="0.35">
      <c r="A880" s="1">
        <v>1479</v>
      </c>
      <c r="B880" t="s">
        <v>829</v>
      </c>
      <c r="C880" t="s">
        <v>253</v>
      </c>
      <c r="D880" t="s">
        <v>369</v>
      </c>
      <c r="E880" s="2">
        <v>8.9927666666666664</v>
      </c>
      <c r="F880" s="2">
        <v>16.957221170650879</v>
      </c>
      <c r="G880">
        <v>27</v>
      </c>
      <c r="H880" t="s">
        <v>58</v>
      </c>
      <c r="M880" s="2">
        <v>42.907209007968433</v>
      </c>
      <c r="N880" s="2">
        <v>-24.92167567463509</v>
      </c>
      <c r="O880" s="2">
        <v>67.828884682603515</v>
      </c>
      <c r="P880" s="2">
        <v>0.53032077462262006</v>
      </c>
      <c r="R880" t="str">
        <f t="shared" si="39"/>
        <v>yes</v>
      </c>
      <c r="S880" t="str">
        <f t="shared" si="40"/>
        <v>no</v>
      </c>
      <c r="T8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0" s="2" t="b">
        <f t="shared" si="41"/>
        <v>1</v>
      </c>
      <c r="V880" s="2">
        <f>IF(Table4[[#This Row],[linear?]],Table4[[#This Row],[av]],10^(Table4[[#This Row],[av]]/10))</f>
        <v>8.9927666666666664</v>
      </c>
      <c r="W880" s="2">
        <f>IF(Table4[[#This Row],[linear?]],Table4[[#This Row],[av]],10^(Table4[[#This Row],[av]]/10))</f>
        <v>8.9927666666666664</v>
      </c>
      <c r="X880" s="2">
        <f>Table4[[#This Row],[av_lin]]-2*Table4[[#This Row],[std_lin]]</f>
        <v>-8.9927666666666664</v>
      </c>
      <c r="Y880" s="2">
        <f>Table4[[#This Row],[av_lin]]+2*Table4[[#This Row],[std_lin]]</f>
        <v>26.978299999999997</v>
      </c>
    </row>
    <row r="881" spans="1:25" x14ac:dyDescent="0.35">
      <c r="A881" s="1">
        <v>1480</v>
      </c>
      <c r="B881" t="s">
        <v>829</v>
      </c>
      <c r="C881" t="s">
        <v>253</v>
      </c>
      <c r="D881" t="s">
        <v>370</v>
      </c>
      <c r="E881" s="2">
        <v>0</v>
      </c>
      <c r="F881" s="2">
        <v>0</v>
      </c>
      <c r="G881">
        <v>27</v>
      </c>
      <c r="H881" t="s">
        <v>58</v>
      </c>
      <c r="M881" s="2">
        <v>0</v>
      </c>
      <c r="N881" s="2">
        <v>0</v>
      </c>
      <c r="O881" s="2">
        <v>0</v>
      </c>
      <c r="R881" t="str">
        <f t="shared" si="39"/>
        <v>yes</v>
      </c>
      <c r="S881" t="str">
        <f t="shared" si="40"/>
        <v>no</v>
      </c>
      <c r="T8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1" s="2" t="b">
        <f t="shared" si="41"/>
        <v>0</v>
      </c>
      <c r="V881" s="2">
        <f>IF(Table4[[#This Row],[linear?]],Table4[[#This Row],[av]],10^(Table4[[#This Row],[av]]/10))</f>
        <v>1</v>
      </c>
      <c r="W881" s="2">
        <f>IF(Table4[[#This Row],[linear?]],Table4[[#This Row],[av]],10^(Table4[[#This Row],[av]]/10))</f>
        <v>1</v>
      </c>
      <c r="X881" s="2">
        <f>Table4[[#This Row],[av_lin]]-2*Table4[[#This Row],[std_lin]]</f>
        <v>-1</v>
      </c>
      <c r="Y881" s="2">
        <f>Table4[[#This Row],[av_lin]]+2*Table4[[#This Row],[std_lin]]</f>
        <v>3</v>
      </c>
    </row>
    <row r="882" spans="1:25" x14ac:dyDescent="0.35">
      <c r="A882" s="1">
        <v>1481</v>
      </c>
      <c r="B882" t="s">
        <v>829</v>
      </c>
      <c r="C882" t="s">
        <v>253</v>
      </c>
      <c r="D882" t="s">
        <v>371</v>
      </c>
      <c r="E882" s="2">
        <v>3.994340740740741</v>
      </c>
      <c r="F882" s="2">
        <v>6.1556924987129253</v>
      </c>
      <c r="G882">
        <v>27</v>
      </c>
      <c r="H882" t="s">
        <v>58</v>
      </c>
      <c r="M882" s="2">
        <v>16.30572573816659</v>
      </c>
      <c r="N882" s="2">
        <v>-8.3170442566851097</v>
      </c>
      <c r="O882" s="2">
        <v>24.622769994851701</v>
      </c>
      <c r="P882" s="2">
        <v>0.64888568452305007</v>
      </c>
      <c r="R882" t="str">
        <f t="shared" si="39"/>
        <v>yes</v>
      </c>
      <c r="S882" t="str">
        <f t="shared" si="40"/>
        <v>no</v>
      </c>
      <c r="T8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2" s="2" t="b">
        <f t="shared" si="41"/>
        <v>0</v>
      </c>
      <c r="V882" s="2">
        <f>IF(Table4[[#This Row],[linear?]],Table4[[#This Row],[av]],10^(Table4[[#This Row],[av]]/10))</f>
        <v>2.508615342615431</v>
      </c>
      <c r="W882" s="2">
        <f>IF(Table4[[#This Row],[linear?]],Table4[[#This Row],[av]],10^(Table4[[#This Row],[av]]/10))</f>
        <v>2.508615342615431</v>
      </c>
      <c r="X882" s="2">
        <f>Table4[[#This Row],[av_lin]]-2*Table4[[#This Row],[std_lin]]</f>
        <v>-2.508615342615431</v>
      </c>
      <c r="Y882" s="2">
        <f>Table4[[#This Row],[av_lin]]+2*Table4[[#This Row],[std_lin]]</f>
        <v>7.5258460278462929</v>
      </c>
    </row>
    <row r="883" spans="1:25" x14ac:dyDescent="0.35">
      <c r="A883" s="1">
        <v>1482</v>
      </c>
      <c r="B883" t="s">
        <v>829</v>
      </c>
      <c r="C883" t="s">
        <v>253</v>
      </c>
      <c r="D883" t="s">
        <v>372</v>
      </c>
      <c r="E883" s="2">
        <v>0</v>
      </c>
      <c r="F883" s="2">
        <v>0</v>
      </c>
      <c r="G883">
        <v>27</v>
      </c>
      <c r="H883" t="s">
        <v>58</v>
      </c>
      <c r="M883" s="2">
        <v>0</v>
      </c>
      <c r="N883" s="2">
        <v>0</v>
      </c>
      <c r="O883" s="2">
        <v>0</v>
      </c>
      <c r="R883" t="str">
        <f t="shared" si="39"/>
        <v>yes</v>
      </c>
      <c r="S883" t="str">
        <f t="shared" si="40"/>
        <v>no</v>
      </c>
      <c r="T8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3" s="2" t="b">
        <f t="shared" si="41"/>
        <v>0</v>
      </c>
      <c r="V883" s="2">
        <f>IF(Table4[[#This Row],[linear?]],Table4[[#This Row],[av]],10^(Table4[[#This Row],[av]]/10))</f>
        <v>1</v>
      </c>
      <c r="W883" s="2">
        <f>IF(Table4[[#This Row],[linear?]],Table4[[#This Row],[av]],10^(Table4[[#This Row],[av]]/10))</f>
        <v>1</v>
      </c>
      <c r="X883" s="2">
        <f>Table4[[#This Row],[av_lin]]-2*Table4[[#This Row],[std_lin]]</f>
        <v>-1</v>
      </c>
      <c r="Y883" s="2">
        <f>Table4[[#This Row],[av_lin]]+2*Table4[[#This Row],[std_lin]]</f>
        <v>3</v>
      </c>
    </row>
    <row r="884" spans="1:25" x14ac:dyDescent="0.35">
      <c r="A884" s="1">
        <v>1483</v>
      </c>
      <c r="B884" t="s">
        <v>829</v>
      </c>
      <c r="C884" t="s">
        <v>253</v>
      </c>
      <c r="D884" t="s">
        <v>373</v>
      </c>
      <c r="E884" s="2">
        <v>11.42245185185185</v>
      </c>
      <c r="F884" s="2">
        <v>17.67693893394296</v>
      </c>
      <c r="G884">
        <v>27</v>
      </c>
      <c r="H884" t="s">
        <v>58</v>
      </c>
      <c r="M884" s="2">
        <v>46.776329719737767</v>
      </c>
      <c r="N884" s="2">
        <v>-23.93142601603407</v>
      </c>
      <c r="O884" s="2">
        <v>70.70775573577184</v>
      </c>
      <c r="P884" s="2">
        <v>0.64617815870363449</v>
      </c>
      <c r="R884" t="str">
        <f t="shared" si="39"/>
        <v>yes</v>
      </c>
      <c r="S884" t="str">
        <f t="shared" si="40"/>
        <v>no</v>
      </c>
      <c r="T8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4" s="2" t="b">
        <f t="shared" si="41"/>
        <v>1</v>
      </c>
      <c r="V884" s="2">
        <f>IF(Table4[[#This Row],[linear?]],Table4[[#This Row],[av]],10^(Table4[[#This Row],[av]]/10))</f>
        <v>11.42245185185185</v>
      </c>
      <c r="W884" s="2">
        <f>IF(Table4[[#This Row],[linear?]],Table4[[#This Row],[av]],10^(Table4[[#This Row],[av]]/10))</f>
        <v>11.42245185185185</v>
      </c>
      <c r="X884" s="2">
        <f>Table4[[#This Row],[av_lin]]-2*Table4[[#This Row],[std_lin]]</f>
        <v>-11.42245185185185</v>
      </c>
      <c r="Y884" s="2">
        <f>Table4[[#This Row],[av_lin]]+2*Table4[[#This Row],[std_lin]]</f>
        <v>34.267355555555554</v>
      </c>
    </row>
    <row r="885" spans="1:25" x14ac:dyDescent="0.35">
      <c r="A885" s="1">
        <v>1484</v>
      </c>
      <c r="B885" t="s">
        <v>829</v>
      </c>
      <c r="C885" t="s">
        <v>253</v>
      </c>
      <c r="D885" t="s">
        <v>374</v>
      </c>
      <c r="E885" s="2">
        <v>33.198244444444441</v>
      </c>
      <c r="F885" s="2">
        <v>69.640748834164668</v>
      </c>
      <c r="G885">
        <v>27</v>
      </c>
      <c r="H885" t="s">
        <v>58</v>
      </c>
      <c r="M885" s="2">
        <v>172.47974211277381</v>
      </c>
      <c r="N885" s="2">
        <v>-106.0832532238849</v>
      </c>
      <c r="O885" s="2">
        <v>278.56299533665867</v>
      </c>
      <c r="P885" s="2">
        <v>0.47670717216868719</v>
      </c>
      <c r="R885" t="str">
        <f t="shared" si="39"/>
        <v>yes</v>
      </c>
      <c r="S885" t="str">
        <f t="shared" si="40"/>
        <v>no</v>
      </c>
      <c r="T8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5" s="2" t="b">
        <f t="shared" si="41"/>
        <v>0</v>
      </c>
      <c r="V885" s="2">
        <f>IF(Table4[[#This Row],[linear?]],Table4[[#This Row],[av]],10^(Table4[[#This Row],[av]]/10))</f>
        <v>2088.4517420011248</v>
      </c>
      <c r="W885" s="2">
        <f>IF(Table4[[#This Row],[linear?]],Table4[[#This Row],[av]],10^(Table4[[#This Row],[av]]/10))</f>
        <v>2088.4517420011248</v>
      </c>
      <c r="X885" s="2">
        <f>Table4[[#This Row],[av_lin]]-2*Table4[[#This Row],[std_lin]]</f>
        <v>-2088.4517420011248</v>
      </c>
      <c r="Y885" s="2">
        <f>Table4[[#This Row],[av_lin]]+2*Table4[[#This Row],[std_lin]]</f>
        <v>6265.3552260033739</v>
      </c>
    </row>
    <row r="886" spans="1:25" x14ac:dyDescent="0.35">
      <c r="A886" s="1">
        <v>1485</v>
      </c>
      <c r="B886" t="s">
        <v>829</v>
      </c>
      <c r="C886" t="s">
        <v>253</v>
      </c>
      <c r="D886" t="s">
        <v>375</v>
      </c>
      <c r="E886" s="2">
        <v>0</v>
      </c>
      <c r="F886" s="2">
        <v>0</v>
      </c>
      <c r="G886">
        <v>27</v>
      </c>
      <c r="H886" t="s">
        <v>58</v>
      </c>
      <c r="M886" s="2">
        <v>0</v>
      </c>
      <c r="N886" s="2">
        <v>0</v>
      </c>
      <c r="O886" s="2">
        <v>0</v>
      </c>
      <c r="R886" t="str">
        <f t="shared" si="39"/>
        <v>yes</v>
      </c>
      <c r="S886" t="str">
        <f t="shared" si="40"/>
        <v>no</v>
      </c>
      <c r="T8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6" s="2" t="b">
        <f t="shared" si="41"/>
        <v>0</v>
      </c>
      <c r="V886" s="2">
        <f>IF(Table4[[#This Row],[linear?]],Table4[[#This Row],[av]],10^(Table4[[#This Row],[av]]/10))</f>
        <v>1</v>
      </c>
      <c r="W886" s="2">
        <f>IF(Table4[[#This Row],[linear?]],Table4[[#This Row],[av]],10^(Table4[[#This Row],[av]]/10))</f>
        <v>1</v>
      </c>
      <c r="X886" s="2">
        <f>Table4[[#This Row],[av_lin]]-2*Table4[[#This Row],[std_lin]]</f>
        <v>-1</v>
      </c>
      <c r="Y886" s="2">
        <f>Table4[[#This Row],[av_lin]]+2*Table4[[#This Row],[std_lin]]</f>
        <v>3</v>
      </c>
    </row>
    <row r="887" spans="1:25" x14ac:dyDescent="0.35">
      <c r="A887" s="1">
        <v>1486</v>
      </c>
      <c r="B887" t="s">
        <v>829</v>
      </c>
      <c r="C887" t="s">
        <v>253</v>
      </c>
      <c r="D887" t="s">
        <v>376</v>
      </c>
      <c r="E887" s="2">
        <v>0</v>
      </c>
      <c r="F887" s="2">
        <v>0</v>
      </c>
      <c r="G887">
        <v>27</v>
      </c>
      <c r="H887" t="s">
        <v>58</v>
      </c>
      <c r="M887" s="2">
        <v>0</v>
      </c>
      <c r="N887" s="2">
        <v>0</v>
      </c>
      <c r="O887" s="2">
        <v>0</v>
      </c>
      <c r="R887" t="str">
        <f t="shared" si="39"/>
        <v>yes</v>
      </c>
      <c r="S887" t="str">
        <f t="shared" si="40"/>
        <v>no</v>
      </c>
      <c r="T8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7" s="2" t="b">
        <f t="shared" si="41"/>
        <v>0</v>
      </c>
      <c r="V887" s="2">
        <f>IF(Table4[[#This Row],[linear?]],Table4[[#This Row],[av]],10^(Table4[[#This Row],[av]]/10))</f>
        <v>1</v>
      </c>
      <c r="W887" s="2">
        <f>IF(Table4[[#This Row],[linear?]],Table4[[#This Row],[av]],10^(Table4[[#This Row],[av]]/10))</f>
        <v>1</v>
      </c>
      <c r="X887" s="2">
        <f>Table4[[#This Row],[av_lin]]-2*Table4[[#This Row],[std_lin]]</f>
        <v>-1</v>
      </c>
      <c r="Y887" s="2">
        <f>Table4[[#This Row],[av_lin]]+2*Table4[[#This Row],[std_lin]]</f>
        <v>3</v>
      </c>
    </row>
    <row r="888" spans="1:25" x14ac:dyDescent="0.35">
      <c r="A888" s="1">
        <v>1487</v>
      </c>
      <c r="B888" t="s">
        <v>829</v>
      </c>
      <c r="C888" t="s">
        <v>253</v>
      </c>
      <c r="D888" t="s">
        <v>377</v>
      </c>
      <c r="E888" s="2">
        <v>6.8462037037037033</v>
      </c>
      <c r="F888" s="2">
        <v>14.374567722491861</v>
      </c>
      <c r="G888">
        <v>27</v>
      </c>
      <c r="H888" t="s">
        <v>58</v>
      </c>
      <c r="M888" s="2">
        <v>35.595339148687422</v>
      </c>
      <c r="N888" s="2">
        <v>-21.902931741280021</v>
      </c>
      <c r="O888" s="2">
        <v>57.498270889967444</v>
      </c>
      <c r="P888" s="2">
        <v>0.47627197115579761</v>
      </c>
      <c r="R888" t="str">
        <f t="shared" si="39"/>
        <v>yes</v>
      </c>
      <c r="S888" t="str">
        <f t="shared" si="40"/>
        <v>no</v>
      </c>
      <c r="T8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8" s="2" t="b">
        <f t="shared" si="41"/>
        <v>1</v>
      </c>
      <c r="V888" s="2">
        <f>IF(Table4[[#This Row],[linear?]],Table4[[#This Row],[av]],10^(Table4[[#This Row],[av]]/10))</f>
        <v>6.8462037037037033</v>
      </c>
      <c r="W888" s="2">
        <f>IF(Table4[[#This Row],[linear?]],Table4[[#This Row],[av]],10^(Table4[[#This Row],[av]]/10))</f>
        <v>6.8462037037037033</v>
      </c>
      <c r="X888" s="2">
        <f>Table4[[#This Row],[av_lin]]-2*Table4[[#This Row],[std_lin]]</f>
        <v>-6.8462037037037033</v>
      </c>
      <c r="Y888" s="2">
        <f>Table4[[#This Row],[av_lin]]+2*Table4[[#This Row],[std_lin]]</f>
        <v>20.538611111111109</v>
      </c>
    </row>
    <row r="889" spans="1:25" x14ac:dyDescent="0.35">
      <c r="A889" s="1">
        <v>1488</v>
      </c>
      <c r="B889" t="s">
        <v>829</v>
      </c>
      <c r="C889" t="s">
        <v>253</v>
      </c>
      <c r="D889" t="s">
        <v>378</v>
      </c>
      <c r="E889" s="2">
        <v>27.173366666666659</v>
      </c>
      <c r="F889" s="2">
        <v>59.647663281696659</v>
      </c>
      <c r="G889">
        <v>27</v>
      </c>
      <c r="H889" t="s">
        <v>58</v>
      </c>
      <c r="M889" s="2">
        <v>146.46869323006001</v>
      </c>
      <c r="N889" s="2">
        <v>-92.121959896726651</v>
      </c>
      <c r="O889" s="2">
        <v>238.59065312678661</v>
      </c>
      <c r="P889" s="2">
        <v>0.45556464698936522</v>
      </c>
      <c r="R889" t="str">
        <f t="shared" si="39"/>
        <v>yes</v>
      </c>
      <c r="S889" t="str">
        <f t="shared" si="40"/>
        <v>no</v>
      </c>
      <c r="T8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9" s="2" t="b">
        <f t="shared" si="41"/>
        <v>0</v>
      </c>
      <c r="V889" s="2">
        <f>IF(Table4[[#This Row],[linear?]],Table4[[#This Row],[av]],10^(Table4[[#This Row],[av]]/10))</f>
        <v>521.59889979046409</v>
      </c>
      <c r="W889" s="2">
        <f>IF(Table4[[#This Row],[linear?]],Table4[[#This Row],[av]],10^(Table4[[#This Row],[av]]/10))</f>
        <v>521.59889979046409</v>
      </c>
      <c r="X889" s="2">
        <f>Table4[[#This Row],[av_lin]]-2*Table4[[#This Row],[std_lin]]</f>
        <v>-521.59889979046409</v>
      </c>
      <c r="Y889" s="2">
        <f>Table4[[#This Row],[av_lin]]+2*Table4[[#This Row],[std_lin]]</f>
        <v>1564.7966993713922</v>
      </c>
    </row>
    <row r="890" spans="1:25" x14ac:dyDescent="0.35">
      <c r="A890" s="1">
        <v>1489</v>
      </c>
      <c r="B890" t="s">
        <v>829</v>
      </c>
      <c r="C890" t="s">
        <v>253</v>
      </c>
      <c r="D890" t="s">
        <v>379</v>
      </c>
      <c r="E890" s="2">
        <v>0</v>
      </c>
      <c r="F890" s="2">
        <v>0</v>
      </c>
      <c r="G890">
        <v>27</v>
      </c>
      <c r="H890" t="s">
        <v>58</v>
      </c>
      <c r="M890" s="2">
        <v>0</v>
      </c>
      <c r="N890" s="2">
        <v>0</v>
      </c>
      <c r="O890" s="2">
        <v>0</v>
      </c>
      <c r="R890" t="str">
        <f t="shared" si="39"/>
        <v>yes</v>
      </c>
      <c r="S890" t="str">
        <f t="shared" si="40"/>
        <v>no</v>
      </c>
      <c r="T8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0" s="2" t="b">
        <f t="shared" si="41"/>
        <v>0</v>
      </c>
      <c r="V890" s="2">
        <f>IF(Table4[[#This Row],[linear?]],Table4[[#This Row],[av]],10^(Table4[[#This Row],[av]]/10))</f>
        <v>1</v>
      </c>
      <c r="W890" s="2">
        <f>IF(Table4[[#This Row],[linear?]],Table4[[#This Row],[av]],10^(Table4[[#This Row],[av]]/10))</f>
        <v>1</v>
      </c>
      <c r="X890" s="2">
        <f>Table4[[#This Row],[av_lin]]-2*Table4[[#This Row],[std_lin]]</f>
        <v>-1</v>
      </c>
      <c r="Y890" s="2">
        <f>Table4[[#This Row],[av_lin]]+2*Table4[[#This Row],[std_lin]]</f>
        <v>3</v>
      </c>
    </row>
    <row r="891" spans="1:25" x14ac:dyDescent="0.35">
      <c r="A891" s="1">
        <v>1490</v>
      </c>
      <c r="B891" t="s">
        <v>829</v>
      </c>
      <c r="C891" t="s">
        <v>253</v>
      </c>
      <c r="D891" t="s">
        <v>380</v>
      </c>
      <c r="E891" s="2">
        <v>0</v>
      </c>
      <c r="F891" s="2">
        <v>0</v>
      </c>
      <c r="G891">
        <v>27</v>
      </c>
      <c r="H891" t="s">
        <v>58</v>
      </c>
      <c r="M891" s="2">
        <v>0</v>
      </c>
      <c r="N891" s="2">
        <v>0</v>
      </c>
      <c r="O891" s="2">
        <v>0</v>
      </c>
      <c r="R891" t="str">
        <f t="shared" si="39"/>
        <v>yes</v>
      </c>
      <c r="S891" t="str">
        <f t="shared" si="40"/>
        <v>no</v>
      </c>
      <c r="T8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1" s="2" t="b">
        <f t="shared" si="41"/>
        <v>0</v>
      </c>
      <c r="V891" s="2">
        <f>IF(Table4[[#This Row],[linear?]],Table4[[#This Row],[av]],10^(Table4[[#This Row],[av]]/10))</f>
        <v>1</v>
      </c>
      <c r="W891" s="2">
        <f>IF(Table4[[#This Row],[linear?]],Table4[[#This Row],[av]],10^(Table4[[#This Row],[av]]/10))</f>
        <v>1</v>
      </c>
      <c r="X891" s="2">
        <f>Table4[[#This Row],[av_lin]]-2*Table4[[#This Row],[std_lin]]</f>
        <v>-1</v>
      </c>
      <c r="Y891" s="2">
        <f>Table4[[#This Row],[av_lin]]+2*Table4[[#This Row],[std_lin]]</f>
        <v>3</v>
      </c>
    </row>
    <row r="892" spans="1:25" x14ac:dyDescent="0.35">
      <c r="A892" s="1">
        <v>1491</v>
      </c>
      <c r="B892" t="s">
        <v>829</v>
      </c>
      <c r="C892" t="s">
        <v>253</v>
      </c>
      <c r="D892" t="s">
        <v>381</v>
      </c>
      <c r="E892" s="2">
        <v>5.9943444444444447</v>
      </c>
      <c r="F892" s="2">
        <v>12.58844367144469</v>
      </c>
      <c r="G892">
        <v>27</v>
      </c>
      <c r="H892" t="s">
        <v>58</v>
      </c>
      <c r="M892" s="2">
        <v>31.17123178733382</v>
      </c>
      <c r="N892" s="2">
        <v>-19.18254289844494</v>
      </c>
      <c r="O892" s="2">
        <v>50.35377468577876</v>
      </c>
      <c r="P892" s="2">
        <v>0.47617835857198659</v>
      </c>
      <c r="R892" t="str">
        <f t="shared" si="39"/>
        <v>yes</v>
      </c>
      <c r="S892" t="str">
        <f t="shared" si="40"/>
        <v>no</v>
      </c>
      <c r="T8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2" s="2" t="b">
        <f t="shared" si="41"/>
        <v>1</v>
      </c>
      <c r="V892" s="2">
        <f>IF(Table4[[#This Row],[linear?]],Table4[[#This Row],[av]],10^(Table4[[#This Row],[av]]/10))</f>
        <v>5.9943444444444447</v>
      </c>
      <c r="W892" s="2">
        <f>IF(Table4[[#This Row],[linear?]],Table4[[#This Row],[av]],10^(Table4[[#This Row],[av]]/10))</f>
        <v>5.9943444444444447</v>
      </c>
      <c r="X892" s="2">
        <f>Table4[[#This Row],[av_lin]]-2*Table4[[#This Row],[std_lin]]</f>
        <v>-5.9943444444444447</v>
      </c>
      <c r="Y892" s="2">
        <f>Table4[[#This Row],[av_lin]]+2*Table4[[#This Row],[std_lin]]</f>
        <v>17.983033333333335</v>
      </c>
    </row>
    <row r="893" spans="1:25" x14ac:dyDescent="0.35">
      <c r="A893" s="1">
        <v>1492</v>
      </c>
      <c r="B893" t="s">
        <v>829</v>
      </c>
      <c r="C893" t="s">
        <v>253</v>
      </c>
      <c r="D893" t="s">
        <v>382</v>
      </c>
      <c r="E893" s="2">
        <v>33.273222222222223</v>
      </c>
      <c r="F893" s="2">
        <v>69.795387866743255</v>
      </c>
      <c r="G893">
        <v>27</v>
      </c>
      <c r="H893" t="s">
        <v>58</v>
      </c>
      <c r="M893" s="2">
        <v>172.8639979557087</v>
      </c>
      <c r="N893" s="2">
        <v>-106.31755351126429</v>
      </c>
      <c r="O893" s="2">
        <v>279.18155146697302</v>
      </c>
      <c r="P893" s="2">
        <v>0.47672522840261422</v>
      </c>
      <c r="R893" t="str">
        <f t="shared" si="39"/>
        <v>yes</v>
      </c>
      <c r="S893" t="str">
        <f t="shared" si="40"/>
        <v>no</v>
      </c>
      <c r="T8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3" s="2" t="b">
        <f t="shared" si="41"/>
        <v>0</v>
      </c>
      <c r="V893" s="2">
        <f>IF(Table4[[#This Row],[linear?]],Table4[[#This Row],[av]],10^(Table4[[#This Row],[av]]/10))</f>
        <v>2124.8203752183695</v>
      </c>
      <c r="W893" s="2">
        <f>IF(Table4[[#This Row],[linear?]],Table4[[#This Row],[av]],10^(Table4[[#This Row],[av]]/10))</f>
        <v>2124.8203752183695</v>
      </c>
      <c r="X893" s="2">
        <f>Table4[[#This Row],[av_lin]]-2*Table4[[#This Row],[std_lin]]</f>
        <v>-2124.8203752183695</v>
      </c>
      <c r="Y893" s="2">
        <f>Table4[[#This Row],[av_lin]]+2*Table4[[#This Row],[std_lin]]</f>
        <v>6374.4611256551088</v>
      </c>
    </row>
    <row r="894" spans="1:25" x14ac:dyDescent="0.35">
      <c r="A894" s="1">
        <v>1493</v>
      </c>
      <c r="B894" t="s">
        <v>829</v>
      </c>
      <c r="C894" t="s">
        <v>253</v>
      </c>
      <c r="D894" t="s">
        <v>383</v>
      </c>
      <c r="E894" s="2">
        <v>0</v>
      </c>
      <c r="F894" s="2">
        <v>0</v>
      </c>
      <c r="G894">
        <v>27</v>
      </c>
      <c r="H894" t="s">
        <v>58</v>
      </c>
      <c r="M894" s="2">
        <v>0</v>
      </c>
      <c r="N894" s="2">
        <v>0</v>
      </c>
      <c r="O894" s="2">
        <v>0</v>
      </c>
      <c r="R894" t="str">
        <f t="shared" si="39"/>
        <v>yes</v>
      </c>
      <c r="S894" t="str">
        <f t="shared" si="40"/>
        <v>no</v>
      </c>
      <c r="T8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4" s="2" t="b">
        <f t="shared" si="41"/>
        <v>0</v>
      </c>
      <c r="V894" s="2">
        <f>IF(Table4[[#This Row],[linear?]],Table4[[#This Row],[av]],10^(Table4[[#This Row],[av]]/10))</f>
        <v>1</v>
      </c>
      <c r="W894" s="2">
        <f>IF(Table4[[#This Row],[linear?]],Table4[[#This Row],[av]],10^(Table4[[#This Row],[av]]/10))</f>
        <v>1</v>
      </c>
      <c r="X894" s="2">
        <f>Table4[[#This Row],[av_lin]]-2*Table4[[#This Row],[std_lin]]</f>
        <v>-1</v>
      </c>
      <c r="Y894" s="2">
        <f>Table4[[#This Row],[av_lin]]+2*Table4[[#This Row],[std_lin]]</f>
        <v>3</v>
      </c>
    </row>
    <row r="895" spans="1:25" x14ac:dyDescent="0.35">
      <c r="A895" s="1">
        <v>1494</v>
      </c>
      <c r="B895" t="s">
        <v>829</v>
      </c>
      <c r="C895" t="s">
        <v>253</v>
      </c>
      <c r="D895" t="s">
        <v>384</v>
      </c>
      <c r="E895" s="2">
        <v>0</v>
      </c>
      <c r="F895" s="2">
        <v>0</v>
      </c>
      <c r="G895">
        <v>27</v>
      </c>
      <c r="H895" t="s">
        <v>58</v>
      </c>
      <c r="M895" s="2">
        <v>0</v>
      </c>
      <c r="N895" s="2">
        <v>0</v>
      </c>
      <c r="O895" s="2">
        <v>0</v>
      </c>
      <c r="R895" t="str">
        <f t="shared" si="39"/>
        <v>yes</v>
      </c>
      <c r="S895" t="str">
        <f t="shared" si="40"/>
        <v>no</v>
      </c>
      <c r="T8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5" s="2" t="b">
        <f t="shared" si="41"/>
        <v>0</v>
      </c>
      <c r="V895" s="2">
        <f>IF(Table4[[#This Row],[linear?]],Table4[[#This Row],[av]],10^(Table4[[#This Row],[av]]/10))</f>
        <v>1</v>
      </c>
      <c r="W895" s="2">
        <f>IF(Table4[[#This Row],[linear?]],Table4[[#This Row],[av]],10^(Table4[[#This Row],[av]]/10))</f>
        <v>1</v>
      </c>
      <c r="X895" s="2">
        <f>Table4[[#This Row],[av_lin]]-2*Table4[[#This Row],[std_lin]]</f>
        <v>-1</v>
      </c>
      <c r="Y895" s="2">
        <f>Table4[[#This Row],[av_lin]]+2*Table4[[#This Row],[std_lin]]</f>
        <v>3</v>
      </c>
    </row>
    <row r="896" spans="1:25" x14ac:dyDescent="0.35">
      <c r="A896" s="1">
        <v>1495</v>
      </c>
      <c r="B896" t="s">
        <v>829</v>
      </c>
      <c r="C896" t="s">
        <v>253</v>
      </c>
      <c r="D896" t="s">
        <v>385</v>
      </c>
      <c r="E896" s="2">
        <v>6.4735148148148136</v>
      </c>
      <c r="F896" s="2">
        <v>13.60148608309656</v>
      </c>
      <c r="G896">
        <v>27</v>
      </c>
      <c r="H896" t="s">
        <v>58</v>
      </c>
      <c r="M896" s="2">
        <v>33.676486981007933</v>
      </c>
      <c r="N896" s="2">
        <v>-20.729457351378311</v>
      </c>
      <c r="O896" s="2">
        <v>54.405944332386241</v>
      </c>
      <c r="P896" s="2">
        <v>0.47594172984229022</v>
      </c>
      <c r="R896" t="str">
        <f t="shared" si="39"/>
        <v>yes</v>
      </c>
      <c r="S896" t="str">
        <f t="shared" si="40"/>
        <v>no</v>
      </c>
      <c r="T8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6" s="2" t="b">
        <f t="shared" si="41"/>
        <v>1</v>
      </c>
      <c r="V896" s="2">
        <f>IF(Table4[[#This Row],[linear?]],Table4[[#This Row],[av]],10^(Table4[[#This Row],[av]]/10))</f>
        <v>6.4735148148148136</v>
      </c>
      <c r="W896" s="2">
        <f>IF(Table4[[#This Row],[linear?]],Table4[[#This Row],[av]],10^(Table4[[#This Row],[av]]/10))</f>
        <v>6.4735148148148136</v>
      </c>
      <c r="X896" s="2">
        <f>Table4[[#This Row],[av_lin]]-2*Table4[[#This Row],[std_lin]]</f>
        <v>-6.4735148148148136</v>
      </c>
      <c r="Y896" s="2">
        <f>Table4[[#This Row],[av_lin]]+2*Table4[[#This Row],[std_lin]]</f>
        <v>19.420544444444442</v>
      </c>
    </row>
    <row r="897" spans="1:25" x14ac:dyDescent="0.35">
      <c r="A897" s="1">
        <v>1496</v>
      </c>
      <c r="B897" t="s">
        <v>829</v>
      </c>
      <c r="C897" t="s">
        <v>253</v>
      </c>
      <c r="D897" t="s">
        <v>386</v>
      </c>
      <c r="E897" s="2">
        <v>25.816181481481479</v>
      </c>
      <c r="F897" s="2">
        <v>58.241822687456008</v>
      </c>
      <c r="G897">
        <v>27</v>
      </c>
      <c r="H897" t="s">
        <v>58</v>
      </c>
      <c r="M897" s="2">
        <v>142.29982685639351</v>
      </c>
      <c r="N897" s="2">
        <v>-90.667463893430536</v>
      </c>
      <c r="O897" s="2">
        <v>232.967290749824</v>
      </c>
      <c r="P897" s="2">
        <v>0.44325847458482293</v>
      </c>
      <c r="R897" t="str">
        <f t="shared" si="39"/>
        <v>yes</v>
      </c>
      <c r="S897" t="str">
        <f t="shared" si="40"/>
        <v>no</v>
      </c>
      <c r="T8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7" s="2" t="b">
        <f t="shared" si="41"/>
        <v>0</v>
      </c>
      <c r="V897" s="2">
        <f>IF(Table4[[#This Row],[linear?]],Table4[[#This Row],[av]],10^(Table4[[#This Row],[av]]/10))</f>
        <v>381.60859531422949</v>
      </c>
      <c r="W897" s="2">
        <f>IF(Table4[[#This Row],[linear?]],Table4[[#This Row],[av]],10^(Table4[[#This Row],[av]]/10))</f>
        <v>381.60859531422949</v>
      </c>
      <c r="X897" s="2">
        <f>Table4[[#This Row],[av_lin]]-2*Table4[[#This Row],[std_lin]]</f>
        <v>-381.60859531422949</v>
      </c>
      <c r="Y897" s="2">
        <f>Table4[[#This Row],[av_lin]]+2*Table4[[#This Row],[std_lin]]</f>
        <v>1144.8257859426885</v>
      </c>
    </row>
    <row r="898" spans="1:25" x14ac:dyDescent="0.35">
      <c r="A898" s="1">
        <v>1497</v>
      </c>
      <c r="B898" t="s">
        <v>829</v>
      </c>
      <c r="C898" t="s">
        <v>253</v>
      </c>
      <c r="D898" t="s">
        <v>387</v>
      </c>
      <c r="E898" s="2">
        <v>0</v>
      </c>
      <c r="F898" s="2">
        <v>0</v>
      </c>
      <c r="G898">
        <v>27</v>
      </c>
      <c r="H898" t="s">
        <v>58</v>
      </c>
      <c r="M898" s="2">
        <v>0</v>
      </c>
      <c r="N898" s="2">
        <v>0</v>
      </c>
      <c r="O898" s="2">
        <v>0</v>
      </c>
      <c r="R898" t="str">
        <f t="shared" ref="R898:R961" si="42">IF(H898="yes","yes","no")</f>
        <v>yes</v>
      </c>
      <c r="S898" t="str">
        <f t="shared" ref="S898:S961" si="43">IF(I898,"yes","no")</f>
        <v>no</v>
      </c>
      <c r="T8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8" s="2" t="b">
        <f t="shared" ref="U898:U961" si="44">NOT(ISNUMBER(SEARCH("RFIC*POWER", D898)))</f>
        <v>0</v>
      </c>
      <c r="V898" s="2">
        <f>IF(Table4[[#This Row],[linear?]],Table4[[#This Row],[av]],10^(Table4[[#This Row],[av]]/10))</f>
        <v>1</v>
      </c>
      <c r="W898" s="2">
        <f>IF(Table4[[#This Row],[linear?]],Table4[[#This Row],[av]],10^(Table4[[#This Row],[av]]/10))</f>
        <v>1</v>
      </c>
      <c r="X898" s="2">
        <f>Table4[[#This Row],[av_lin]]-2*Table4[[#This Row],[std_lin]]</f>
        <v>-1</v>
      </c>
      <c r="Y898" s="2">
        <f>Table4[[#This Row],[av_lin]]+2*Table4[[#This Row],[std_lin]]</f>
        <v>3</v>
      </c>
    </row>
    <row r="899" spans="1:25" x14ac:dyDescent="0.35">
      <c r="A899" s="1">
        <v>1498</v>
      </c>
      <c r="B899" t="s">
        <v>829</v>
      </c>
      <c r="C899" t="s">
        <v>253</v>
      </c>
      <c r="D899" t="s">
        <v>388</v>
      </c>
      <c r="E899" s="2">
        <v>0</v>
      </c>
      <c r="F899" s="2">
        <v>0</v>
      </c>
      <c r="G899">
        <v>27</v>
      </c>
      <c r="H899" t="s">
        <v>58</v>
      </c>
      <c r="M899" s="2">
        <v>0</v>
      </c>
      <c r="N899" s="2">
        <v>0</v>
      </c>
      <c r="O899" s="2">
        <v>0</v>
      </c>
      <c r="R899" t="str">
        <f t="shared" si="42"/>
        <v>yes</v>
      </c>
      <c r="S899" t="str">
        <f t="shared" si="43"/>
        <v>no</v>
      </c>
      <c r="T8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9" s="2" t="b">
        <f t="shared" si="44"/>
        <v>0</v>
      </c>
      <c r="V899" s="2">
        <f>IF(Table4[[#This Row],[linear?]],Table4[[#This Row],[av]],10^(Table4[[#This Row],[av]]/10))</f>
        <v>1</v>
      </c>
      <c r="W899" s="2">
        <f>IF(Table4[[#This Row],[linear?]],Table4[[#This Row],[av]],10^(Table4[[#This Row],[av]]/10))</f>
        <v>1</v>
      </c>
      <c r="X899" s="2">
        <f>Table4[[#This Row],[av_lin]]-2*Table4[[#This Row],[std_lin]]</f>
        <v>-1</v>
      </c>
      <c r="Y899" s="2">
        <f>Table4[[#This Row],[av_lin]]+2*Table4[[#This Row],[std_lin]]</f>
        <v>3</v>
      </c>
    </row>
    <row r="900" spans="1:25" x14ac:dyDescent="0.35">
      <c r="A900" s="1">
        <v>1499</v>
      </c>
      <c r="B900" t="s">
        <v>829</v>
      </c>
      <c r="C900" t="s">
        <v>253</v>
      </c>
      <c r="D900" t="s">
        <v>389</v>
      </c>
      <c r="E900" s="2">
        <v>7.7690518518518514</v>
      </c>
      <c r="F900" s="2">
        <v>16.380091022547489</v>
      </c>
      <c r="G900">
        <v>27</v>
      </c>
      <c r="H900" t="s">
        <v>58</v>
      </c>
      <c r="M900" s="2">
        <v>40.529233896946828</v>
      </c>
      <c r="N900" s="2">
        <v>-24.99113019324313</v>
      </c>
      <c r="O900" s="2">
        <v>65.520364090189958</v>
      </c>
      <c r="P900" s="2">
        <v>0.47429845421234912</v>
      </c>
      <c r="R900" t="str">
        <f t="shared" si="42"/>
        <v>yes</v>
      </c>
      <c r="S900" t="str">
        <f t="shared" si="43"/>
        <v>no</v>
      </c>
      <c r="T9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0" s="2" t="b">
        <f t="shared" si="44"/>
        <v>1</v>
      </c>
      <c r="V900" s="2">
        <f>IF(Table4[[#This Row],[linear?]],Table4[[#This Row],[av]],10^(Table4[[#This Row],[av]]/10))</f>
        <v>7.7690518518518514</v>
      </c>
      <c r="W900" s="2">
        <f>IF(Table4[[#This Row],[linear?]],Table4[[#This Row],[av]],10^(Table4[[#This Row],[av]]/10))</f>
        <v>7.7690518518518514</v>
      </c>
      <c r="X900" s="2">
        <f>Table4[[#This Row],[av_lin]]-2*Table4[[#This Row],[std_lin]]</f>
        <v>-7.7690518518518514</v>
      </c>
      <c r="Y900" s="2">
        <f>Table4[[#This Row],[av_lin]]+2*Table4[[#This Row],[std_lin]]</f>
        <v>23.307155555555553</v>
      </c>
    </row>
    <row r="901" spans="1:25" x14ac:dyDescent="0.35">
      <c r="A901" s="1">
        <v>1500</v>
      </c>
      <c r="B901" t="s">
        <v>829</v>
      </c>
      <c r="C901" t="s">
        <v>253</v>
      </c>
      <c r="D901" t="s">
        <v>390</v>
      </c>
      <c r="E901" s="2">
        <v>33.348981481481481</v>
      </c>
      <c r="F901" s="2">
        <v>69.953413710480604</v>
      </c>
      <c r="G901">
        <v>27</v>
      </c>
      <c r="H901" t="s">
        <v>58</v>
      </c>
      <c r="M901" s="2">
        <v>173.25580890244271</v>
      </c>
      <c r="N901" s="2">
        <v>-106.55784593947971</v>
      </c>
      <c r="O901" s="2">
        <v>279.81365484192241</v>
      </c>
      <c r="P901" s="2">
        <v>0.47673129462279618</v>
      </c>
      <c r="R901" t="str">
        <f t="shared" si="42"/>
        <v>yes</v>
      </c>
      <c r="S901" t="str">
        <f t="shared" si="43"/>
        <v>no</v>
      </c>
      <c r="T9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1" s="2" t="b">
        <f t="shared" si="44"/>
        <v>0</v>
      </c>
      <c r="V901" s="2">
        <f>IF(Table4[[#This Row],[linear?]],Table4[[#This Row],[av]],10^(Table4[[#This Row],[av]]/10))</f>
        <v>2162.2113769224356</v>
      </c>
      <c r="W901" s="2">
        <f>IF(Table4[[#This Row],[linear?]],Table4[[#This Row],[av]],10^(Table4[[#This Row],[av]]/10))</f>
        <v>2162.2113769224356</v>
      </c>
      <c r="X901" s="2">
        <f>Table4[[#This Row],[av_lin]]-2*Table4[[#This Row],[std_lin]]</f>
        <v>-2162.2113769224356</v>
      </c>
      <c r="Y901" s="2">
        <f>Table4[[#This Row],[av_lin]]+2*Table4[[#This Row],[std_lin]]</f>
        <v>6486.6341307673065</v>
      </c>
    </row>
    <row r="902" spans="1:25" x14ac:dyDescent="0.35">
      <c r="A902" s="1">
        <v>1501</v>
      </c>
      <c r="B902" t="s">
        <v>829</v>
      </c>
      <c r="C902" t="s">
        <v>253</v>
      </c>
      <c r="D902" t="s">
        <v>391</v>
      </c>
      <c r="E902" s="2">
        <v>0</v>
      </c>
      <c r="F902" s="2">
        <v>0</v>
      </c>
      <c r="G902">
        <v>27</v>
      </c>
      <c r="H902" t="s">
        <v>58</v>
      </c>
      <c r="M902" s="2">
        <v>0</v>
      </c>
      <c r="N902" s="2">
        <v>0</v>
      </c>
      <c r="O902" s="2">
        <v>0</v>
      </c>
      <c r="R902" t="str">
        <f t="shared" si="42"/>
        <v>yes</v>
      </c>
      <c r="S902" t="str">
        <f t="shared" si="43"/>
        <v>no</v>
      </c>
      <c r="T9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2" s="2" t="b">
        <f t="shared" si="44"/>
        <v>0</v>
      </c>
      <c r="V902" s="2">
        <f>IF(Table4[[#This Row],[linear?]],Table4[[#This Row],[av]],10^(Table4[[#This Row],[av]]/10))</f>
        <v>1</v>
      </c>
      <c r="W902" s="2">
        <f>IF(Table4[[#This Row],[linear?]],Table4[[#This Row],[av]],10^(Table4[[#This Row],[av]]/10))</f>
        <v>1</v>
      </c>
      <c r="X902" s="2">
        <f>Table4[[#This Row],[av_lin]]-2*Table4[[#This Row],[std_lin]]</f>
        <v>-1</v>
      </c>
      <c r="Y902" s="2">
        <f>Table4[[#This Row],[av_lin]]+2*Table4[[#This Row],[std_lin]]</f>
        <v>3</v>
      </c>
    </row>
    <row r="903" spans="1:25" x14ac:dyDescent="0.35">
      <c r="A903" s="1">
        <v>1502</v>
      </c>
      <c r="B903" t="s">
        <v>829</v>
      </c>
      <c r="C903" t="s">
        <v>253</v>
      </c>
      <c r="D903" t="s">
        <v>392</v>
      </c>
      <c r="E903" s="2">
        <v>0</v>
      </c>
      <c r="F903" s="2">
        <v>0</v>
      </c>
      <c r="G903">
        <v>27</v>
      </c>
      <c r="H903" t="s">
        <v>58</v>
      </c>
      <c r="M903" s="2">
        <v>0</v>
      </c>
      <c r="N903" s="2">
        <v>0</v>
      </c>
      <c r="O903" s="2">
        <v>0</v>
      </c>
      <c r="R903" t="str">
        <f t="shared" si="42"/>
        <v>yes</v>
      </c>
      <c r="S903" t="str">
        <f t="shared" si="43"/>
        <v>no</v>
      </c>
      <c r="T9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3" s="2" t="b">
        <f t="shared" si="44"/>
        <v>0</v>
      </c>
      <c r="V903" s="2">
        <f>IF(Table4[[#This Row],[linear?]],Table4[[#This Row],[av]],10^(Table4[[#This Row],[av]]/10))</f>
        <v>1</v>
      </c>
      <c r="W903" s="2">
        <f>IF(Table4[[#This Row],[linear?]],Table4[[#This Row],[av]],10^(Table4[[#This Row],[av]]/10))</f>
        <v>1</v>
      </c>
      <c r="X903" s="2">
        <f>Table4[[#This Row],[av_lin]]-2*Table4[[#This Row],[std_lin]]</f>
        <v>-1</v>
      </c>
      <c r="Y903" s="2">
        <f>Table4[[#This Row],[av_lin]]+2*Table4[[#This Row],[std_lin]]</f>
        <v>3</v>
      </c>
    </row>
    <row r="904" spans="1:25" x14ac:dyDescent="0.35">
      <c r="A904" s="1">
        <v>1503</v>
      </c>
      <c r="B904" t="s">
        <v>829</v>
      </c>
      <c r="C904" t="s">
        <v>253</v>
      </c>
      <c r="D904" t="s">
        <v>393</v>
      </c>
      <c r="E904" s="2">
        <v>7.165648148148148</v>
      </c>
      <c r="F904" s="2">
        <v>15.044023179405711</v>
      </c>
      <c r="G904">
        <v>27</v>
      </c>
      <c r="H904" t="s">
        <v>58</v>
      </c>
      <c r="M904" s="2">
        <v>37.253694506959569</v>
      </c>
      <c r="N904" s="2">
        <v>-22.922398210663271</v>
      </c>
      <c r="O904" s="2">
        <v>60.176092717622844</v>
      </c>
      <c r="P904" s="2">
        <v>0.47631195875565091</v>
      </c>
      <c r="R904" t="str">
        <f t="shared" si="42"/>
        <v>yes</v>
      </c>
      <c r="S904" t="str">
        <f t="shared" si="43"/>
        <v>no</v>
      </c>
      <c r="T9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4" s="2" t="b">
        <f t="shared" si="44"/>
        <v>1</v>
      </c>
      <c r="V904" s="2">
        <f>IF(Table4[[#This Row],[linear?]],Table4[[#This Row],[av]],10^(Table4[[#This Row],[av]]/10))</f>
        <v>7.165648148148148</v>
      </c>
      <c r="W904" s="2">
        <f>IF(Table4[[#This Row],[linear?]],Table4[[#This Row],[av]],10^(Table4[[#This Row],[av]]/10))</f>
        <v>7.165648148148148</v>
      </c>
      <c r="X904" s="2">
        <f>Table4[[#This Row],[av_lin]]-2*Table4[[#This Row],[std_lin]]</f>
        <v>-7.165648148148148</v>
      </c>
      <c r="Y904" s="2">
        <f>Table4[[#This Row],[av_lin]]+2*Table4[[#This Row],[std_lin]]</f>
        <v>21.496944444444445</v>
      </c>
    </row>
    <row r="905" spans="1:25" x14ac:dyDescent="0.35">
      <c r="A905" s="1">
        <v>1504</v>
      </c>
      <c r="B905" t="s">
        <v>829</v>
      </c>
      <c r="C905" t="s">
        <v>253</v>
      </c>
      <c r="D905" t="s">
        <v>394</v>
      </c>
      <c r="E905" s="2">
        <v>26.776166666666668</v>
      </c>
      <c r="F905" s="2">
        <v>59.033701270683487</v>
      </c>
      <c r="G905">
        <v>27</v>
      </c>
      <c r="H905" t="s">
        <v>58</v>
      </c>
      <c r="M905" s="2">
        <v>144.84356920803361</v>
      </c>
      <c r="N905" s="2">
        <v>-91.291235874700305</v>
      </c>
      <c r="O905" s="2">
        <v>236.13480508273389</v>
      </c>
      <c r="P905" s="2">
        <v>0.45357424810434321</v>
      </c>
      <c r="R905" t="str">
        <f t="shared" si="42"/>
        <v>yes</v>
      </c>
      <c r="S905" t="str">
        <f t="shared" si="43"/>
        <v>no</v>
      </c>
      <c r="T9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5" s="2" t="b">
        <f t="shared" si="44"/>
        <v>0</v>
      </c>
      <c r="V905" s="2">
        <f>IF(Table4[[#This Row],[linear?]],Table4[[#This Row],[av]],10^(Table4[[#This Row],[av]]/10))</f>
        <v>476.01064690039368</v>
      </c>
      <c r="W905" s="2">
        <f>IF(Table4[[#This Row],[linear?]],Table4[[#This Row],[av]],10^(Table4[[#This Row],[av]]/10))</f>
        <v>476.01064690039368</v>
      </c>
      <c r="X905" s="2">
        <f>Table4[[#This Row],[av_lin]]-2*Table4[[#This Row],[std_lin]]</f>
        <v>-476.01064690039368</v>
      </c>
      <c r="Y905" s="2">
        <f>Table4[[#This Row],[av_lin]]+2*Table4[[#This Row],[std_lin]]</f>
        <v>1428.0319407011812</v>
      </c>
    </row>
    <row r="906" spans="1:25" x14ac:dyDescent="0.35">
      <c r="A906" s="1">
        <v>1505</v>
      </c>
      <c r="B906" t="s">
        <v>829</v>
      </c>
      <c r="C906" t="s">
        <v>253</v>
      </c>
      <c r="D906" t="s">
        <v>395</v>
      </c>
      <c r="E906" s="2">
        <v>0</v>
      </c>
      <c r="F906" s="2">
        <v>0</v>
      </c>
      <c r="G906">
        <v>27</v>
      </c>
      <c r="H906" t="s">
        <v>58</v>
      </c>
      <c r="M906" s="2">
        <v>0</v>
      </c>
      <c r="N906" s="2">
        <v>0</v>
      </c>
      <c r="O906" s="2">
        <v>0</v>
      </c>
      <c r="R906" t="str">
        <f t="shared" si="42"/>
        <v>yes</v>
      </c>
      <c r="S906" t="str">
        <f t="shared" si="43"/>
        <v>no</v>
      </c>
      <c r="T9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6" s="2" t="b">
        <f t="shared" si="44"/>
        <v>0</v>
      </c>
      <c r="V906" s="2">
        <f>IF(Table4[[#This Row],[linear?]],Table4[[#This Row],[av]],10^(Table4[[#This Row],[av]]/10))</f>
        <v>1</v>
      </c>
      <c r="W906" s="2">
        <f>IF(Table4[[#This Row],[linear?]],Table4[[#This Row],[av]],10^(Table4[[#This Row],[av]]/10))</f>
        <v>1</v>
      </c>
      <c r="X906" s="2">
        <f>Table4[[#This Row],[av_lin]]-2*Table4[[#This Row],[std_lin]]</f>
        <v>-1</v>
      </c>
      <c r="Y906" s="2">
        <f>Table4[[#This Row],[av_lin]]+2*Table4[[#This Row],[std_lin]]</f>
        <v>3</v>
      </c>
    </row>
    <row r="907" spans="1:25" x14ac:dyDescent="0.35">
      <c r="A907" s="1">
        <v>1506</v>
      </c>
      <c r="B907" t="s">
        <v>829</v>
      </c>
      <c r="C907" t="s">
        <v>253</v>
      </c>
      <c r="D907" t="s">
        <v>396</v>
      </c>
      <c r="E907" s="2">
        <v>0</v>
      </c>
      <c r="F907" s="2">
        <v>0</v>
      </c>
      <c r="G907">
        <v>27</v>
      </c>
      <c r="H907" t="s">
        <v>58</v>
      </c>
      <c r="M907" s="2">
        <v>0</v>
      </c>
      <c r="N907" s="2">
        <v>0</v>
      </c>
      <c r="O907" s="2">
        <v>0</v>
      </c>
      <c r="R907" t="str">
        <f t="shared" si="42"/>
        <v>yes</v>
      </c>
      <c r="S907" t="str">
        <f t="shared" si="43"/>
        <v>no</v>
      </c>
      <c r="T9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7" s="2" t="b">
        <f t="shared" si="44"/>
        <v>0</v>
      </c>
      <c r="V907" s="2">
        <f>IF(Table4[[#This Row],[linear?]],Table4[[#This Row],[av]],10^(Table4[[#This Row],[av]]/10))</f>
        <v>1</v>
      </c>
      <c r="W907" s="2">
        <f>IF(Table4[[#This Row],[linear?]],Table4[[#This Row],[av]],10^(Table4[[#This Row],[av]]/10))</f>
        <v>1</v>
      </c>
      <c r="X907" s="2">
        <f>Table4[[#This Row],[av_lin]]-2*Table4[[#This Row],[std_lin]]</f>
        <v>-1</v>
      </c>
      <c r="Y907" s="2">
        <f>Table4[[#This Row],[av_lin]]+2*Table4[[#This Row],[std_lin]]</f>
        <v>3</v>
      </c>
    </row>
    <row r="908" spans="1:25" x14ac:dyDescent="0.35">
      <c r="A908" s="1">
        <v>1507</v>
      </c>
      <c r="B908" t="s">
        <v>829</v>
      </c>
      <c r="C908" t="s">
        <v>253</v>
      </c>
      <c r="D908" t="s">
        <v>397</v>
      </c>
      <c r="E908" s="2">
        <v>6.1008259259259257</v>
      </c>
      <c r="F908" s="2">
        <v>12.812741184796771</v>
      </c>
      <c r="G908">
        <v>27</v>
      </c>
      <c r="H908" t="s">
        <v>58</v>
      </c>
      <c r="M908" s="2">
        <v>31.72630829551947</v>
      </c>
      <c r="N908" s="2">
        <v>-19.52465644366762</v>
      </c>
      <c r="O908" s="2">
        <v>51.250964739187083</v>
      </c>
      <c r="P908" s="2">
        <v>0.47615306029633919</v>
      </c>
      <c r="R908" t="str">
        <f t="shared" si="42"/>
        <v>yes</v>
      </c>
      <c r="S908" t="str">
        <f t="shared" si="43"/>
        <v>no</v>
      </c>
      <c r="T9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8" s="2" t="b">
        <f t="shared" si="44"/>
        <v>1</v>
      </c>
      <c r="V908" s="2">
        <f>IF(Table4[[#This Row],[linear?]],Table4[[#This Row],[av]],10^(Table4[[#This Row],[av]]/10))</f>
        <v>6.1008259259259257</v>
      </c>
      <c r="W908" s="2">
        <f>IF(Table4[[#This Row],[linear?]],Table4[[#This Row],[av]],10^(Table4[[#This Row],[av]]/10))</f>
        <v>6.1008259259259257</v>
      </c>
      <c r="X908" s="2">
        <f>Table4[[#This Row],[av_lin]]-2*Table4[[#This Row],[std_lin]]</f>
        <v>-6.1008259259259257</v>
      </c>
      <c r="Y908" s="2">
        <f>Table4[[#This Row],[av_lin]]+2*Table4[[#This Row],[std_lin]]</f>
        <v>18.302477777777778</v>
      </c>
    </row>
    <row r="909" spans="1:25" x14ac:dyDescent="0.35">
      <c r="A909" s="1">
        <v>1508</v>
      </c>
      <c r="B909" t="s">
        <v>829</v>
      </c>
      <c r="C909" t="s">
        <v>253</v>
      </c>
      <c r="D909" t="s">
        <v>398</v>
      </c>
      <c r="E909" s="2">
        <v>0</v>
      </c>
      <c r="F909" s="2">
        <v>0</v>
      </c>
      <c r="G909">
        <v>27</v>
      </c>
      <c r="H909" t="s">
        <v>58</v>
      </c>
      <c r="M909" s="2">
        <v>0</v>
      </c>
      <c r="N909" s="2">
        <v>0</v>
      </c>
      <c r="O909" s="2">
        <v>0</v>
      </c>
      <c r="R909" t="str">
        <f t="shared" si="42"/>
        <v>yes</v>
      </c>
      <c r="S909" t="str">
        <f t="shared" si="43"/>
        <v>no</v>
      </c>
      <c r="T9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9" s="2" t="b">
        <f t="shared" si="44"/>
        <v>0</v>
      </c>
      <c r="V909" s="2">
        <f>IF(Table4[[#This Row],[linear?]],Table4[[#This Row],[av]],10^(Table4[[#This Row],[av]]/10))</f>
        <v>1</v>
      </c>
      <c r="W909" s="2">
        <f>IF(Table4[[#This Row],[linear?]],Table4[[#This Row],[av]],10^(Table4[[#This Row],[av]]/10))</f>
        <v>1</v>
      </c>
      <c r="X909" s="2">
        <f>Table4[[#This Row],[av_lin]]-2*Table4[[#This Row],[std_lin]]</f>
        <v>-1</v>
      </c>
      <c r="Y909" s="2">
        <f>Table4[[#This Row],[av_lin]]+2*Table4[[#This Row],[std_lin]]</f>
        <v>3</v>
      </c>
    </row>
    <row r="910" spans="1:25" x14ac:dyDescent="0.35">
      <c r="A910" s="1">
        <v>1509</v>
      </c>
      <c r="B910" t="s">
        <v>829</v>
      </c>
      <c r="C910" t="s">
        <v>253</v>
      </c>
      <c r="D910" t="s">
        <v>399</v>
      </c>
      <c r="E910" s="2">
        <v>2.9957555555555562</v>
      </c>
      <c r="F910" s="2">
        <v>5.6045454517067581</v>
      </c>
      <c r="G910">
        <v>27</v>
      </c>
      <c r="H910" t="s">
        <v>58</v>
      </c>
      <c r="M910" s="2">
        <v>14.204846458969071</v>
      </c>
      <c r="N910" s="2">
        <v>-8.21333534785796</v>
      </c>
      <c r="O910" s="2">
        <v>22.418181806827029</v>
      </c>
      <c r="P910" s="2">
        <v>0.5345224838248489</v>
      </c>
      <c r="R910" t="str">
        <f t="shared" si="42"/>
        <v>yes</v>
      </c>
      <c r="S910" t="str">
        <f t="shared" si="43"/>
        <v>no</v>
      </c>
      <c r="T9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0" s="2" t="b">
        <f t="shared" si="44"/>
        <v>0</v>
      </c>
      <c r="V910" s="2">
        <f>IF(Table4[[#This Row],[linear?]],Table4[[#This Row],[av]],10^(Table4[[#This Row],[av]]/10))</f>
        <v>1.9933132588797982</v>
      </c>
      <c r="W910" s="2">
        <f>IF(Table4[[#This Row],[linear?]],Table4[[#This Row],[av]],10^(Table4[[#This Row],[av]]/10))</f>
        <v>1.9933132588797982</v>
      </c>
      <c r="X910" s="2">
        <f>Table4[[#This Row],[av_lin]]-2*Table4[[#This Row],[std_lin]]</f>
        <v>-1.9933132588797982</v>
      </c>
      <c r="Y910" s="2">
        <f>Table4[[#This Row],[av_lin]]+2*Table4[[#This Row],[std_lin]]</f>
        <v>5.9799397766393945</v>
      </c>
    </row>
    <row r="911" spans="1:25" x14ac:dyDescent="0.35">
      <c r="A911" s="1">
        <v>1510</v>
      </c>
      <c r="B911" t="s">
        <v>829</v>
      </c>
      <c r="C911" t="s">
        <v>253</v>
      </c>
      <c r="D911" t="s">
        <v>400</v>
      </c>
      <c r="E911" s="2">
        <v>0</v>
      </c>
      <c r="F911" s="2">
        <v>0</v>
      </c>
      <c r="G911">
        <v>27</v>
      </c>
      <c r="H911" t="s">
        <v>58</v>
      </c>
      <c r="M911" s="2">
        <v>0</v>
      </c>
      <c r="N911" s="2">
        <v>0</v>
      </c>
      <c r="O911" s="2">
        <v>0</v>
      </c>
      <c r="R911" t="str">
        <f t="shared" si="42"/>
        <v>yes</v>
      </c>
      <c r="S911" t="str">
        <f t="shared" si="43"/>
        <v>no</v>
      </c>
      <c r="T9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1" s="2" t="b">
        <f t="shared" si="44"/>
        <v>0</v>
      </c>
      <c r="V911" s="2">
        <f>IF(Table4[[#This Row],[linear?]],Table4[[#This Row],[av]],10^(Table4[[#This Row],[av]]/10))</f>
        <v>1</v>
      </c>
      <c r="W911" s="2">
        <f>IF(Table4[[#This Row],[linear?]],Table4[[#This Row],[av]],10^(Table4[[#This Row],[av]]/10))</f>
        <v>1</v>
      </c>
      <c r="X911" s="2">
        <f>Table4[[#This Row],[av_lin]]-2*Table4[[#This Row],[std_lin]]</f>
        <v>-1</v>
      </c>
      <c r="Y911" s="2">
        <f>Table4[[#This Row],[av_lin]]+2*Table4[[#This Row],[std_lin]]</f>
        <v>3</v>
      </c>
    </row>
    <row r="912" spans="1:25" x14ac:dyDescent="0.35">
      <c r="A912" s="1">
        <v>1511</v>
      </c>
      <c r="B912" t="s">
        <v>829</v>
      </c>
      <c r="C912" t="s">
        <v>253</v>
      </c>
      <c r="D912" t="s">
        <v>401</v>
      </c>
      <c r="E912" s="2">
        <v>9.3654555555555543</v>
      </c>
      <c r="F912" s="2">
        <v>17.61700041324421</v>
      </c>
      <c r="G912">
        <v>27</v>
      </c>
      <c r="H912" t="s">
        <v>58</v>
      </c>
      <c r="M912" s="2">
        <v>44.599456382043982</v>
      </c>
      <c r="N912" s="2">
        <v>-25.868545270932859</v>
      </c>
      <c r="O912" s="2">
        <v>70.468001652976838</v>
      </c>
      <c r="P912" s="2">
        <v>0.53161465265759644</v>
      </c>
      <c r="R912" t="str">
        <f t="shared" si="42"/>
        <v>yes</v>
      </c>
      <c r="S912" t="str">
        <f t="shared" si="43"/>
        <v>no</v>
      </c>
      <c r="T9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2" s="2" t="b">
        <f t="shared" si="44"/>
        <v>1</v>
      </c>
      <c r="V912" s="2">
        <f>IF(Table4[[#This Row],[linear?]],Table4[[#This Row],[av]],10^(Table4[[#This Row],[av]]/10))</f>
        <v>9.3654555555555543</v>
      </c>
      <c r="W912" s="2">
        <f>IF(Table4[[#This Row],[linear?]],Table4[[#This Row],[av]],10^(Table4[[#This Row],[av]]/10))</f>
        <v>9.3654555555555543</v>
      </c>
      <c r="X912" s="2">
        <f>Table4[[#This Row],[av_lin]]-2*Table4[[#This Row],[std_lin]]</f>
        <v>-9.3654555555555543</v>
      </c>
      <c r="Y912" s="2">
        <f>Table4[[#This Row],[av_lin]]+2*Table4[[#This Row],[std_lin]]</f>
        <v>28.096366666666661</v>
      </c>
    </row>
    <row r="913" spans="1:25" x14ac:dyDescent="0.35">
      <c r="A913" s="1">
        <v>1512</v>
      </c>
      <c r="B913" t="s">
        <v>829</v>
      </c>
      <c r="C913" t="s">
        <v>253</v>
      </c>
      <c r="D913" t="s">
        <v>402</v>
      </c>
      <c r="E913" s="2">
        <v>0</v>
      </c>
      <c r="F913" s="2">
        <v>0</v>
      </c>
      <c r="G913">
        <v>27</v>
      </c>
      <c r="H913" t="s">
        <v>58</v>
      </c>
      <c r="M913" s="2">
        <v>0</v>
      </c>
      <c r="N913" s="2">
        <v>0</v>
      </c>
      <c r="O913" s="2">
        <v>0</v>
      </c>
      <c r="R913" t="str">
        <f t="shared" si="42"/>
        <v>yes</v>
      </c>
      <c r="S913" t="str">
        <f t="shared" si="43"/>
        <v>no</v>
      </c>
      <c r="T9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3" s="2" t="b">
        <f t="shared" si="44"/>
        <v>0</v>
      </c>
      <c r="V913" s="2">
        <f>IF(Table4[[#This Row],[linear?]],Table4[[#This Row],[av]],10^(Table4[[#This Row],[av]]/10))</f>
        <v>1</v>
      </c>
      <c r="W913" s="2">
        <f>IF(Table4[[#This Row],[linear?]],Table4[[#This Row],[av]],10^(Table4[[#This Row],[av]]/10))</f>
        <v>1</v>
      </c>
      <c r="X913" s="2">
        <f>Table4[[#This Row],[av_lin]]-2*Table4[[#This Row],[std_lin]]</f>
        <v>-1</v>
      </c>
      <c r="Y913" s="2">
        <f>Table4[[#This Row],[av_lin]]+2*Table4[[#This Row],[std_lin]]</f>
        <v>3</v>
      </c>
    </row>
    <row r="914" spans="1:25" x14ac:dyDescent="0.35">
      <c r="A914" s="1">
        <v>1513</v>
      </c>
      <c r="B914" t="s">
        <v>829</v>
      </c>
      <c r="C914" t="s">
        <v>253</v>
      </c>
      <c r="D914" t="s">
        <v>403</v>
      </c>
      <c r="E914" s="2">
        <v>3.994340740740741</v>
      </c>
      <c r="F914" s="2">
        <v>6.1556924987129253</v>
      </c>
      <c r="G914">
        <v>27</v>
      </c>
      <c r="H914" t="s">
        <v>58</v>
      </c>
      <c r="M914" s="2">
        <v>16.30572573816659</v>
      </c>
      <c r="N914" s="2">
        <v>-8.3170442566851097</v>
      </c>
      <c r="O914" s="2">
        <v>24.622769994851701</v>
      </c>
      <c r="P914" s="2">
        <v>0.64888568452305007</v>
      </c>
      <c r="R914" t="str">
        <f t="shared" si="42"/>
        <v>yes</v>
      </c>
      <c r="S914" t="str">
        <f t="shared" si="43"/>
        <v>no</v>
      </c>
      <c r="T9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4" s="2" t="b">
        <f t="shared" si="44"/>
        <v>0</v>
      </c>
      <c r="V914" s="2">
        <f>IF(Table4[[#This Row],[linear?]],Table4[[#This Row],[av]],10^(Table4[[#This Row],[av]]/10))</f>
        <v>2.508615342615431</v>
      </c>
      <c r="W914" s="2">
        <f>IF(Table4[[#This Row],[linear?]],Table4[[#This Row],[av]],10^(Table4[[#This Row],[av]]/10))</f>
        <v>2.508615342615431</v>
      </c>
      <c r="X914" s="2">
        <f>Table4[[#This Row],[av_lin]]-2*Table4[[#This Row],[std_lin]]</f>
        <v>-2.508615342615431</v>
      </c>
      <c r="Y914" s="2">
        <f>Table4[[#This Row],[av_lin]]+2*Table4[[#This Row],[std_lin]]</f>
        <v>7.5258460278462929</v>
      </c>
    </row>
    <row r="915" spans="1:25" x14ac:dyDescent="0.35">
      <c r="A915" s="1">
        <v>1514</v>
      </c>
      <c r="B915" t="s">
        <v>829</v>
      </c>
      <c r="C915" t="s">
        <v>253</v>
      </c>
      <c r="D915" t="s">
        <v>404</v>
      </c>
      <c r="E915" s="2">
        <v>0</v>
      </c>
      <c r="F915" s="2">
        <v>0</v>
      </c>
      <c r="G915">
        <v>27</v>
      </c>
      <c r="H915" t="s">
        <v>58</v>
      </c>
      <c r="M915" s="2">
        <v>0</v>
      </c>
      <c r="N915" s="2">
        <v>0</v>
      </c>
      <c r="O915" s="2">
        <v>0</v>
      </c>
      <c r="R915" t="str">
        <f t="shared" si="42"/>
        <v>yes</v>
      </c>
      <c r="S915" t="str">
        <f t="shared" si="43"/>
        <v>no</v>
      </c>
      <c r="T9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5" s="2" t="b">
        <f t="shared" si="44"/>
        <v>0</v>
      </c>
      <c r="V915" s="2">
        <f>IF(Table4[[#This Row],[linear?]],Table4[[#This Row],[av]],10^(Table4[[#This Row],[av]]/10))</f>
        <v>1</v>
      </c>
      <c r="W915" s="2">
        <f>IF(Table4[[#This Row],[linear?]],Table4[[#This Row],[av]],10^(Table4[[#This Row],[av]]/10))</f>
        <v>1</v>
      </c>
      <c r="X915" s="2">
        <f>Table4[[#This Row],[av_lin]]-2*Table4[[#This Row],[std_lin]]</f>
        <v>-1</v>
      </c>
      <c r="Y915" s="2">
        <f>Table4[[#This Row],[av_lin]]+2*Table4[[#This Row],[std_lin]]</f>
        <v>3</v>
      </c>
    </row>
    <row r="916" spans="1:25" x14ac:dyDescent="0.35">
      <c r="A916" s="1">
        <v>1515</v>
      </c>
      <c r="B916" t="s">
        <v>829</v>
      </c>
      <c r="C916" t="s">
        <v>253</v>
      </c>
      <c r="D916" t="s">
        <v>405</v>
      </c>
      <c r="E916" s="2">
        <v>11.741899999999999</v>
      </c>
      <c r="F916" s="2">
        <v>18.304691535596369</v>
      </c>
      <c r="G916">
        <v>27</v>
      </c>
      <c r="H916" t="s">
        <v>58</v>
      </c>
      <c r="M916" s="2">
        <v>48.351283071192739</v>
      </c>
      <c r="N916" s="2">
        <v>-24.867483071192741</v>
      </c>
      <c r="O916" s="2">
        <v>73.218766142385476</v>
      </c>
      <c r="P916" s="2">
        <v>0.64146942750529379</v>
      </c>
      <c r="R916" t="str">
        <f t="shared" si="42"/>
        <v>yes</v>
      </c>
      <c r="S916" t="str">
        <f t="shared" si="43"/>
        <v>no</v>
      </c>
      <c r="T9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6" s="2" t="b">
        <f t="shared" si="44"/>
        <v>1</v>
      </c>
      <c r="V916" s="2">
        <f>IF(Table4[[#This Row],[linear?]],Table4[[#This Row],[av]],10^(Table4[[#This Row],[av]]/10))</f>
        <v>11.741899999999999</v>
      </c>
      <c r="W916" s="2">
        <f>IF(Table4[[#This Row],[linear?]],Table4[[#This Row],[av]],10^(Table4[[#This Row],[av]]/10))</f>
        <v>11.741899999999999</v>
      </c>
      <c r="X916" s="2">
        <f>Table4[[#This Row],[av_lin]]-2*Table4[[#This Row],[std_lin]]</f>
        <v>-11.741899999999999</v>
      </c>
      <c r="Y916" s="2">
        <f>Table4[[#This Row],[av_lin]]+2*Table4[[#This Row],[std_lin]]</f>
        <v>35.225699999999996</v>
      </c>
    </row>
    <row r="917" spans="1:25" x14ac:dyDescent="0.35">
      <c r="A917" s="1">
        <v>1516</v>
      </c>
      <c r="B917" t="s">
        <v>829</v>
      </c>
      <c r="C917" t="s">
        <v>253</v>
      </c>
      <c r="D917" t="s">
        <v>406</v>
      </c>
      <c r="E917" s="2">
        <v>0</v>
      </c>
      <c r="F917" s="2">
        <v>0</v>
      </c>
      <c r="G917">
        <v>27</v>
      </c>
      <c r="H917" t="s">
        <v>58</v>
      </c>
      <c r="M917" s="2">
        <v>0</v>
      </c>
      <c r="N917" s="2">
        <v>0</v>
      </c>
      <c r="O917" s="2">
        <v>0</v>
      </c>
      <c r="R917" t="str">
        <f t="shared" si="42"/>
        <v>yes</v>
      </c>
      <c r="S917" t="str">
        <f t="shared" si="43"/>
        <v>no</v>
      </c>
      <c r="T9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7" s="2" t="b">
        <f t="shared" si="44"/>
        <v>0</v>
      </c>
      <c r="V917" s="2">
        <f>IF(Table4[[#This Row],[linear?]],Table4[[#This Row],[av]],10^(Table4[[#This Row],[av]]/10))</f>
        <v>1</v>
      </c>
      <c r="W917" s="2">
        <f>IF(Table4[[#This Row],[linear?]],Table4[[#This Row],[av]],10^(Table4[[#This Row],[av]]/10))</f>
        <v>1</v>
      </c>
      <c r="X917" s="2">
        <f>Table4[[#This Row],[av_lin]]-2*Table4[[#This Row],[std_lin]]</f>
        <v>-1</v>
      </c>
      <c r="Y917" s="2">
        <f>Table4[[#This Row],[av_lin]]+2*Table4[[#This Row],[std_lin]]</f>
        <v>3</v>
      </c>
    </row>
    <row r="918" spans="1:25" x14ac:dyDescent="0.35">
      <c r="A918" s="1">
        <v>1517</v>
      </c>
      <c r="B918" t="s">
        <v>829</v>
      </c>
      <c r="C918" t="s">
        <v>253</v>
      </c>
      <c r="D918" t="s">
        <v>407</v>
      </c>
      <c r="E918" s="2">
        <v>2.9957555555555562</v>
      </c>
      <c r="F918" s="2">
        <v>5.6045454517067581</v>
      </c>
      <c r="G918">
        <v>27</v>
      </c>
      <c r="H918" t="s">
        <v>58</v>
      </c>
      <c r="M918" s="2">
        <v>14.204846458969071</v>
      </c>
      <c r="N918" s="2">
        <v>-8.21333534785796</v>
      </c>
      <c r="O918" s="2">
        <v>22.418181806827029</v>
      </c>
      <c r="P918" s="2">
        <v>0.5345224838248489</v>
      </c>
      <c r="R918" t="str">
        <f t="shared" si="42"/>
        <v>yes</v>
      </c>
      <c r="S918" t="str">
        <f t="shared" si="43"/>
        <v>no</v>
      </c>
      <c r="T9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8" s="2" t="b">
        <f t="shared" si="44"/>
        <v>0</v>
      </c>
      <c r="V918" s="2">
        <f>IF(Table4[[#This Row],[linear?]],Table4[[#This Row],[av]],10^(Table4[[#This Row],[av]]/10))</f>
        <v>1.9933132588797982</v>
      </c>
      <c r="W918" s="2">
        <f>IF(Table4[[#This Row],[linear?]],Table4[[#This Row],[av]],10^(Table4[[#This Row],[av]]/10))</f>
        <v>1.9933132588797982</v>
      </c>
      <c r="X918" s="2">
        <f>Table4[[#This Row],[av_lin]]-2*Table4[[#This Row],[std_lin]]</f>
        <v>-1.9933132588797982</v>
      </c>
      <c r="Y918" s="2">
        <f>Table4[[#This Row],[av_lin]]+2*Table4[[#This Row],[std_lin]]</f>
        <v>5.9799397766393945</v>
      </c>
    </row>
    <row r="919" spans="1:25" x14ac:dyDescent="0.35">
      <c r="A919" s="1">
        <v>1518</v>
      </c>
      <c r="B919" t="s">
        <v>829</v>
      </c>
      <c r="C919" t="s">
        <v>253</v>
      </c>
      <c r="D919" t="s">
        <v>408</v>
      </c>
      <c r="E919" s="2">
        <v>0</v>
      </c>
      <c r="F919" s="2">
        <v>0</v>
      </c>
      <c r="G919">
        <v>27</v>
      </c>
      <c r="H919" t="s">
        <v>58</v>
      </c>
      <c r="M919" s="2">
        <v>0</v>
      </c>
      <c r="N919" s="2">
        <v>0</v>
      </c>
      <c r="O919" s="2">
        <v>0</v>
      </c>
      <c r="R919" t="str">
        <f t="shared" si="42"/>
        <v>yes</v>
      </c>
      <c r="S919" t="str">
        <f t="shared" si="43"/>
        <v>no</v>
      </c>
      <c r="T9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9" s="2" t="b">
        <f t="shared" si="44"/>
        <v>0</v>
      </c>
      <c r="V919" s="2">
        <f>IF(Table4[[#This Row],[linear?]],Table4[[#This Row],[av]],10^(Table4[[#This Row],[av]]/10))</f>
        <v>1</v>
      </c>
      <c r="W919" s="2">
        <f>IF(Table4[[#This Row],[linear?]],Table4[[#This Row],[av]],10^(Table4[[#This Row],[av]]/10))</f>
        <v>1</v>
      </c>
      <c r="X919" s="2">
        <f>Table4[[#This Row],[av_lin]]-2*Table4[[#This Row],[std_lin]]</f>
        <v>-1</v>
      </c>
      <c r="Y919" s="2">
        <f>Table4[[#This Row],[av_lin]]+2*Table4[[#This Row],[std_lin]]</f>
        <v>3</v>
      </c>
    </row>
    <row r="920" spans="1:25" x14ac:dyDescent="0.35">
      <c r="A920" s="1">
        <v>1519</v>
      </c>
      <c r="B920" t="s">
        <v>829</v>
      </c>
      <c r="C920" t="s">
        <v>253</v>
      </c>
      <c r="D920" t="s">
        <v>409</v>
      </c>
      <c r="E920" s="2">
        <v>8.7798037037037027</v>
      </c>
      <c r="F920" s="2">
        <v>16.487905752769471</v>
      </c>
      <c r="G920">
        <v>27</v>
      </c>
      <c r="H920" t="s">
        <v>58</v>
      </c>
      <c r="M920" s="2">
        <v>41.755615209242649</v>
      </c>
      <c r="N920" s="2">
        <v>-24.19600780183524</v>
      </c>
      <c r="O920" s="2">
        <v>65.951623011077885</v>
      </c>
      <c r="P920" s="2">
        <v>0.53249962944681195</v>
      </c>
      <c r="R920" t="str">
        <f t="shared" si="42"/>
        <v>yes</v>
      </c>
      <c r="S920" t="str">
        <f t="shared" si="43"/>
        <v>no</v>
      </c>
      <c r="T9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0" s="2" t="b">
        <f t="shared" si="44"/>
        <v>1</v>
      </c>
      <c r="V920" s="2">
        <f>IF(Table4[[#This Row],[linear?]],Table4[[#This Row],[av]],10^(Table4[[#This Row],[av]]/10))</f>
        <v>8.7798037037037027</v>
      </c>
      <c r="W920" s="2">
        <f>IF(Table4[[#This Row],[linear?]],Table4[[#This Row],[av]],10^(Table4[[#This Row],[av]]/10))</f>
        <v>8.7798037037037027</v>
      </c>
      <c r="X920" s="2">
        <f>Table4[[#This Row],[av_lin]]-2*Table4[[#This Row],[std_lin]]</f>
        <v>-8.7798037037037027</v>
      </c>
      <c r="Y920" s="2">
        <f>Table4[[#This Row],[av_lin]]+2*Table4[[#This Row],[std_lin]]</f>
        <v>26.339411111111108</v>
      </c>
    </row>
    <row r="921" spans="1:25" x14ac:dyDescent="0.35">
      <c r="A921" s="1">
        <v>1520</v>
      </c>
      <c r="B921" t="s">
        <v>829</v>
      </c>
      <c r="C921" t="s">
        <v>253</v>
      </c>
      <c r="D921" t="s">
        <v>410</v>
      </c>
      <c r="E921" s="2">
        <v>0</v>
      </c>
      <c r="F921" s="2">
        <v>0</v>
      </c>
      <c r="G921">
        <v>27</v>
      </c>
      <c r="H921" t="s">
        <v>58</v>
      </c>
      <c r="M921" s="2">
        <v>0</v>
      </c>
      <c r="N921" s="2">
        <v>0</v>
      </c>
      <c r="O921" s="2">
        <v>0</v>
      </c>
      <c r="R921" t="str">
        <f t="shared" si="42"/>
        <v>yes</v>
      </c>
      <c r="S921" t="str">
        <f t="shared" si="43"/>
        <v>no</v>
      </c>
      <c r="T9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1" s="2" t="b">
        <f t="shared" si="44"/>
        <v>0</v>
      </c>
      <c r="V921" s="2">
        <f>IF(Table4[[#This Row],[linear?]],Table4[[#This Row],[av]],10^(Table4[[#This Row],[av]]/10))</f>
        <v>1</v>
      </c>
      <c r="W921" s="2">
        <f>IF(Table4[[#This Row],[linear?]],Table4[[#This Row],[av]],10^(Table4[[#This Row],[av]]/10))</f>
        <v>1</v>
      </c>
      <c r="X921" s="2">
        <f>Table4[[#This Row],[av_lin]]-2*Table4[[#This Row],[std_lin]]</f>
        <v>-1</v>
      </c>
      <c r="Y921" s="2">
        <f>Table4[[#This Row],[av_lin]]+2*Table4[[#This Row],[std_lin]]</f>
        <v>3</v>
      </c>
    </row>
    <row r="922" spans="1:25" x14ac:dyDescent="0.35">
      <c r="A922" s="1">
        <v>1521</v>
      </c>
      <c r="B922" t="s">
        <v>829</v>
      </c>
      <c r="C922" t="s">
        <v>253</v>
      </c>
      <c r="D922" t="s">
        <v>411</v>
      </c>
      <c r="E922" s="2">
        <v>3.994340740740741</v>
      </c>
      <c r="F922" s="2">
        <v>6.1556924987129253</v>
      </c>
      <c r="G922">
        <v>27</v>
      </c>
      <c r="H922" t="s">
        <v>58</v>
      </c>
      <c r="M922" s="2">
        <v>16.30572573816659</v>
      </c>
      <c r="N922" s="2">
        <v>-8.3170442566851097</v>
      </c>
      <c r="O922" s="2">
        <v>24.622769994851701</v>
      </c>
      <c r="P922" s="2">
        <v>0.64888568452305007</v>
      </c>
      <c r="R922" t="str">
        <f t="shared" si="42"/>
        <v>yes</v>
      </c>
      <c r="S922" t="str">
        <f t="shared" si="43"/>
        <v>no</v>
      </c>
      <c r="T9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2" s="2" t="b">
        <f t="shared" si="44"/>
        <v>0</v>
      </c>
      <c r="V922" s="2">
        <f>IF(Table4[[#This Row],[linear?]],Table4[[#This Row],[av]],10^(Table4[[#This Row],[av]]/10))</f>
        <v>2.508615342615431</v>
      </c>
      <c r="W922" s="2">
        <f>IF(Table4[[#This Row],[linear?]],Table4[[#This Row],[av]],10^(Table4[[#This Row],[av]]/10))</f>
        <v>2.508615342615431</v>
      </c>
      <c r="X922" s="2">
        <f>Table4[[#This Row],[av_lin]]-2*Table4[[#This Row],[std_lin]]</f>
        <v>-2.508615342615431</v>
      </c>
      <c r="Y922" s="2">
        <f>Table4[[#This Row],[av_lin]]+2*Table4[[#This Row],[std_lin]]</f>
        <v>7.5258460278462929</v>
      </c>
    </row>
    <row r="923" spans="1:25" x14ac:dyDescent="0.35">
      <c r="A923" s="1">
        <v>1522</v>
      </c>
      <c r="B923" t="s">
        <v>829</v>
      </c>
      <c r="C923" t="s">
        <v>253</v>
      </c>
      <c r="D923" t="s">
        <v>412</v>
      </c>
      <c r="E923" s="2">
        <v>0</v>
      </c>
      <c r="F923" s="2">
        <v>0</v>
      </c>
      <c r="G923">
        <v>27</v>
      </c>
      <c r="H923" t="s">
        <v>58</v>
      </c>
      <c r="M923" s="2">
        <v>0</v>
      </c>
      <c r="N923" s="2">
        <v>0</v>
      </c>
      <c r="O923" s="2">
        <v>0</v>
      </c>
      <c r="R923" t="str">
        <f t="shared" si="42"/>
        <v>yes</v>
      </c>
      <c r="S923" t="str">
        <f t="shared" si="43"/>
        <v>no</v>
      </c>
      <c r="T9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3" s="2" t="b">
        <f t="shared" si="44"/>
        <v>0</v>
      </c>
      <c r="V923" s="2">
        <f>IF(Table4[[#This Row],[linear?]],Table4[[#This Row],[av]],10^(Table4[[#This Row],[av]]/10))</f>
        <v>1</v>
      </c>
      <c r="W923" s="2">
        <f>IF(Table4[[#This Row],[linear?]],Table4[[#This Row],[av]],10^(Table4[[#This Row],[av]]/10))</f>
        <v>1</v>
      </c>
      <c r="X923" s="2">
        <f>Table4[[#This Row],[av_lin]]-2*Table4[[#This Row],[std_lin]]</f>
        <v>-1</v>
      </c>
      <c r="Y923" s="2">
        <f>Table4[[#This Row],[av_lin]]+2*Table4[[#This Row],[std_lin]]</f>
        <v>3</v>
      </c>
    </row>
    <row r="924" spans="1:25" x14ac:dyDescent="0.35">
      <c r="A924" s="1">
        <v>1523</v>
      </c>
      <c r="B924" t="s">
        <v>829</v>
      </c>
      <c r="C924" t="s">
        <v>253</v>
      </c>
      <c r="D924" t="s">
        <v>413</v>
      </c>
      <c r="E924" s="2">
        <v>10.677074074074071</v>
      </c>
      <c r="F924" s="2">
        <v>16.592277851226179</v>
      </c>
      <c r="G924">
        <v>27</v>
      </c>
      <c r="H924" t="s">
        <v>58</v>
      </c>
      <c r="M924" s="2">
        <v>43.861629776526428</v>
      </c>
      <c r="N924" s="2">
        <v>-22.50748162837829</v>
      </c>
      <c r="O924" s="2">
        <v>66.369111404904714</v>
      </c>
      <c r="P924" s="2">
        <v>0.64349658135004228</v>
      </c>
      <c r="R924" t="str">
        <f t="shared" si="42"/>
        <v>yes</v>
      </c>
      <c r="S924" t="str">
        <f t="shared" si="43"/>
        <v>no</v>
      </c>
      <c r="T9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4" s="2" t="b">
        <f t="shared" si="44"/>
        <v>1</v>
      </c>
      <c r="V924" s="2">
        <f>IF(Table4[[#This Row],[linear?]],Table4[[#This Row],[av]],10^(Table4[[#This Row],[av]]/10))</f>
        <v>10.677074074074071</v>
      </c>
      <c r="W924" s="2">
        <f>IF(Table4[[#This Row],[linear?]],Table4[[#This Row],[av]],10^(Table4[[#This Row],[av]]/10))</f>
        <v>10.677074074074071</v>
      </c>
      <c r="X924" s="2">
        <f>Table4[[#This Row],[av_lin]]-2*Table4[[#This Row],[std_lin]]</f>
        <v>-10.677074074074071</v>
      </c>
      <c r="Y924" s="2">
        <f>Table4[[#This Row],[av_lin]]+2*Table4[[#This Row],[std_lin]]</f>
        <v>32.031222222222212</v>
      </c>
    </row>
    <row r="925" spans="1:25" x14ac:dyDescent="0.35">
      <c r="A925" s="1">
        <v>1524</v>
      </c>
      <c r="B925" t="s">
        <v>829</v>
      </c>
      <c r="C925" t="s">
        <v>253</v>
      </c>
      <c r="D925" t="s">
        <v>414</v>
      </c>
      <c r="E925" s="2">
        <v>0</v>
      </c>
      <c r="F925" s="2">
        <v>0</v>
      </c>
      <c r="G925">
        <v>27</v>
      </c>
      <c r="H925" t="s">
        <v>58</v>
      </c>
      <c r="M925" s="2">
        <v>0</v>
      </c>
      <c r="N925" s="2">
        <v>0</v>
      </c>
      <c r="O925" s="2">
        <v>0</v>
      </c>
      <c r="R925" t="str">
        <f t="shared" si="42"/>
        <v>yes</v>
      </c>
      <c r="S925" t="str">
        <f t="shared" si="43"/>
        <v>no</v>
      </c>
      <c r="T9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5" s="2" t="b">
        <f t="shared" si="44"/>
        <v>0</v>
      </c>
      <c r="V925" s="2">
        <f>IF(Table4[[#This Row],[linear?]],Table4[[#This Row],[av]],10^(Table4[[#This Row],[av]]/10))</f>
        <v>1</v>
      </c>
      <c r="W925" s="2">
        <f>IF(Table4[[#This Row],[linear?]],Table4[[#This Row],[av]],10^(Table4[[#This Row],[av]]/10))</f>
        <v>1</v>
      </c>
      <c r="X925" s="2">
        <f>Table4[[#This Row],[av_lin]]-2*Table4[[#This Row],[std_lin]]</f>
        <v>-1</v>
      </c>
      <c r="Y925" s="2">
        <f>Table4[[#This Row],[av_lin]]+2*Table4[[#This Row],[std_lin]]</f>
        <v>3</v>
      </c>
    </row>
    <row r="926" spans="1:25" x14ac:dyDescent="0.35">
      <c r="A926" s="1">
        <v>1525</v>
      </c>
      <c r="B926" t="s">
        <v>829</v>
      </c>
      <c r="C926" t="s">
        <v>253</v>
      </c>
      <c r="D926" t="s">
        <v>415</v>
      </c>
      <c r="E926" s="2">
        <v>2.9957555555555562</v>
      </c>
      <c r="F926" s="2">
        <v>5.6045454517067581</v>
      </c>
      <c r="G926">
        <v>27</v>
      </c>
      <c r="H926" t="s">
        <v>58</v>
      </c>
      <c r="M926" s="2">
        <v>14.204846458969071</v>
      </c>
      <c r="N926" s="2">
        <v>-8.21333534785796</v>
      </c>
      <c r="O926" s="2">
        <v>22.418181806827029</v>
      </c>
      <c r="P926" s="2">
        <v>0.5345224838248489</v>
      </c>
      <c r="R926" t="str">
        <f t="shared" si="42"/>
        <v>yes</v>
      </c>
      <c r="S926" t="str">
        <f t="shared" si="43"/>
        <v>no</v>
      </c>
      <c r="T9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6" s="2" t="b">
        <f t="shared" si="44"/>
        <v>0</v>
      </c>
      <c r="V926" s="2">
        <f>IF(Table4[[#This Row],[linear?]],Table4[[#This Row],[av]],10^(Table4[[#This Row],[av]]/10))</f>
        <v>1.9933132588797982</v>
      </c>
      <c r="W926" s="2">
        <f>IF(Table4[[#This Row],[linear?]],Table4[[#This Row],[av]],10^(Table4[[#This Row],[av]]/10))</f>
        <v>1.9933132588797982</v>
      </c>
      <c r="X926" s="2">
        <f>Table4[[#This Row],[av_lin]]-2*Table4[[#This Row],[std_lin]]</f>
        <v>-1.9933132588797982</v>
      </c>
      <c r="Y926" s="2">
        <f>Table4[[#This Row],[av_lin]]+2*Table4[[#This Row],[std_lin]]</f>
        <v>5.9799397766393945</v>
      </c>
    </row>
    <row r="927" spans="1:25" x14ac:dyDescent="0.35">
      <c r="A927" s="1">
        <v>1526</v>
      </c>
      <c r="B927" t="s">
        <v>829</v>
      </c>
      <c r="C927" t="s">
        <v>253</v>
      </c>
      <c r="D927" t="s">
        <v>416</v>
      </c>
      <c r="E927" s="2">
        <v>0</v>
      </c>
      <c r="F927" s="2">
        <v>0</v>
      </c>
      <c r="G927">
        <v>27</v>
      </c>
      <c r="H927" t="s">
        <v>58</v>
      </c>
      <c r="M927" s="2">
        <v>0</v>
      </c>
      <c r="N927" s="2">
        <v>0</v>
      </c>
      <c r="O927" s="2">
        <v>0</v>
      </c>
      <c r="R927" t="str">
        <f t="shared" si="42"/>
        <v>yes</v>
      </c>
      <c r="S927" t="str">
        <f t="shared" si="43"/>
        <v>no</v>
      </c>
      <c r="T9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7" s="2" t="b">
        <f t="shared" si="44"/>
        <v>0</v>
      </c>
      <c r="V927" s="2">
        <f>IF(Table4[[#This Row],[linear?]],Table4[[#This Row],[av]],10^(Table4[[#This Row],[av]]/10))</f>
        <v>1</v>
      </c>
      <c r="W927" s="2">
        <f>IF(Table4[[#This Row],[linear?]],Table4[[#This Row],[av]],10^(Table4[[#This Row],[av]]/10))</f>
        <v>1</v>
      </c>
      <c r="X927" s="2">
        <f>Table4[[#This Row],[av_lin]]-2*Table4[[#This Row],[std_lin]]</f>
        <v>-1</v>
      </c>
      <c r="Y927" s="2">
        <f>Table4[[#This Row],[av_lin]]+2*Table4[[#This Row],[std_lin]]</f>
        <v>3</v>
      </c>
    </row>
    <row r="928" spans="1:25" x14ac:dyDescent="0.35">
      <c r="A928" s="1">
        <v>1527</v>
      </c>
      <c r="B928" t="s">
        <v>829</v>
      </c>
      <c r="C928" t="s">
        <v>253</v>
      </c>
      <c r="D928" t="s">
        <v>417</v>
      </c>
      <c r="E928" s="2">
        <v>8.5490925925925918</v>
      </c>
      <c r="F928" s="2">
        <v>16.06850619618956</v>
      </c>
      <c r="G928">
        <v>27</v>
      </c>
      <c r="H928" t="s">
        <v>58</v>
      </c>
      <c r="M928" s="2">
        <v>40.686104984971713</v>
      </c>
      <c r="N928" s="2">
        <v>-23.58791979978653</v>
      </c>
      <c r="O928" s="2">
        <v>64.27402478475824</v>
      </c>
      <c r="P928" s="2">
        <v>0.53204028353425281</v>
      </c>
      <c r="R928" t="str">
        <f t="shared" si="42"/>
        <v>yes</v>
      </c>
      <c r="S928" t="str">
        <f t="shared" si="43"/>
        <v>no</v>
      </c>
      <c r="T9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8" s="2" t="b">
        <f t="shared" si="44"/>
        <v>1</v>
      </c>
      <c r="V928" s="2">
        <f>IF(Table4[[#This Row],[linear?]],Table4[[#This Row],[av]],10^(Table4[[#This Row],[av]]/10))</f>
        <v>8.5490925925925918</v>
      </c>
      <c r="W928" s="2">
        <f>IF(Table4[[#This Row],[linear?]],Table4[[#This Row],[av]],10^(Table4[[#This Row],[av]]/10))</f>
        <v>8.5490925925925918</v>
      </c>
      <c r="X928" s="2">
        <f>Table4[[#This Row],[av_lin]]-2*Table4[[#This Row],[std_lin]]</f>
        <v>-8.5490925925925918</v>
      </c>
      <c r="Y928" s="2">
        <f>Table4[[#This Row],[av_lin]]+2*Table4[[#This Row],[std_lin]]</f>
        <v>25.647277777777774</v>
      </c>
    </row>
    <row r="929" spans="1:25" x14ac:dyDescent="0.35">
      <c r="A929" s="1">
        <v>1528</v>
      </c>
      <c r="B929" t="s">
        <v>829</v>
      </c>
      <c r="C929" t="s">
        <v>253</v>
      </c>
      <c r="D929" t="s">
        <v>418</v>
      </c>
      <c r="E929" s="2">
        <v>0</v>
      </c>
      <c r="F929" s="2">
        <v>0</v>
      </c>
      <c r="G929">
        <v>27</v>
      </c>
      <c r="H929" t="s">
        <v>58</v>
      </c>
      <c r="M929" s="2">
        <v>0</v>
      </c>
      <c r="N929" s="2">
        <v>0</v>
      </c>
      <c r="O929" s="2">
        <v>0</v>
      </c>
      <c r="R929" t="str">
        <f t="shared" si="42"/>
        <v>yes</v>
      </c>
      <c r="S929" t="str">
        <f t="shared" si="43"/>
        <v>no</v>
      </c>
      <c r="T9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9" s="2" t="b">
        <f t="shared" si="44"/>
        <v>0</v>
      </c>
      <c r="V929" s="2">
        <f>IF(Table4[[#This Row],[linear?]],Table4[[#This Row],[av]],10^(Table4[[#This Row],[av]]/10))</f>
        <v>1</v>
      </c>
      <c r="W929" s="2">
        <f>IF(Table4[[#This Row],[linear?]],Table4[[#This Row],[av]],10^(Table4[[#This Row],[av]]/10))</f>
        <v>1</v>
      </c>
      <c r="X929" s="2">
        <f>Table4[[#This Row],[av_lin]]-2*Table4[[#This Row],[std_lin]]</f>
        <v>-1</v>
      </c>
      <c r="Y929" s="2">
        <f>Table4[[#This Row],[av_lin]]+2*Table4[[#This Row],[std_lin]]</f>
        <v>3</v>
      </c>
    </row>
    <row r="930" spans="1:25" x14ac:dyDescent="0.35">
      <c r="A930" s="1">
        <v>1529</v>
      </c>
      <c r="B930" t="s">
        <v>829</v>
      </c>
      <c r="C930" t="s">
        <v>253</v>
      </c>
      <c r="D930" t="s">
        <v>419</v>
      </c>
      <c r="E930" s="2">
        <v>3.994340740740741</v>
      </c>
      <c r="F930" s="2">
        <v>6.1556924987129253</v>
      </c>
      <c r="G930">
        <v>27</v>
      </c>
      <c r="H930" t="s">
        <v>58</v>
      </c>
      <c r="M930" s="2">
        <v>16.30572573816659</v>
      </c>
      <c r="N930" s="2">
        <v>-8.3170442566851097</v>
      </c>
      <c r="O930" s="2">
        <v>24.622769994851701</v>
      </c>
      <c r="P930" s="2">
        <v>0.64888568452305007</v>
      </c>
      <c r="R930" t="str">
        <f t="shared" si="42"/>
        <v>yes</v>
      </c>
      <c r="S930" t="str">
        <f t="shared" si="43"/>
        <v>no</v>
      </c>
      <c r="T9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0" s="2" t="b">
        <f t="shared" si="44"/>
        <v>0</v>
      </c>
      <c r="V930" s="2">
        <f>IF(Table4[[#This Row],[linear?]],Table4[[#This Row],[av]],10^(Table4[[#This Row],[av]]/10))</f>
        <v>2.508615342615431</v>
      </c>
      <c r="W930" s="2">
        <f>IF(Table4[[#This Row],[linear?]],Table4[[#This Row],[av]],10^(Table4[[#This Row],[av]]/10))</f>
        <v>2.508615342615431</v>
      </c>
      <c r="X930" s="2">
        <f>Table4[[#This Row],[av_lin]]-2*Table4[[#This Row],[std_lin]]</f>
        <v>-2.508615342615431</v>
      </c>
      <c r="Y930" s="2">
        <f>Table4[[#This Row],[av_lin]]+2*Table4[[#This Row],[std_lin]]</f>
        <v>7.5258460278462929</v>
      </c>
    </row>
    <row r="931" spans="1:25" x14ac:dyDescent="0.35">
      <c r="A931" s="1">
        <v>1530</v>
      </c>
      <c r="B931" t="s">
        <v>829</v>
      </c>
      <c r="C931" t="s">
        <v>253</v>
      </c>
      <c r="D931" t="s">
        <v>420</v>
      </c>
      <c r="E931" s="2">
        <v>0</v>
      </c>
      <c r="F931" s="2">
        <v>0</v>
      </c>
      <c r="G931">
        <v>27</v>
      </c>
      <c r="H931" t="s">
        <v>58</v>
      </c>
      <c r="M931" s="2">
        <v>0</v>
      </c>
      <c r="N931" s="2">
        <v>0</v>
      </c>
      <c r="O931" s="2">
        <v>0</v>
      </c>
      <c r="R931" t="str">
        <f t="shared" si="42"/>
        <v>yes</v>
      </c>
      <c r="S931" t="str">
        <f t="shared" si="43"/>
        <v>no</v>
      </c>
      <c r="T9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1" s="2" t="b">
        <f t="shared" si="44"/>
        <v>0</v>
      </c>
      <c r="V931" s="2">
        <f>IF(Table4[[#This Row],[linear?]],Table4[[#This Row],[av]],10^(Table4[[#This Row],[av]]/10))</f>
        <v>1</v>
      </c>
      <c r="W931" s="2">
        <f>IF(Table4[[#This Row],[linear?]],Table4[[#This Row],[av]],10^(Table4[[#This Row],[av]]/10))</f>
        <v>1</v>
      </c>
      <c r="X931" s="2">
        <f>Table4[[#This Row],[av_lin]]-2*Table4[[#This Row],[std_lin]]</f>
        <v>-1</v>
      </c>
      <c r="Y931" s="2">
        <f>Table4[[#This Row],[av_lin]]+2*Table4[[#This Row],[std_lin]]</f>
        <v>3</v>
      </c>
    </row>
    <row r="932" spans="1:25" x14ac:dyDescent="0.35">
      <c r="A932" s="1">
        <v>1531</v>
      </c>
      <c r="B932" t="s">
        <v>829</v>
      </c>
      <c r="C932" t="s">
        <v>253</v>
      </c>
      <c r="D932" t="s">
        <v>421</v>
      </c>
      <c r="E932" s="2">
        <v>11.03201111111111</v>
      </c>
      <c r="F932" s="2">
        <v>17.261456997671701</v>
      </c>
      <c r="G932">
        <v>27</v>
      </c>
      <c r="H932" t="s">
        <v>58</v>
      </c>
      <c r="M932" s="2">
        <v>45.554925106454512</v>
      </c>
      <c r="N932" s="2">
        <v>-23.490902884232291</v>
      </c>
      <c r="O932" s="2">
        <v>69.045827990686803</v>
      </c>
      <c r="P932" s="2">
        <v>0.63911239431289923</v>
      </c>
      <c r="R932" t="str">
        <f t="shared" si="42"/>
        <v>yes</v>
      </c>
      <c r="S932" t="str">
        <f t="shared" si="43"/>
        <v>no</v>
      </c>
      <c r="T9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2" s="2" t="b">
        <f t="shared" si="44"/>
        <v>1</v>
      </c>
      <c r="V932" s="2">
        <f>IF(Table4[[#This Row],[linear?]],Table4[[#This Row],[av]],10^(Table4[[#This Row],[av]]/10))</f>
        <v>11.03201111111111</v>
      </c>
      <c r="W932" s="2">
        <f>IF(Table4[[#This Row],[linear?]],Table4[[#This Row],[av]],10^(Table4[[#This Row],[av]]/10))</f>
        <v>11.03201111111111</v>
      </c>
      <c r="X932" s="2">
        <f>Table4[[#This Row],[av_lin]]-2*Table4[[#This Row],[std_lin]]</f>
        <v>-11.03201111111111</v>
      </c>
      <c r="Y932" s="2">
        <f>Table4[[#This Row],[av_lin]]+2*Table4[[#This Row],[std_lin]]</f>
        <v>33.096033333333331</v>
      </c>
    </row>
    <row r="933" spans="1:25" x14ac:dyDescent="0.35">
      <c r="A933" s="1">
        <v>1532</v>
      </c>
      <c r="B933" t="s">
        <v>829</v>
      </c>
      <c r="C933" t="s">
        <v>253</v>
      </c>
      <c r="D933" t="s">
        <v>422</v>
      </c>
      <c r="E933" s="2">
        <v>32.114281481481477</v>
      </c>
      <c r="F933" s="2">
        <v>67.462804825918894</v>
      </c>
      <c r="G933">
        <v>27</v>
      </c>
      <c r="H933" t="s">
        <v>58</v>
      </c>
      <c r="M933" s="2">
        <v>167.03989113331929</v>
      </c>
      <c r="N933" s="2">
        <v>-102.8113281703563</v>
      </c>
      <c r="O933" s="2">
        <v>269.85121930367558</v>
      </c>
      <c r="P933" s="2">
        <v>0.47602944414109682</v>
      </c>
      <c r="R933" t="str">
        <f t="shared" si="42"/>
        <v>yes</v>
      </c>
      <c r="S933" t="str">
        <f t="shared" si="43"/>
        <v>no</v>
      </c>
      <c r="T9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3" s="2" t="b">
        <f t="shared" si="44"/>
        <v>0</v>
      </c>
      <c r="V933" s="2">
        <f>IF(Table4[[#This Row],[linear?]],Table4[[#This Row],[av]],10^(Table4[[#This Row],[av]]/10))</f>
        <v>1627.15208918952</v>
      </c>
      <c r="W933" s="2">
        <f>IF(Table4[[#This Row],[linear?]],Table4[[#This Row],[av]],10^(Table4[[#This Row],[av]]/10))</f>
        <v>1627.15208918952</v>
      </c>
      <c r="X933" s="2">
        <f>Table4[[#This Row],[av_lin]]-2*Table4[[#This Row],[std_lin]]</f>
        <v>-1627.15208918952</v>
      </c>
      <c r="Y933" s="2">
        <f>Table4[[#This Row],[av_lin]]+2*Table4[[#This Row],[std_lin]]</f>
        <v>4881.4562675685602</v>
      </c>
    </row>
    <row r="934" spans="1:25" x14ac:dyDescent="0.35">
      <c r="A934" s="1">
        <v>1533</v>
      </c>
      <c r="B934" t="s">
        <v>829</v>
      </c>
      <c r="C934" t="s">
        <v>253</v>
      </c>
      <c r="D934" t="s">
        <v>423</v>
      </c>
      <c r="E934" s="2">
        <v>0</v>
      </c>
      <c r="F934" s="2">
        <v>0</v>
      </c>
      <c r="G934">
        <v>27</v>
      </c>
      <c r="H934" t="s">
        <v>58</v>
      </c>
      <c r="M934" s="2">
        <v>0</v>
      </c>
      <c r="N934" s="2">
        <v>0</v>
      </c>
      <c r="O934" s="2">
        <v>0</v>
      </c>
      <c r="R934" t="str">
        <f t="shared" si="42"/>
        <v>yes</v>
      </c>
      <c r="S934" t="str">
        <f t="shared" si="43"/>
        <v>no</v>
      </c>
      <c r="T9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4" s="2" t="b">
        <f t="shared" si="44"/>
        <v>0</v>
      </c>
      <c r="V934" s="2">
        <f>IF(Table4[[#This Row],[linear?]],Table4[[#This Row],[av]],10^(Table4[[#This Row],[av]]/10))</f>
        <v>1</v>
      </c>
      <c r="W934" s="2">
        <f>IF(Table4[[#This Row],[linear?]],Table4[[#This Row],[av]],10^(Table4[[#This Row],[av]]/10))</f>
        <v>1</v>
      </c>
      <c r="X934" s="2">
        <f>Table4[[#This Row],[av_lin]]-2*Table4[[#This Row],[std_lin]]</f>
        <v>-1</v>
      </c>
      <c r="Y934" s="2">
        <f>Table4[[#This Row],[av_lin]]+2*Table4[[#This Row],[std_lin]]</f>
        <v>3</v>
      </c>
    </row>
    <row r="935" spans="1:25" x14ac:dyDescent="0.35">
      <c r="A935" s="1">
        <v>1534</v>
      </c>
      <c r="B935" t="s">
        <v>829</v>
      </c>
      <c r="C935" t="s">
        <v>253</v>
      </c>
      <c r="D935" t="s">
        <v>424</v>
      </c>
      <c r="E935" s="2">
        <v>0</v>
      </c>
      <c r="F935" s="2">
        <v>0</v>
      </c>
      <c r="G935">
        <v>27</v>
      </c>
      <c r="H935" t="s">
        <v>58</v>
      </c>
      <c r="M935" s="2">
        <v>0</v>
      </c>
      <c r="N935" s="2">
        <v>0</v>
      </c>
      <c r="O935" s="2">
        <v>0</v>
      </c>
      <c r="R935" t="str">
        <f t="shared" si="42"/>
        <v>yes</v>
      </c>
      <c r="S935" t="str">
        <f t="shared" si="43"/>
        <v>no</v>
      </c>
      <c r="T9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5" s="2" t="b">
        <f t="shared" si="44"/>
        <v>0</v>
      </c>
      <c r="V935" s="2">
        <f>IF(Table4[[#This Row],[linear?]],Table4[[#This Row],[av]],10^(Table4[[#This Row],[av]]/10))</f>
        <v>1</v>
      </c>
      <c r="W935" s="2">
        <f>IF(Table4[[#This Row],[linear?]],Table4[[#This Row],[av]],10^(Table4[[#This Row],[av]]/10))</f>
        <v>1</v>
      </c>
      <c r="X935" s="2">
        <f>Table4[[#This Row],[av_lin]]-2*Table4[[#This Row],[std_lin]]</f>
        <v>-1</v>
      </c>
      <c r="Y935" s="2">
        <f>Table4[[#This Row],[av_lin]]+2*Table4[[#This Row],[std_lin]]</f>
        <v>3</v>
      </c>
    </row>
    <row r="936" spans="1:25" x14ac:dyDescent="0.35">
      <c r="A936" s="1">
        <v>1535</v>
      </c>
      <c r="B936" t="s">
        <v>829</v>
      </c>
      <c r="C936" t="s">
        <v>253</v>
      </c>
      <c r="D936" t="s">
        <v>425</v>
      </c>
      <c r="E936" s="2">
        <v>7.4851037037037029</v>
      </c>
      <c r="F936" s="2">
        <v>15.727187340292369</v>
      </c>
      <c r="G936">
        <v>27</v>
      </c>
      <c r="H936" t="s">
        <v>58</v>
      </c>
      <c r="M936" s="2">
        <v>38.939478384288442</v>
      </c>
      <c r="N936" s="2">
        <v>-23.969270976881031</v>
      </c>
      <c r="O936" s="2">
        <v>62.908749361169477</v>
      </c>
      <c r="P936" s="2">
        <v>0.47593403332375861</v>
      </c>
      <c r="R936" t="str">
        <f t="shared" si="42"/>
        <v>yes</v>
      </c>
      <c r="S936" t="str">
        <f t="shared" si="43"/>
        <v>no</v>
      </c>
      <c r="T9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6" s="2" t="b">
        <f t="shared" si="44"/>
        <v>1</v>
      </c>
      <c r="V936" s="2">
        <f>IF(Table4[[#This Row],[linear?]],Table4[[#This Row],[av]],10^(Table4[[#This Row],[av]]/10))</f>
        <v>7.4851037037037029</v>
      </c>
      <c r="W936" s="2">
        <f>IF(Table4[[#This Row],[linear?]],Table4[[#This Row],[av]],10^(Table4[[#This Row],[av]]/10))</f>
        <v>7.4851037037037029</v>
      </c>
      <c r="X936" s="2">
        <f>Table4[[#This Row],[av_lin]]-2*Table4[[#This Row],[std_lin]]</f>
        <v>-7.4851037037037029</v>
      </c>
      <c r="Y936" s="2">
        <f>Table4[[#This Row],[av_lin]]+2*Table4[[#This Row],[std_lin]]</f>
        <v>22.455311111111108</v>
      </c>
    </row>
    <row r="937" spans="1:25" x14ac:dyDescent="0.35">
      <c r="A937" s="1">
        <v>1536</v>
      </c>
      <c r="B937" t="s">
        <v>829</v>
      </c>
      <c r="C937" t="s">
        <v>253</v>
      </c>
      <c r="D937" t="s">
        <v>426</v>
      </c>
      <c r="E937" s="2">
        <v>25.414029629629631</v>
      </c>
      <c r="F937" s="2">
        <v>55.535888688712333</v>
      </c>
      <c r="G937">
        <v>27</v>
      </c>
      <c r="H937" t="s">
        <v>58</v>
      </c>
      <c r="M937" s="2">
        <v>136.48580700705429</v>
      </c>
      <c r="N937" s="2">
        <v>-85.657747747795042</v>
      </c>
      <c r="O937" s="2">
        <v>222.1435547548493</v>
      </c>
      <c r="P937" s="2">
        <v>0.4576145305260062</v>
      </c>
      <c r="R937" t="str">
        <f t="shared" si="42"/>
        <v>yes</v>
      </c>
      <c r="S937" t="str">
        <f t="shared" si="43"/>
        <v>no</v>
      </c>
      <c r="T9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7" s="2" t="b">
        <f t="shared" si="44"/>
        <v>0</v>
      </c>
      <c r="V937" s="2">
        <f>IF(Table4[[#This Row],[linear?]],Table4[[#This Row],[av]],10^(Table4[[#This Row],[av]]/10))</f>
        <v>347.85877477989663</v>
      </c>
      <c r="W937" s="2">
        <f>IF(Table4[[#This Row],[linear?]],Table4[[#This Row],[av]],10^(Table4[[#This Row],[av]]/10))</f>
        <v>347.85877477989663</v>
      </c>
      <c r="X937" s="2">
        <f>Table4[[#This Row],[av_lin]]-2*Table4[[#This Row],[std_lin]]</f>
        <v>-347.85877477989663</v>
      </c>
      <c r="Y937" s="2">
        <f>Table4[[#This Row],[av_lin]]+2*Table4[[#This Row],[std_lin]]</f>
        <v>1043.57632433969</v>
      </c>
    </row>
    <row r="938" spans="1:25" x14ac:dyDescent="0.35">
      <c r="A938" s="1">
        <v>1537</v>
      </c>
      <c r="B938" t="s">
        <v>829</v>
      </c>
      <c r="C938" t="s">
        <v>253</v>
      </c>
      <c r="D938" t="s">
        <v>427</v>
      </c>
      <c r="E938" s="2">
        <v>0</v>
      </c>
      <c r="F938" s="2">
        <v>0</v>
      </c>
      <c r="G938">
        <v>27</v>
      </c>
      <c r="H938" t="s">
        <v>58</v>
      </c>
      <c r="M938" s="2">
        <v>0</v>
      </c>
      <c r="N938" s="2">
        <v>0</v>
      </c>
      <c r="O938" s="2">
        <v>0</v>
      </c>
      <c r="R938" t="str">
        <f t="shared" si="42"/>
        <v>yes</v>
      </c>
      <c r="S938" t="str">
        <f t="shared" si="43"/>
        <v>no</v>
      </c>
      <c r="T9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8" s="2" t="b">
        <f t="shared" si="44"/>
        <v>0</v>
      </c>
      <c r="V938" s="2">
        <f>IF(Table4[[#This Row],[linear?]],Table4[[#This Row],[av]],10^(Table4[[#This Row],[av]]/10))</f>
        <v>1</v>
      </c>
      <c r="W938" s="2">
        <f>IF(Table4[[#This Row],[linear?]],Table4[[#This Row],[av]],10^(Table4[[#This Row],[av]]/10))</f>
        <v>1</v>
      </c>
      <c r="X938" s="2">
        <f>Table4[[#This Row],[av_lin]]-2*Table4[[#This Row],[std_lin]]</f>
        <v>-1</v>
      </c>
      <c r="Y938" s="2">
        <f>Table4[[#This Row],[av_lin]]+2*Table4[[#This Row],[std_lin]]</f>
        <v>3</v>
      </c>
    </row>
    <row r="939" spans="1:25" x14ac:dyDescent="0.35">
      <c r="A939" s="1">
        <v>1538</v>
      </c>
      <c r="B939" t="s">
        <v>829</v>
      </c>
      <c r="C939" t="s">
        <v>253</v>
      </c>
      <c r="D939" t="s">
        <v>428</v>
      </c>
      <c r="E939" s="2">
        <v>0</v>
      </c>
      <c r="F939" s="2">
        <v>0</v>
      </c>
      <c r="G939">
        <v>27</v>
      </c>
      <c r="H939" t="s">
        <v>58</v>
      </c>
      <c r="M939" s="2">
        <v>0</v>
      </c>
      <c r="N939" s="2">
        <v>0</v>
      </c>
      <c r="O939" s="2">
        <v>0</v>
      </c>
      <c r="R939" t="str">
        <f t="shared" si="42"/>
        <v>yes</v>
      </c>
      <c r="S939" t="str">
        <f t="shared" si="43"/>
        <v>no</v>
      </c>
      <c r="T9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9" s="2" t="b">
        <f t="shared" si="44"/>
        <v>0</v>
      </c>
      <c r="V939" s="2">
        <f>IF(Table4[[#This Row],[linear?]],Table4[[#This Row],[av]],10^(Table4[[#This Row],[av]]/10))</f>
        <v>1</v>
      </c>
      <c r="W939" s="2">
        <f>IF(Table4[[#This Row],[linear?]],Table4[[#This Row],[av]],10^(Table4[[#This Row],[av]]/10))</f>
        <v>1</v>
      </c>
      <c r="X939" s="2">
        <f>Table4[[#This Row],[av_lin]]-2*Table4[[#This Row],[std_lin]]</f>
        <v>-1</v>
      </c>
      <c r="Y939" s="2">
        <f>Table4[[#This Row],[av_lin]]+2*Table4[[#This Row],[std_lin]]</f>
        <v>3</v>
      </c>
    </row>
    <row r="940" spans="1:25" x14ac:dyDescent="0.35">
      <c r="A940" s="1">
        <v>1539</v>
      </c>
      <c r="B940" t="s">
        <v>829</v>
      </c>
      <c r="C940" t="s">
        <v>253</v>
      </c>
      <c r="D940" t="s">
        <v>429</v>
      </c>
      <c r="E940" s="2">
        <v>7.2721370370370364</v>
      </c>
      <c r="F940" s="2">
        <v>15.31924980063266</v>
      </c>
      <c r="G940">
        <v>27</v>
      </c>
      <c r="H940" t="s">
        <v>58</v>
      </c>
      <c r="M940" s="2">
        <v>37.910636638302357</v>
      </c>
      <c r="N940" s="2">
        <v>-23.366362564228279</v>
      </c>
      <c r="O940" s="2">
        <v>61.276999202530639</v>
      </c>
      <c r="P940" s="2">
        <v>0.47470581991141042</v>
      </c>
      <c r="R940" t="str">
        <f t="shared" si="42"/>
        <v>yes</v>
      </c>
      <c r="S940" t="str">
        <f t="shared" si="43"/>
        <v>no</v>
      </c>
      <c r="T9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0" s="2" t="b">
        <f t="shared" si="44"/>
        <v>1</v>
      </c>
      <c r="V940" s="2">
        <f>IF(Table4[[#This Row],[linear?]],Table4[[#This Row],[av]],10^(Table4[[#This Row],[av]]/10))</f>
        <v>7.2721370370370364</v>
      </c>
      <c r="W940" s="2">
        <f>IF(Table4[[#This Row],[linear?]],Table4[[#This Row],[av]],10^(Table4[[#This Row],[av]]/10))</f>
        <v>7.2721370370370364</v>
      </c>
      <c r="X940" s="2">
        <f>Table4[[#This Row],[av_lin]]-2*Table4[[#This Row],[std_lin]]</f>
        <v>-7.2721370370370364</v>
      </c>
      <c r="Y940" s="2">
        <f>Table4[[#This Row],[av_lin]]+2*Table4[[#This Row],[std_lin]]</f>
        <v>21.816411111111108</v>
      </c>
    </row>
    <row r="941" spans="1:25" x14ac:dyDescent="0.35">
      <c r="A941" s="1">
        <v>1540</v>
      </c>
      <c r="B941" t="s">
        <v>829</v>
      </c>
      <c r="C941" t="s">
        <v>253</v>
      </c>
      <c r="D941" t="s">
        <v>430</v>
      </c>
      <c r="E941" s="2">
        <v>32.700833333333343</v>
      </c>
      <c r="F941" s="2">
        <v>68.610256696610676</v>
      </c>
      <c r="G941">
        <v>27</v>
      </c>
      <c r="H941" t="s">
        <v>58</v>
      </c>
      <c r="M941" s="2">
        <v>169.9213467265547</v>
      </c>
      <c r="N941" s="2">
        <v>-104.519680059888</v>
      </c>
      <c r="O941" s="2">
        <v>274.44102678644271</v>
      </c>
      <c r="P941" s="2">
        <v>0.47661727134958748</v>
      </c>
      <c r="R941" t="str">
        <f t="shared" si="42"/>
        <v>yes</v>
      </c>
      <c r="S941" t="str">
        <f t="shared" si="43"/>
        <v>no</v>
      </c>
      <c r="T9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1" s="2" t="b">
        <f t="shared" si="44"/>
        <v>0</v>
      </c>
      <c r="V941" s="2">
        <f>IF(Table4[[#This Row],[linear?]],Table4[[#This Row],[av]],10^(Table4[[#This Row],[av]]/10))</f>
        <v>1862.4444721184761</v>
      </c>
      <c r="W941" s="2">
        <f>IF(Table4[[#This Row],[linear?]],Table4[[#This Row],[av]],10^(Table4[[#This Row],[av]]/10))</f>
        <v>1862.4444721184761</v>
      </c>
      <c r="X941" s="2">
        <f>Table4[[#This Row],[av_lin]]-2*Table4[[#This Row],[std_lin]]</f>
        <v>-1862.4444721184761</v>
      </c>
      <c r="Y941" s="2">
        <f>Table4[[#This Row],[av_lin]]+2*Table4[[#This Row],[std_lin]]</f>
        <v>5587.3334163554282</v>
      </c>
    </row>
    <row r="942" spans="1:25" x14ac:dyDescent="0.35">
      <c r="A942" s="1">
        <v>1541</v>
      </c>
      <c r="B942" t="s">
        <v>829</v>
      </c>
      <c r="C942" t="s">
        <v>253</v>
      </c>
      <c r="D942" t="s">
        <v>431</v>
      </c>
      <c r="E942" s="2">
        <v>0</v>
      </c>
      <c r="F942" s="2">
        <v>0</v>
      </c>
      <c r="G942">
        <v>27</v>
      </c>
      <c r="H942" t="s">
        <v>58</v>
      </c>
      <c r="M942" s="2">
        <v>0</v>
      </c>
      <c r="N942" s="2">
        <v>0</v>
      </c>
      <c r="O942" s="2">
        <v>0</v>
      </c>
      <c r="R942" t="str">
        <f t="shared" si="42"/>
        <v>yes</v>
      </c>
      <c r="S942" t="str">
        <f t="shared" si="43"/>
        <v>no</v>
      </c>
      <c r="T9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2" s="2" t="b">
        <f t="shared" si="44"/>
        <v>0</v>
      </c>
      <c r="V942" s="2">
        <f>IF(Table4[[#This Row],[linear?]],Table4[[#This Row],[av]],10^(Table4[[#This Row],[av]]/10))</f>
        <v>1</v>
      </c>
      <c r="W942" s="2">
        <f>IF(Table4[[#This Row],[linear?]],Table4[[#This Row],[av]],10^(Table4[[#This Row],[av]]/10))</f>
        <v>1</v>
      </c>
      <c r="X942" s="2">
        <f>Table4[[#This Row],[av_lin]]-2*Table4[[#This Row],[std_lin]]</f>
        <v>-1</v>
      </c>
      <c r="Y942" s="2">
        <f>Table4[[#This Row],[av_lin]]+2*Table4[[#This Row],[std_lin]]</f>
        <v>3</v>
      </c>
    </row>
    <row r="943" spans="1:25" x14ac:dyDescent="0.35">
      <c r="A943" s="1">
        <v>1542</v>
      </c>
      <c r="B943" t="s">
        <v>829</v>
      </c>
      <c r="C943" t="s">
        <v>253</v>
      </c>
      <c r="D943" t="s">
        <v>432</v>
      </c>
      <c r="E943" s="2">
        <v>0</v>
      </c>
      <c r="F943" s="2">
        <v>0</v>
      </c>
      <c r="G943">
        <v>27</v>
      </c>
      <c r="H943" t="s">
        <v>58</v>
      </c>
      <c r="M943" s="2">
        <v>0</v>
      </c>
      <c r="N943" s="2">
        <v>0</v>
      </c>
      <c r="O943" s="2">
        <v>0</v>
      </c>
      <c r="R943" t="str">
        <f t="shared" si="42"/>
        <v>yes</v>
      </c>
      <c r="S943" t="str">
        <f t="shared" si="43"/>
        <v>no</v>
      </c>
      <c r="T9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3" s="2" t="b">
        <f t="shared" si="44"/>
        <v>0</v>
      </c>
      <c r="V943" s="2">
        <f>IF(Table4[[#This Row],[linear?]],Table4[[#This Row],[av]],10^(Table4[[#This Row],[av]]/10))</f>
        <v>1</v>
      </c>
      <c r="W943" s="2">
        <f>IF(Table4[[#This Row],[linear?]],Table4[[#This Row],[av]],10^(Table4[[#This Row],[av]]/10))</f>
        <v>1</v>
      </c>
      <c r="X943" s="2">
        <f>Table4[[#This Row],[av_lin]]-2*Table4[[#This Row],[std_lin]]</f>
        <v>-1</v>
      </c>
      <c r="Y943" s="2">
        <f>Table4[[#This Row],[av_lin]]+2*Table4[[#This Row],[std_lin]]</f>
        <v>3</v>
      </c>
    </row>
    <row r="944" spans="1:25" x14ac:dyDescent="0.35">
      <c r="A944" s="1">
        <v>1543</v>
      </c>
      <c r="B944" t="s">
        <v>829</v>
      </c>
      <c r="C944" t="s">
        <v>253</v>
      </c>
      <c r="D944" t="s">
        <v>433</v>
      </c>
      <c r="E944" s="2">
        <v>6.8284592592592581</v>
      </c>
      <c r="F944" s="2">
        <v>14.355520737339759</v>
      </c>
      <c r="G944">
        <v>27</v>
      </c>
      <c r="H944" t="s">
        <v>58</v>
      </c>
      <c r="M944" s="2">
        <v>35.53950073393878</v>
      </c>
      <c r="N944" s="2">
        <v>-21.88258221542026</v>
      </c>
      <c r="O944" s="2">
        <v>57.422082949359037</v>
      </c>
      <c r="P944" s="2">
        <v>0.47566782035972649</v>
      </c>
      <c r="R944" t="str">
        <f t="shared" si="42"/>
        <v>yes</v>
      </c>
      <c r="S944" t="str">
        <f t="shared" si="43"/>
        <v>no</v>
      </c>
      <c r="T9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4" s="2" t="b">
        <f t="shared" si="44"/>
        <v>1</v>
      </c>
      <c r="V944" s="2">
        <f>IF(Table4[[#This Row],[linear?]],Table4[[#This Row],[av]],10^(Table4[[#This Row],[av]]/10))</f>
        <v>6.8284592592592581</v>
      </c>
      <c r="W944" s="2">
        <f>IF(Table4[[#This Row],[linear?]],Table4[[#This Row],[av]],10^(Table4[[#This Row],[av]]/10))</f>
        <v>6.8284592592592581</v>
      </c>
      <c r="X944" s="2">
        <f>Table4[[#This Row],[av_lin]]-2*Table4[[#This Row],[std_lin]]</f>
        <v>-6.8284592592592581</v>
      </c>
      <c r="Y944" s="2">
        <f>Table4[[#This Row],[av_lin]]+2*Table4[[#This Row],[std_lin]]</f>
        <v>20.485377777777774</v>
      </c>
    </row>
    <row r="945" spans="1:25" x14ac:dyDescent="0.35">
      <c r="A945" s="1">
        <v>1544</v>
      </c>
      <c r="B945" t="s">
        <v>829</v>
      </c>
      <c r="C945" t="s">
        <v>253</v>
      </c>
      <c r="D945" t="s">
        <v>434</v>
      </c>
      <c r="E945" s="2">
        <v>26.26453703703703</v>
      </c>
      <c r="F945" s="2">
        <v>58.666581163278259</v>
      </c>
      <c r="G945">
        <v>27</v>
      </c>
      <c r="H945" t="s">
        <v>58</v>
      </c>
      <c r="M945" s="2">
        <v>143.59769936359359</v>
      </c>
      <c r="N945" s="2">
        <v>-91.068625289519488</v>
      </c>
      <c r="O945" s="2">
        <v>234.66632465311309</v>
      </c>
      <c r="P945" s="2">
        <v>0.44769162470774843</v>
      </c>
      <c r="R945" t="str">
        <f t="shared" si="42"/>
        <v>yes</v>
      </c>
      <c r="S945" t="str">
        <f t="shared" si="43"/>
        <v>no</v>
      </c>
      <c r="T9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5" s="2" t="b">
        <f t="shared" si="44"/>
        <v>0</v>
      </c>
      <c r="V945" s="2">
        <f>IF(Table4[[#This Row],[linear?]],Table4[[#This Row],[av]],10^(Table4[[#This Row],[av]]/10))</f>
        <v>423.11040325193841</v>
      </c>
      <c r="W945" s="2">
        <f>IF(Table4[[#This Row],[linear?]],Table4[[#This Row],[av]],10^(Table4[[#This Row],[av]]/10))</f>
        <v>423.11040325193841</v>
      </c>
      <c r="X945" s="2">
        <f>Table4[[#This Row],[av_lin]]-2*Table4[[#This Row],[std_lin]]</f>
        <v>-423.11040325193841</v>
      </c>
      <c r="Y945" s="2">
        <f>Table4[[#This Row],[av_lin]]+2*Table4[[#This Row],[std_lin]]</f>
        <v>1269.3312097558153</v>
      </c>
    </row>
    <row r="946" spans="1:25" x14ac:dyDescent="0.35">
      <c r="A946" s="1">
        <v>1545</v>
      </c>
      <c r="B946" t="s">
        <v>829</v>
      </c>
      <c r="C946" t="s">
        <v>253</v>
      </c>
      <c r="D946" t="s">
        <v>435</v>
      </c>
      <c r="E946" s="2">
        <v>0</v>
      </c>
      <c r="F946" s="2">
        <v>0</v>
      </c>
      <c r="G946">
        <v>27</v>
      </c>
      <c r="H946" t="s">
        <v>58</v>
      </c>
      <c r="M946" s="2">
        <v>0</v>
      </c>
      <c r="N946" s="2">
        <v>0</v>
      </c>
      <c r="O946" s="2">
        <v>0</v>
      </c>
      <c r="R946" t="str">
        <f t="shared" si="42"/>
        <v>yes</v>
      </c>
      <c r="S946" t="str">
        <f t="shared" si="43"/>
        <v>no</v>
      </c>
      <c r="T9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6" s="2" t="b">
        <f t="shared" si="44"/>
        <v>0</v>
      </c>
      <c r="V946" s="2">
        <f>IF(Table4[[#This Row],[linear?]],Table4[[#This Row],[av]],10^(Table4[[#This Row],[av]]/10))</f>
        <v>1</v>
      </c>
      <c r="W946" s="2">
        <f>IF(Table4[[#This Row],[linear?]],Table4[[#This Row],[av]],10^(Table4[[#This Row],[av]]/10))</f>
        <v>1</v>
      </c>
      <c r="X946" s="2">
        <f>Table4[[#This Row],[av_lin]]-2*Table4[[#This Row],[std_lin]]</f>
        <v>-1</v>
      </c>
      <c r="Y946" s="2">
        <f>Table4[[#This Row],[av_lin]]+2*Table4[[#This Row],[std_lin]]</f>
        <v>3</v>
      </c>
    </row>
    <row r="947" spans="1:25" x14ac:dyDescent="0.35">
      <c r="A947" s="1">
        <v>1546</v>
      </c>
      <c r="B947" t="s">
        <v>829</v>
      </c>
      <c r="C947" t="s">
        <v>253</v>
      </c>
      <c r="D947" t="s">
        <v>436</v>
      </c>
      <c r="E947" s="2">
        <v>0</v>
      </c>
      <c r="F947" s="2">
        <v>0</v>
      </c>
      <c r="G947">
        <v>27</v>
      </c>
      <c r="H947" t="s">
        <v>58</v>
      </c>
      <c r="M947" s="2">
        <v>0</v>
      </c>
      <c r="N947" s="2">
        <v>0</v>
      </c>
      <c r="O947" s="2">
        <v>0</v>
      </c>
      <c r="R947" t="str">
        <f t="shared" si="42"/>
        <v>yes</v>
      </c>
      <c r="S947" t="str">
        <f t="shared" si="43"/>
        <v>no</v>
      </c>
      <c r="T9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7" s="2" t="b">
        <f t="shared" si="44"/>
        <v>0</v>
      </c>
      <c r="V947" s="2">
        <f>IF(Table4[[#This Row],[linear?]],Table4[[#This Row],[av]],10^(Table4[[#This Row],[av]]/10))</f>
        <v>1</v>
      </c>
      <c r="W947" s="2">
        <f>IF(Table4[[#This Row],[linear?]],Table4[[#This Row],[av]],10^(Table4[[#This Row],[av]]/10))</f>
        <v>1</v>
      </c>
      <c r="X947" s="2">
        <f>Table4[[#This Row],[av_lin]]-2*Table4[[#This Row],[std_lin]]</f>
        <v>-1</v>
      </c>
      <c r="Y947" s="2">
        <f>Table4[[#This Row],[av_lin]]+2*Table4[[#This Row],[std_lin]]</f>
        <v>3</v>
      </c>
    </row>
    <row r="948" spans="1:25" x14ac:dyDescent="0.35">
      <c r="A948" s="1">
        <v>1547</v>
      </c>
      <c r="B948" t="s">
        <v>829</v>
      </c>
      <c r="C948" t="s">
        <v>253</v>
      </c>
      <c r="D948" t="s">
        <v>437</v>
      </c>
      <c r="E948" s="2">
        <v>6.8462037037037033</v>
      </c>
      <c r="F948" s="2">
        <v>14.37989097100999</v>
      </c>
      <c r="G948">
        <v>27</v>
      </c>
      <c r="H948" t="s">
        <v>58</v>
      </c>
      <c r="M948" s="2">
        <v>35.605985645723678</v>
      </c>
      <c r="N948" s="2">
        <v>-21.91357823831628</v>
      </c>
      <c r="O948" s="2">
        <v>57.519563884039961</v>
      </c>
      <c r="P948" s="2">
        <v>0.47609566146959809</v>
      </c>
      <c r="R948" t="str">
        <f t="shared" si="42"/>
        <v>yes</v>
      </c>
      <c r="S948" t="str">
        <f t="shared" si="43"/>
        <v>no</v>
      </c>
      <c r="T9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8" s="2" t="b">
        <f t="shared" si="44"/>
        <v>1</v>
      </c>
      <c r="V948" s="2">
        <f>IF(Table4[[#This Row],[linear?]],Table4[[#This Row],[av]],10^(Table4[[#This Row],[av]]/10))</f>
        <v>6.8462037037037033</v>
      </c>
      <c r="W948" s="2">
        <f>IF(Table4[[#This Row],[linear?]],Table4[[#This Row],[av]],10^(Table4[[#This Row],[av]]/10))</f>
        <v>6.8462037037037033</v>
      </c>
      <c r="X948" s="2">
        <f>Table4[[#This Row],[av_lin]]-2*Table4[[#This Row],[std_lin]]</f>
        <v>-6.8462037037037033</v>
      </c>
      <c r="Y948" s="2">
        <f>Table4[[#This Row],[av_lin]]+2*Table4[[#This Row],[std_lin]]</f>
        <v>20.538611111111109</v>
      </c>
    </row>
    <row r="949" spans="1:25" x14ac:dyDescent="0.35">
      <c r="A949" s="1">
        <v>1548</v>
      </c>
      <c r="B949" t="s">
        <v>829</v>
      </c>
      <c r="C949" t="s">
        <v>253</v>
      </c>
      <c r="D949" t="s">
        <v>438</v>
      </c>
      <c r="E949" s="2">
        <v>33.348981481481481</v>
      </c>
      <c r="F949" s="2">
        <v>69.953413710480604</v>
      </c>
      <c r="G949">
        <v>27</v>
      </c>
      <c r="H949" t="s">
        <v>58</v>
      </c>
      <c r="M949" s="2">
        <v>173.25580890244271</v>
      </c>
      <c r="N949" s="2">
        <v>-106.55784593947971</v>
      </c>
      <c r="O949" s="2">
        <v>279.81365484192241</v>
      </c>
      <c r="P949" s="2">
        <v>0.47673129462279618</v>
      </c>
      <c r="R949" t="str">
        <f t="shared" si="42"/>
        <v>yes</v>
      </c>
      <c r="S949" t="str">
        <f t="shared" si="43"/>
        <v>no</v>
      </c>
      <c r="T9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9" s="2" t="b">
        <f t="shared" si="44"/>
        <v>0</v>
      </c>
      <c r="V949" s="2">
        <f>IF(Table4[[#This Row],[linear?]],Table4[[#This Row],[av]],10^(Table4[[#This Row],[av]]/10))</f>
        <v>2162.2113769224356</v>
      </c>
      <c r="W949" s="2">
        <f>IF(Table4[[#This Row],[linear?]],Table4[[#This Row],[av]],10^(Table4[[#This Row],[av]]/10))</f>
        <v>2162.2113769224356</v>
      </c>
      <c r="X949" s="2">
        <f>Table4[[#This Row],[av_lin]]-2*Table4[[#This Row],[std_lin]]</f>
        <v>-2162.2113769224356</v>
      </c>
      <c r="Y949" s="2">
        <f>Table4[[#This Row],[av_lin]]+2*Table4[[#This Row],[std_lin]]</f>
        <v>6486.6341307673065</v>
      </c>
    </row>
    <row r="950" spans="1:25" x14ac:dyDescent="0.35">
      <c r="A950" s="1">
        <v>1549</v>
      </c>
      <c r="B950" t="s">
        <v>829</v>
      </c>
      <c r="C950" t="s">
        <v>253</v>
      </c>
      <c r="D950" t="s">
        <v>439</v>
      </c>
      <c r="E950" s="2">
        <v>0</v>
      </c>
      <c r="F950" s="2">
        <v>0</v>
      </c>
      <c r="G950">
        <v>27</v>
      </c>
      <c r="H950" t="s">
        <v>58</v>
      </c>
      <c r="M950" s="2">
        <v>0</v>
      </c>
      <c r="N950" s="2">
        <v>0</v>
      </c>
      <c r="O950" s="2">
        <v>0</v>
      </c>
      <c r="R950" t="str">
        <f t="shared" si="42"/>
        <v>yes</v>
      </c>
      <c r="S950" t="str">
        <f t="shared" si="43"/>
        <v>no</v>
      </c>
      <c r="T9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0" s="2" t="b">
        <f t="shared" si="44"/>
        <v>0</v>
      </c>
      <c r="V950" s="2">
        <f>IF(Table4[[#This Row],[linear?]],Table4[[#This Row],[av]],10^(Table4[[#This Row],[av]]/10))</f>
        <v>1</v>
      </c>
      <c r="W950" s="2">
        <f>IF(Table4[[#This Row],[linear?]],Table4[[#This Row],[av]],10^(Table4[[#This Row],[av]]/10))</f>
        <v>1</v>
      </c>
      <c r="X950" s="2">
        <f>Table4[[#This Row],[av_lin]]-2*Table4[[#This Row],[std_lin]]</f>
        <v>-1</v>
      </c>
      <c r="Y950" s="2">
        <f>Table4[[#This Row],[av_lin]]+2*Table4[[#This Row],[std_lin]]</f>
        <v>3</v>
      </c>
    </row>
    <row r="951" spans="1:25" x14ac:dyDescent="0.35">
      <c r="A951" s="1">
        <v>1550</v>
      </c>
      <c r="B951" t="s">
        <v>829</v>
      </c>
      <c r="C951" t="s">
        <v>253</v>
      </c>
      <c r="D951" t="s">
        <v>440</v>
      </c>
      <c r="E951" s="2">
        <v>0</v>
      </c>
      <c r="F951" s="2">
        <v>0</v>
      </c>
      <c r="G951">
        <v>27</v>
      </c>
      <c r="H951" t="s">
        <v>58</v>
      </c>
      <c r="M951" s="2">
        <v>0</v>
      </c>
      <c r="N951" s="2">
        <v>0</v>
      </c>
      <c r="O951" s="2">
        <v>0</v>
      </c>
      <c r="R951" t="str">
        <f t="shared" si="42"/>
        <v>yes</v>
      </c>
      <c r="S951" t="str">
        <f t="shared" si="43"/>
        <v>no</v>
      </c>
      <c r="T9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1" s="2" t="b">
        <f t="shared" si="44"/>
        <v>0</v>
      </c>
      <c r="V951" s="2">
        <f>IF(Table4[[#This Row],[linear?]],Table4[[#This Row],[av]],10^(Table4[[#This Row],[av]]/10))</f>
        <v>1</v>
      </c>
      <c r="W951" s="2">
        <f>IF(Table4[[#This Row],[linear?]],Table4[[#This Row],[av]],10^(Table4[[#This Row],[av]]/10))</f>
        <v>1</v>
      </c>
      <c r="X951" s="2">
        <f>Table4[[#This Row],[av_lin]]-2*Table4[[#This Row],[std_lin]]</f>
        <v>-1</v>
      </c>
      <c r="Y951" s="2">
        <f>Table4[[#This Row],[av_lin]]+2*Table4[[#This Row],[std_lin]]</f>
        <v>3</v>
      </c>
    </row>
    <row r="952" spans="1:25" x14ac:dyDescent="0.35">
      <c r="A952" s="1">
        <v>1551</v>
      </c>
      <c r="B952" t="s">
        <v>829</v>
      </c>
      <c r="C952" t="s">
        <v>253</v>
      </c>
      <c r="D952" t="s">
        <v>441</v>
      </c>
      <c r="E952" s="2">
        <v>6.7929629629629629</v>
      </c>
      <c r="F952" s="2">
        <v>14.26728950543731</v>
      </c>
      <c r="G952">
        <v>27</v>
      </c>
      <c r="H952" t="s">
        <v>58</v>
      </c>
      <c r="M952" s="2">
        <v>35.327541973837583</v>
      </c>
      <c r="N952" s="2">
        <v>-21.741616047911659</v>
      </c>
      <c r="O952" s="2">
        <v>57.069158021749239</v>
      </c>
      <c r="P952" s="2">
        <v>0.47612147776030922</v>
      </c>
      <c r="R952" t="str">
        <f t="shared" si="42"/>
        <v>yes</v>
      </c>
      <c r="S952" t="str">
        <f t="shared" si="43"/>
        <v>no</v>
      </c>
      <c r="T9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2" s="2" t="b">
        <f t="shared" si="44"/>
        <v>1</v>
      </c>
      <c r="V952" s="2">
        <f>IF(Table4[[#This Row],[linear?]],Table4[[#This Row],[av]],10^(Table4[[#This Row],[av]]/10))</f>
        <v>6.7929629629629629</v>
      </c>
      <c r="W952" s="2">
        <f>IF(Table4[[#This Row],[linear?]],Table4[[#This Row],[av]],10^(Table4[[#This Row],[av]]/10))</f>
        <v>6.7929629629629629</v>
      </c>
      <c r="X952" s="2">
        <f>Table4[[#This Row],[av_lin]]-2*Table4[[#This Row],[std_lin]]</f>
        <v>-6.7929629629629629</v>
      </c>
      <c r="Y952" s="2">
        <f>Table4[[#This Row],[av_lin]]+2*Table4[[#This Row],[std_lin]]</f>
        <v>20.378888888888888</v>
      </c>
    </row>
    <row r="953" spans="1:25" x14ac:dyDescent="0.35">
      <c r="A953" s="1">
        <v>1552</v>
      </c>
      <c r="B953" t="s">
        <v>829</v>
      </c>
      <c r="C953" t="s">
        <v>253</v>
      </c>
      <c r="D953" t="s">
        <v>442</v>
      </c>
      <c r="E953" s="2">
        <v>27.297862962962959</v>
      </c>
      <c r="F953" s="2">
        <v>59.794251433147657</v>
      </c>
      <c r="G953">
        <v>27</v>
      </c>
      <c r="H953" t="s">
        <v>58</v>
      </c>
      <c r="M953" s="2">
        <v>146.8863658292583</v>
      </c>
      <c r="N953" s="2">
        <v>-92.290639903332362</v>
      </c>
      <c r="O953" s="2">
        <v>239.1770057325906</v>
      </c>
      <c r="P953" s="2">
        <v>0.45652988888878482</v>
      </c>
      <c r="R953" t="str">
        <f t="shared" si="42"/>
        <v>yes</v>
      </c>
      <c r="S953" t="str">
        <f t="shared" si="43"/>
        <v>no</v>
      </c>
      <c r="T9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3" s="2" t="b">
        <f t="shared" si="44"/>
        <v>0</v>
      </c>
      <c r="V953" s="2">
        <f>IF(Table4[[#This Row],[linear?]],Table4[[#This Row],[av]],10^(Table4[[#This Row],[av]]/10))</f>
        <v>536.76760362345794</v>
      </c>
      <c r="W953" s="2">
        <f>IF(Table4[[#This Row],[linear?]],Table4[[#This Row],[av]],10^(Table4[[#This Row],[av]]/10))</f>
        <v>536.76760362345794</v>
      </c>
      <c r="X953" s="2">
        <f>Table4[[#This Row],[av_lin]]-2*Table4[[#This Row],[std_lin]]</f>
        <v>-536.76760362345794</v>
      </c>
      <c r="Y953" s="2">
        <f>Table4[[#This Row],[av_lin]]+2*Table4[[#This Row],[std_lin]]</f>
        <v>1610.3028108703738</v>
      </c>
    </row>
    <row r="954" spans="1:25" x14ac:dyDescent="0.35">
      <c r="A954" s="1">
        <v>1553</v>
      </c>
      <c r="B954" t="s">
        <v>829</v>
      </c>
      <c r="C954" t="s">
        <v>253</v>
      </c>
      <c r="D954" t="s">
        <v>443</v>
      </c>
      <c r="E954" s="2">
        <v>0</v>
      </c>
      <c r="F954" s="2">
        <v>0</v>
      </c>
      <c r="G954">
        <v>27</v>
      </c>
      <c r="H954" t="s">
        <v>58</v>
      </c>
      <c r="M954" s="2">
        <v>0</v>
      </c>
      <c r="N954" s="2">
        <v>0</v>
      </c>
      <c r="O954" s="2">
        <v>0</v>
      </c>
      <c r="R954" t="str">
        <f t="shared" si="42"/>
        <v>yes</v>
      </c>
      <c r="S954" t="str">
        <f t="shared" si="43"/>
        <v>no</v>
      </c>
      <c r="T9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4" s="2" t="b">
        <f t="shared" si="44"/>
        <v>0</v>
      </c>
      <c r="V954" s="2">
        <f>IF(Table4[[#This Row],[linear?]],Table4[[#This Row],[av]],10^(Table4[[#This Row],[av]]/10))</f>
        <v>1</v>
      </c>
      <c r="W954" s="2">
        <f>IF(Table4[[#This Row],[linear?]],Table4[[#This Row],[av]],10^(Table4[[#This Row],[av]]/10))</f>
        <v>1</v>
      </c>
      <c r="X954" s="2">
        <f>Table4[[#This Row],[av_lin]]-2*Table4[[#This Row],[std_lin]]</f>
        <v>-1</v>
      </c>
      <c r="Y954" s="2">
        <f>Table4[[#This Row],[av_lin]]+2*Table4[[#This Row],[std_lin]]</f>
        <v>3</v>
      </c>
    </row>
    <row r="955" spans="1:25" x14ac:dyDescent="0.35">
      <c r="A955" s="1">
        <v>1554</v>
      </c>
      <c r="B955" t="s">
        <v>829</v>
      </c>
      <c r="C955" t="s">
        <v>253</v>
      </c>
      <c r="D955" t="s">
        <v>444</v>
      </c>
      <c r="E955" s="2">
        <v>0</v>
      </c>
      <c r="F955" s="2">
        <v>0</v>
      </c>
      <c r="G955">
        <v>27</v>
      </c>
      <c r="H955" t="s">
        <v>58</v>
      </c>
      <c r="M955" s="2">
        <v>0</v>
      </c>
      <c r="N955" s="2">
        <v>0</v>
      </c>
      <c r="O955" s="2">
        <v>0</v>
      </c>
      <c r="R955" t="str">
        <f t="shared" si="42"/>
        <v>yes</v>
      </c>
      <c r="S955" t="str">
        <f t="shared" si="43"/>
        <v>no</v>
      </c>
      <c r="T9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5" s="2" t="b">
        <f t="shared" si="44"/>
        <v>0</v>
      </c>
      <c r="V955" s="2">
        <f>IF(Table4[[#This Row],[linear?]],Table4[[#This Row],[av]],10^(Table4[[#This Row],[av]]/10))</f>
        <v>1</v>
      </c>
      <c r="W955" s="2">
        <f>IF(Table4[[#This Row],[linear?]],Table4[[#This Row],[av]],10^(Table4[[#This Row],[av]]/10))</f>
        <v>1</v>
      </c>
      <c r="X955" s="2">
        <f>Table4[[#This Row],[av_lin]]-2*Table4[[#This Row],[std_lin]]</f>
        <v>-1</v>
      </c>
      <c r="Y955" s="2">
        <f>Table4[[#This Row],[av_lin]]+2*Table4[[#This Row],[std_lin]]</f>
        <v>3</v>
      </c>
    </row>
    <row r="956" spans="1:25" x14ac:dyDescent="0.35">
      <c r="A956" s="1">
        <v>1555</v>
      </c>
      <c r="B956" t="s">
        <v>829</v>
      </c>
      <c r="C956" t="s">
        <v>253</v>
      </c>
      <c r="D956" t="s">
        <v>445</v>
      </c>
      <c r="E956" s="2">
        <v>6.3670333333333327</v>
      </c>
      <c r="F956" s="2">
        <v>13.381936920341539</v>
      </c>
      <c r="G956">
        <v>27</v>
      </c>
      <c r="H956" t="s">
        <v>58</v>
      </c>
      <c r="M956" s="2">
        <v>33.130907174016407</v>
      </c>
      <c r="N956" s="2">
        <v>-20.396840507349751</v>
      </c>
      <c r="O956" s="2">
        <v>53.527747681366172</v>
      </c>
      <c r="P956" s="2">
        <v>0.47579310612763148</v>
      </c>
      <c r="R956" t="str">
        <f t="shared" si="42"/>
        <v>yes</v>
      </c>
      <c r="S956" t="str">
        <f t="shared" si="43"/>
        <v>no</v>
      </c>
      <c r="T9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6" s="2" t="b">
        <f t="shared" si="44"/>
        <v>1</v>
      </c>
      <c r="V956" s="2">
        <f>IF(Table4[[#This Row],[linear?]],Table4[[#This Row],[av]],10^(Table4[[#This Row],[av]]/10))</f>
        <v>6.3670333333333327</v>
      </c>
      <c r="W956" s="2">
        <f>IF(Table4[[#This Row],[linear?]],Table4[[#This Row],[av]],10^(Table4[[#This Row],[av]]/10))</f>
        <v>6.3670333333333327</v>
      </c>
      <c r="X956" s="2">
        <f>Table4[[#This Row],[av_lin]]-2*Table4[[#This Row],[std_lin]]</f>
        <v>-6.3670333333333327</v>
      </c>
      <c r="Y956" s="2">
        <f>Table4[[#This Row],[av_lin]]+2*Table4[[#This Row],[std_lin]]</f>
        <v>19.101099999999999</v>
      </c>
    </row>
    <row r="957" spans="1:25" x14ac:dyDescent="0.35">
      <c r="A957" s="1">
        <v>1556</v>
      </c>
      <c r="B957" t="s">
        <v>829</v>
      </c>
      <c r="C957" t="s">
        <v>253</v>
      </c>
      <c r="D957" t="s">
        <v>446</v>
      </c>
      <c r="E957" s="2">
        <v>0</v>
      </c>
      <c r="F957" s="2">
        <v>0</v>
      </c>
      <c r="G957">
        <v>27</v>
      </c>
      <c r="H957" t="s">
        <v>58</v>
      </c>
      <c r="M957" s="2">
        <v>0</v>
      </c>
      <c r="N957" s="2">
        <v>0</v>
      </c>
      <c r="O957" s="2">
        <v>0</v>
      </c>
      <c r="R957" t="str">
        <f t="shared" si="42"/>
        <v>yes</v>
      </c>
      <c r="S957" t="str">
        <f t="shared" si="43"/>
        <v>no</v>
      </c>
      <c r="T9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7" s="2" t="b">
        <f t="shared" si="44"/>
        <v>0</v>
      </c>
      <c r="V957" s="2">
        <f>IF(Table4[[#This Row],[linear?]],Table4[[#This Row],[av]],10^(Table4[[#This Row],[av]]/10))</f>
        <v>1</v>
      </c>
      <c r="W957" s="2">
        <f>IF(Table4[[#This Row],[linear?]],Table4[[#This Row],[av]],10^(Table4[[#This Row],[av]]/10))</f>
        <v>1</v>
      </c>
      <c r="X957" s="2">
        <f>Table4[[#This Row],[av_lin]]-2*Table4[[#This Row],[std_lin]]</f>
        <v>-1</v>
      </c>
      <c r="Y957" s="2">
        <f>Table4[[#This Row],[av_lin]]+2*Table4[[#This Row],[std_lin]]</f>
        <v>3</v>
      </c>
    </row>
    <row r="958" spans="1:25" x14ac:dyDescent="0.35">
      <c r="A958" s="1">
        <v>1557</v>
      </c>
      <c r="B958" t="s">
        <v>829</v>
      </c>
      <c r="C958" t="s">
        <v>253</v>
      </c>
      <c r="D958" t="s">
        <v>447</v>
      </c>
      <c r="E958" s="2">
        <v>2.9957555555555562</v>
      </c>
      <c r="F958" s="2">
        <v>5.6045454517067581</v>
      </c>
      <c r="G958">
        <v>27</v>
      </c>
      <c r="H958" t="s">
        <v>58</v>
      </c>
      <c r="M958" s="2">
        <v>14.204846458969071</v>
      </c>
      <c r="N958" s="2">
        <v>-8.21333534785796</v>
      </c>
      <c r="O958" s="2">
        <v>22.418181806827029</v>
      </c>
      <c r="P958" s="2">
        <v>0.5345224838248489</v>
      </c>
      <c r="R958" t="str">
        <f t="shared" si="42"/>
        <v>yes</v>
      </c>
      <c r="S958" t="str">
        <f t="shared" si="43"/>
        <v>no</v>
      </c>
      <c r="T9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8" s="2" t="b">
        <f t="shared" si="44"/>
        <v>0</v>
      </c>
      <c r="V958" s="2">
        <f>IF(Table4[[#This Row],[linear?]],Table4[[#This Row],[av]],10^(Table4[[#This Row],[av]]/10))</f>
        <v>1.9933132588797982</v>
      </c>
      <c r="W958" s="2">
        <f>IF(Table4[[#This Row],[linear?]],Table4[[#This Row],[av]],10^(Table4[[#This Row],[av]]/10))</f>
        <v>1.9933132588797982</v>
      </c>
      <c r="X958" s="2">
        <f>Table4[[#This Row],[av_lin]]-2*Table4[[#This Row],[std_lin]]</f>
        <v>-1.9933132588797982</v>
      </c>
      <c r="Y958" s="2">
        <f>Table4[[#This Row],[av_lin]]+2*Table4[[#This Row],[std_lin]]</f>
        <v>5.9799397766393945</v>
      </c>
    </row>
    <row r="959" spans="1:25" x14ac:dyDescent="0.35">
      <c r="A959" s="1">
        <v>1558</v>
      </c>
      <c r="B959" t="s">
        <v>829</v>
      </c>
      <c r="C959" t="s">
        <v>253</v>
      </c>
      <c r="D959" t="s">
        <v>448</v>
      </c>
      <c r="E959" s="2">
        <v>0</v>
      </c>
      <c r="F959" s="2">
        <v>0</v>
      </c>
      <c r="G959">
        <v>27</v>
      </c>
      <c r="H959" t="s">
        <v>58</v>
      </c>
      <c r="M959" s="2">
        <v>0</v>
      </c>
      <c r="N959" s="2">
        <v>0</v>
      </c>
      <c r="O959" s="2">
        <v>0</v>
      </c>
      <c r="R959" t="str">
        <f t="shared" si="42"/>
        <v>yes</v>
      </c>
      <c r="S959" t="str">
        <f t="shared" si="43"/>
        <v>no</v>
      </c>
      <c r="T9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9" s="2" t="b">
        <f t="shared" si="44"/>
        <v>0</v>
      </c>
      <c r="V959" s="2">
        <f>IF(Table4[[#This Row],[linear?]],Table4[[#This Row],[av]],10^(Table4[[#This Row],[av]]/10))</f>
        <v>1</v>
      </c>
      <c r="W959" s="2">
        <f>IF(Table4[[#This Row],[linear?]],Table4[[#This Row],[av]],10^(Table4[[#This Row],[av]]/10))</f>
        <v>1</v>
      </c>
      <c r="X959" s="2">
        <f>Table4[[#This Row],[av_lin]]-2*Table4[[#This Row],[std_lin]]</f>
        <v>-1</v>
      </c>
      <c r="Y959" s="2">
        <f>Table4[[#This Row],[av_lin]]+2*Table4[[#This Row],[std_lin]]</f>
        <v>3</v>
      </c>
    </row>
    <row r="960" spans="1:25" x14ac:dyDescent="0.35">
      <c r="A960" s="1">
        <v>1559</v>
      </c>
      <c r="B960" t="s">
        <v>829</v>
      </c>
      <c r="C960" t="s">
        <v>253</v>
      </c>
      <c r="D960" t="s">
        <v>449</v>
      </c>
      <c r="E960" s="2">
        <v>9.4719370370370353</v>
      </c>
      <c r="F960" s="2">
        <v>17.826589981471979</v>
      </c>
      <c r="G960">
        <v>27</v>
      </c>
      <c r="H960" t="s">
        <v>58</v>
      </c>
      <c r="M960" s="2">
        <v>45.125116999981003</v>
      </c>
      <c r="N960" s="2">
        <v>-26.181242925906918</v>
      </c>
      <c r="O960" s="2">
        <v>71.306359925887918</v>
      </c>
      <c r="P960" s="2">
        <v>0.53133757195748987</v>
      </c>
      <c r="R960" t="str">
        <f t="shared" si="42"/>
        <v>yes</v>
      </c>
      <c r="S960" t="str">
        <f t="shared" si="43"/>
        <v>no</v>
      </c>
      <c r="T9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0" s="2" t="b">
        <f t="shared" si="44"/>
        <v>1</v>
      </c>
      <c r="V960" s="2">
        <f>IF(Table4[[#This Row],[linear?]],Table4[[#This Row],[av]],10^(Table4[[#This Row],[av]]/10))</f>
        <v>9.4719370370370353</v>
      </c>
      <c r="W960" s="2">
        <f>IF(Table4[[#This Row],[linear?]],Table4[[#This Row],[av]],10^(Table4[[#This Row],[av]]/10))</f>
        <v>9.4719370370370353</v>
      </c>
      <c r="X960" s="2">
        <f>Table4[[#This Row],[av_lin]]-2*Table4[[#This Row],[std_lin]]</f>
        <v>-9.4719370370370353</v>
      </c>
      <c r="Y960" s="2">
        <f>Table4[[#This Row],[av_lin]]+2*Table4[[#This Row],[std_lin]]</f>
        <v>28.415811111111104</v>
      </c>
    </row>
    <row r="961" spans="1:25" x14ac:dyDescent="0.35">
      <c r="A961" s="1">
        <v>1560</v>
      </c>
      <c r="B961" t="s">
        <v>829</v>
      </c>
      <c r="C961" t="s">
        <v>253</v>
      </c>
      <c r="D961" t="s">
        <v>450</v>
      </c>
      <c r="E961" s="2">
        <v>0</v>
      </c>
      <c r="F961" s="2">
        <v>0</v>
      </c>
      <c r="G961">
        <v>27</v>
      </c>
      <c r="H961" t="s">
        <v>58</v>
      </c>
      <c r="M961" s="2">
        <v>0</v>
      </c>
      <c r="N961" s="2">
        <v>0</v>
      </c>
      <c r="O961" s="2">
        <v>0</v>
      </c>
      <c r="R961" t="str">
        <f t="shared" si="42"/>
        <v>yes</v>
      </c>
      <c r="S961" t="str">
        <f t="shared" si="43"/>
        <v>no</v>
      </c>
      <c r="T9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1" s="2" t="b">
        <f t="shared" si="44"/>
        <v>0</v>
      </c>
      <c r="V961" s="2">
        <f>IF(Table4[[#This Row],[linear?]],Table4[[#This Row],[av]],10^(Table4[[#This Row],[av]]/10))</f>
        <v>1</v>
      </c>
      <c r="W961" s="2">
        <f>IF(Table4[[#This Row],[linear?]],Table4[[#This Row],[av]],10^(Table4[[#This Row],[av]]/10))</f>
        <v>1</v>
      </c>
      <c r="X961" s="2">
        <f>Table4[[#This Row],[av_lin]]-2*Table4[[#This Row],[std_lin]]</f>
        <v>-1</v>
      </c>
      <c r="Y961" s="2">
        <f>Table4[[#This Row],[av_lin]]+2*Table4[[#This Row],[std_lin]]</f>
        <v>3</v>
      </c>
    </row>
    <row r="962" spans="1:25" x14ac:dyDescent="0.35">
      <c r="A962" s="1">
        <v>1561</v>
      </c>
      <c r="B962" t="s">
        <v>829</v>
      </c>
      <c r="C962" t="s">
        <v>253</v>
      </c>
      <c r="D962" t="s">
        <v>451</v>
      </c>
      <c r="E962" s="2">
        <v>3.994340740740741</v>
      </c>
      <c r="F962" s="2">
        <v>6.1556924987129253</v>
      </c>
      <c r="G962">
        <v>27</v>
      </c>
      <c r="H962" t="s">
        <v>58</v>
      </c>
      <c r="M962" s="2">
        <v>16.30572573816659</v>
      </c>
      <c r="N962" s="2">
        <v>-8.3170442566851097</v>
      </c>
      <c r="O962" s="2">
        <v>24.622769994851701</v>
      </c>
      <c r="P962" s="2">
        <v>0.64888568452305007</v>
      </c>
      <c r="R962" t="str">
        <f t="shared" ref="R962:R1025" si="45">IF(H962="yes","yes","no")</f>
        <v>yes</v>
      </c>
      <c r="S962" t="str">
        <f t="shared" ref="S962:S1025" si="46">IF(I962,"yes","no")</f>
        <v>no</v>
      </c>
      <c r="T9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2" s="2" t="b">
        <f t="shared" ref="U962:U1025" si="47">NOT(ISNUMBER(SEARCH("RFIC*POWER", D962)))</f>
        <v>0</v>
      </c>
      <c r="V962" s="2">
        <f>IF(Table4[[#This Row],[linear?]],Table4[[#This Row],[av]],10^(Table4[[#This Row],[av]]/10))</f>
        <v>2.508615342615431</v>
      </c>
      <c r="W962" s="2">
        <f>IF(Table4[[#This Row],[linear?]],Table4[[#This Row],[av]],10^(Table4[[#This Row],[av]]/10))</f>
        <v>2.508615342615431</v>
      </c>
      <c r="X962" s="2">
        <f>Table4[[#This Row],[av_lin]]-2*Table4[[#This Row],[std_lin]]</f>
        <v>-2.508615342615431</v>
      </c>
      <c r="Y962" s="2">
        <f>Table4[[#This Row],[av_lin]]+2*Table4[[#This Row],[std_lin]]</f>
        <v>7.5258460278462929</v>
      </c>
    </row>
    <row r="963" spans="1:25" x14ac:dyDescent="0.35">
      <c r="A963" s="1">
        <v>1562</v>
      </c>
      <c r="B963" t="s">
        <v>829</v>
      </c>
      <c r="C963" t="s">
        <v>253</v>
      </c>
      <c r="D963" t="s">
        <v>452</v>
      </c>
      <c r="E963" s="2">
        <v>0</v>
      </c>
      <c r="F963" s="2">
        <v>0</v>
      </c>
      <c r="G963">
        <v>27</v>
      </c>
      <c r="H963" t="s">
        <v>58</v>
      </c>
      <c r="M963" s="2">
        <v>0</v>
      </c>
      <c r="N963" s="2">
        <v>0</v>
      </c>
      <c r="O963" s="2">
        <v>0</v>
      </c>
      <c r="R963" t="str">
        <f t="shared" si="45"/>
        <v>yes</v>
      </c>
      <c r="S963" t="str">
        <f t="shared" si="46"/>
        <v>no</v>
      </c>
      <c r="T9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3" s="2" t="b">
        <f t="shared" si="47"/>
        <v>0</v>
      </c>
      <c r="V963" s="2">
        <f>IF(Table4[[#This Row],[linear?]],Table4[[#This Row],[av]],10^(Table4[[#This Row],[av]]/10))</f>
        <v>1</v>
      </c>
      <c r="W963" s="2">
        <f>IF(Table4[[#This Row],[linear?]],Table4[[#This Row],[av]],10^(Table4[[#This Row],[av]]/10))</f>
        <v>1</v>
      </c>
      <c r="X963" s="2">
        <f>Table4[[#This Row],[av_lin]]-2*Table4[[#This Row],[std_lin]]</f>
        <v>-1</v>
      </c>
      <c r="Y963" s="2">
        <f>Table4[[#This Row],[av_lin]]+2*Table4[[#This Row],[std_lin]]</f>
        <v>3</v>
      </c>
    </row>
    <row r="964" spans="1:25" x14ac:dyDescent="0.35">
      <c r="A964" s="1">
        <v>1563</v>
      </c>
      <c r="B964" t="s">
        <v>829</v>
      </c>
      <c r="C964" t="s">
        <v>253</v>
      </c>
      <c r="D964" t="s">
        <v>453</v>
      </c>
      <c r="E964" s="2">
        <v>12.0436</v>
      </c>
      <c r="F964" s="2">
        <v>18.7751927590243</v>
      </c>
      <c r="G964">
        <v>27</v>
      </c>
      <c r="H964" t="s">
        <v>58</v>
      </c>
      <c r="M964" s="2">
        <v>49.593985518048598</v>
      </c>
      <c r="N964" s="2">
        <v>-25.506785518048599</v>
      </c>
      <c r="O964" s="2">
        <v>75.1007710360972</v>
      </c>
      <c r="P964" s="2">
        <v>0.64146345417472428</v>
      </c>
      <c r="R964" t="str">
        <f t="shared" si="45"/>
        <v>yes</v>
      </c>
      <c r="S964" t="str">
        <f t="shared" si="46"/>
        <v>no</v>
      </c>
      <c r="T9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4" s="2" t="b">
        <f t="shared" si="47"/>
        <v>1</v>
      </c>
      <c r="V964" s="2">
        <f>IF(Table4[[#This Row],[linear?]],Table4[[#This Row],[av]],10^(Table4[[#This Row],[av]]/10))</f>
        <v>12.0436</v>
      </c>
      <c r="W964" s="2">
        <f>IF(Table4[[#This Row],[linear?]],Table4[[#This Row],[av]],10^(Table4[[#This Row],[av]]/10))</f>
        <v>12.0436</v>
      </c>
      <c r="X964" s="2">
        <f>Table4[[#This Row],[av_lin]]-2*Table4[[#This Row],[std_lin]]</f>
        <v>-12.0436</v>
      </c>
      <c r="Y964" s="2">
        <f>Table4[[#This Row],[av_lin]]+2*Table4[[#This Row],[std_lin]]</f>
        <v>36.130800000000001</v>
      </c>
    </row>
    <row r="965" spans="1:25" x14ac:dyDescent="0.35">
      <c r="A965" s="1">
        <v>1564</v>
      </c>
      <c r="B965" t="s">
        <v>829</v>
      </c>
      <c r="C965" t="s">
        <v>253</v>
      </c>
      <c r="D965" t="s">
        <v>454</v>
      </c>
      <c r="E965" s="2">
        <v>0</v>
      </c>
      <c r="F965" s="2">
        <v>0</v>
      </c>
      <c r="G965">
        <v>27</v>
      </c>
      <c r="H965" t="s">
        <v>58</v>
      </c>
      <c r="M965" s="2">
        <v>0</v>
      </c>
      <c r="N965" s="2">
        <v>0</v>
      </c>
      <c r="O965" s="2">
        <v>0</v>
      </c>
      <c r="R965" t="str">
        <f t="shared" si="45"/>
        <v>yes</v>
      </c>
      <c r="S965" t="str">
        <f t="shared" si="46"/>
        <v>no</v>
      </c>
      <c r="T9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5" s="2" t="b">
        <f t="shared" si="47"/>
        <v>0</v>
      </c>
      <c r="V965" s="2">
        <f>IF(Table4[[#This Row],[linear?]],Table4[[#This Row],[av]],10^(Table4[[#This Row],[av]]/10))</f>
        <v>1</v>
      </c>
      <c r="W965" s="2">
        <f>IF(Table4[[#This Row],[linear?]],Table4[[#This Row],[av]],10^(Table4[[#This Row],[av]]/10))</f>
        <v>1</v>
      </c>
      <c r="X965" s="2">
        <f>Table4[[#This Row],[av_lin]]-2*Table4[[#This Row],[std_lin]]</f>
        <v>-1</v>
      </c>
      <c r="Y965" s="2">
        <f>Table4[[#This Row],[av_lin]]+2*Table4[[#This Row],[std_lin]]</f>
        <v>3</v>
      </c>
    </row>
    <row r="966" spans="1:25" x14ac:dyDescent="0.35">
      <c r="A966" s="1">
        <v>1565</v>
      </c>
      <c r="B966" t="s">
        <v>829</v>
      </c>
      <c r="C966" t="s">
        <v>253</v>
      </c>
      <c r="D966" t="s">
        <v>455</v>
      </c>
      <c r="E966" s="2">
        <v>2.9957555555555562</v>
      </c>
      <c r="F966" s="2">
        <v>5.6045454517067581</v>
      </c>
      <c r="G966">
        <v>27</v>
      </c>
      <c r="H966" t="s">
        <v>58</v>
      </c>
      <c r="M966" s="2">
        <v>14.204846458969071</v>
      </c>
      <c r="N966" s="2">
        <v>-8.21333534785796</v>
      </c>
      <c r="O966" s="2">
        <v>22.418181806827029</v>
      </c>
      <c r="P966" s="2">
        <v>0.5345224838248489</v>
      </c>
      <c r="R966" t="str">
        <f t="shared" si="45"/>
        <v>yes</v>
      </c>
      <c r="S966" t="str">
        <f t="shared" si="46"/>
        <v>no</v>
      </c>
      <c r="T9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6" s="2" t="b">
        <f t="shared" si="47"/>
        <v>0</v>
      </c>
      <c r="V966" s="2">
        <f>IF(Table4[[#This Row],[linear?]],Table4[[#This Row],[av]],10^(Table4[[#This Row],[av]]/10))</f>
        <v>1.9933132588797982</v>
      </c>
      <c r="W966" s="2">
        <f>IF(Table4[[#This Row],[linear?]],Table4[[#This Row],[av]],10^(Table4[[#This Row],[av]]/10))</f>
        <v>1.9933132588797982</v>
      </c>
      <c r="X966" s="2">
        <f>Table4[[#This Row],[av_lin]]-2*Table4[[#This Row],[std_lin]]</f>
        <v>-1.9933132588797982</v>
      </c>
      <c r="Y966" s="2">
        <f>Table4[[#This Row],[av_lin]]+2*Table4[[#This Row],[std_lin]]</f>
        <v>5.9799397766393945</v>
      </c>
    </row>
    <row r="967" spans="1:25" x14ac:dyDescent="0.35">
      <c r="A967" s="1">
        <v>1566</v>
      </c>
      <c r="B967" t="s">
        <v>829</v>
      </c>
      <c r="C967" t="s">
        <v>253</v>
      </c>
      <c r="D967" t="s">
        <v>456</v>
      </c>
      <c r="E967" s="2">
        <v>0</v>
      </c>
      <c r="F967" s="2">
        <v>0</v>
      </c>
      <c r="G967">
        <v>27</v>
      </c>
      <c r="H967" t="s">
        <v>58</v>
      </c>
      <c r="M967" s="2">
        <v>0</v>
      </c>
      <c r="N967" s="2">
        <v>0</v>
      </c>
      <c r="O967" s="2">
        <v>0</v>
      </c>
      <c r="R967" t="str">
        <f t="shared" si="45"/>
        <v>yes</v>
      </c>
      <c r="S967" t="str">
        <f t="shared" si="46"/>
        <v>no</v>
      </c>
      <c r="T9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7" s="2" t="b">
        <f t="shared" si="47"/>
        <v>0</v>
      </c>
      <c r="V967" s="2">
        <f>IF(Table4[[#This Row],[linear?]],Table4[[#This Row],[av]],10^(Table4[[#This Row],[av]]/10))</f>
        <v>1</v>
      </c>
      <c r="W967" s="2">
        <f>IF(Table4[[#This Row],[linear?]],Table4[[#This Row],[av]],10^(Table4[[#This Row],[av]]/10))</f>
        <v>1</v>
      </c>
      <c r="X967" s="2">
        <f>Table4[[#This Row],[av_lin]]-2*Table4[[#This Row],[std_lin]]</f>
        <v>-1</v>
      </c>
      <c r="Y967" s="2">
        <f>Table4[[#This Row],[av_lin]]+2*Table4[[#This Row],[std_lin]]</f>
        <v>3</v>
      </c>
    </row>
    <row r="968" spans="1:25" x14ac:dyDescent="0.35">
      <c r="A968" s="1">
        <v>1567</v>
      </c>
      <c r="B968" t="s">
        <v>829</v>
      </c>
      <c r="C968" t="s">
        <v>253</v>
      </c>
      <c r="D968" t="s">
        <v>457</v>
      </c>
      <c r="E968" s="2">
        <v>8.4071148148148147</v>
      </c>
      <c r="F968" s="2">
        <v>15.8467746696339</v>
      </c>
      <c r="G968">
        <v>27</v>
      </c>
      <c r="H968" t="s">
        <v>58</v>
      </c>
      <c r="M968" s="2">
        <v>40.100664154082622</v>
      </c>
      <c r="N968" s="2">
        <v>-23.286434524452989</v>
      </c>
      <c r="O968" s="2">
        <v>63.387098678535601</v>
      </c>
      <c r="P968" s="2">
        <v>0.53052529553062922</v>
      </c>
      <c r="R968" t="str">
        <f t="shared" si="45"/>
        <v>yes</v>
      </c>
      <c r="S968" t="str">
        <f t="shared" si="46"/>
        <v>no</v>
      </c>
      <c r="T9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8" s="2" t="b">
        <f t="shared" si="47"/>
        <v>1</v>
      </c>
      <c r="V968" s="2">
        <f>IF(Table4[[#This Row],[linear?]],Table4[[#This Row],[av]],10^(Table4[[#This Row],[av]]/10))</f>
        <v>8.4071148148148147</v>
      </c>
      <c r="W968" s="2">
        <f>IF(Table4[[#This Row],[linear?]],Table4[[#This Row],[av]],10^(Table4[[#This Row],[av]]/10))</f>
        <v>8.4071148148148147</v>
      </c>
      <c r="X968" s="2">
        <f>Table4[[#This Row],[av_lin]]-2*Table4[[#This Row],[std_lin]]</f>
        <v>-8.4071148148148147</v>
      </c>
      <c r="Y968" s="2">
        <f>Table4[[#This Row],[av_lin]]+2*Table4[[#This Row],[std_lin]]</f>
        <v>25.221344444444444</v>
      </c>
    </row>
    <row r="969" spans="1:25" x14ac:dyDescent="0.35">
      <c r="A969" s="1">
        <v>1568</v>
      </c>
      <c r="B969" t="s">
        <v>829</v>
      </c>
      <c r="C969" t="s">
        <v>253</v>
      </c>
      <c r="D969" t="s">
        <v>458</v>
      </c>
      <c r="E969" s="2">
        <v>0</v>
      </c>
      <c r="F969" s="2">
        <v>0</v>
      </c>
      <c r="G969">
        <v>27</v>
      </c>
      <c r="H969" t="s">
        <v>58</v>
      </c>
      <c r="M969" s="2">
        <v>0</v>
      </c>
      <c r="N969" s="2">
        <v>0</v>
      </c>
      <c r="O969" s="2">
        <v>0</v>
      </c>
      <c r="R969" t="str">
        <f t="shared" si="45"/>
        <v>yes</v>
      </c>
      <c r="S969" t="str">
        <f t="shared" si="46"/>
        <v>no</v>
      </c>
      <c r="T9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9" s="2" t="b">
        <f t="shared" si="47"/>
        <v>0</v>
      </c>
      <c r="V969" s="2">
        <f>IF(Table4[[#This Row],[linear?]],Table4[[#This Row],[av]],10^(Table4[[#This Row],[av]]/10))</f>
        <v>1</v>
      </c>
      <c r="W969" s="2">
        <f>IF(Table4[[#This Row],[linear?]],Table4[[#This Row],[av]],10^(Table4[[#This Row],[av]]/10))</f>
        <v>1</v>
      </c>
      <c r="X969" s="2">
        <f>Table4[[#This Row],[av_lin]]-2*Table4[[#This Row],[std_lin]]</f>
        <v>-1</v>
      </c>
      <c r="Y969" s="2">
        <f>Table4[[#This Row],[av_lin]]+2*Table4[[#This Row],[std_lin]]</f>
        <v>3</v>
      </c>
    </row>
    <row r="970" spans="1:25" x14ac:dyDescent="0.35">
      <c r="A970" s="1">
        <v>1569</v>
      </c>
      <c r="B970" t="s">
        <v>829</v>
      </c>
      <c r="C970" t="s">
        <v>253</v>
      </c>
      <c r="D970" t="s">
        <v>459</v>
      </c>
      <c r="E970" s="2">
        <v>3.994340740740741</v>
      </c>
      <c r="F970" s="2">
        <v>6.1556924987129253</v>
      </c>
      <c r="G970">
        <v>27</v>
      </c>
      <c r="H970" t="s">
        <v>58</v>
      </c>
      <c r="M970" s="2">
        <v>16.30572573816659</v>
      </c>
      <c r="N970" s="2">
        <v>-8.3170442566851097</v>
      </c>
      <c r="O970" s="2">
        <v>24.622769994851701</v>
      </c>
      <c r="P970" s="2">
        <v>0.64888568452305007</v>
      </c>
      <c r="R970" t="str">
        <f t="shared" si="45"/>
        <v>yes</v>
      </c>
      <c r="S970" t="str">
        <f t="shared" si="46"/>
        <v>no</v>
      </c>
      <c r="T9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0" s="2" t="b">
        <f t="shared" si="47"/>
        <v>0</v>
      </c>
      <c r="V970" s="2">
        <f>IF(Table4[[#This Row],[linear?]],Table4[[#This Row],[av]],10^(Table4[[#This Row],[av]]/10))</f>
        <v>2.508615342615431</v>
      </c>
      <c r="W970" s="2">
        <f>IF(Table4[[#This Row],[linear?]],Table4[[#This Row],[av]],10^(Table4[[#This Row],[av]]/10))</f>
        <v>2.508615342615431</v>
      </c>
      <c r="X970" s="2">
        <f>Table4[[#This Row],[av_lin]]-2*Table4[[#This Row],[std_lin]]</f>
        <v>-2.508615342615431</v>
      </c>
      <c r="Y970" s="2">
        <f>Table4[[#This Row],[av_lin]]+2*Table4[[#This Row],[std_lin]]</f>
        <v>7.5258460278462929</v>
      </c>
    </row>
    <row r="971" spans="1:25" x14ac:dyDescent="0.35">
      <c r="A971" s="1">
        <v>1570</v>
      </c>
      <c r="B971" t="s">
        <v>829</v>
      </c>
      <c r="C971" t="s">
        <v>253</v>
      </c>
      <c r="D971" t="s">
        <v>460</v>
      </c>
      <c r="E971" s="2">
        <v>0</v>
      </c>
      <c r="F971" s="2">
        <v>0</v>
      </c>
      <c r="G971">
        <v>27</v>
      </c>
      <c r="H971" t="s">
        <v>58</v>
      </c>
      <c r="M971" s="2">
        <v>0</v>
      </c>
      <c r="N971" s="2">
        <v>0</v>
      </c>
      <c r="O971" s="2">
        <v>0</v>
      </c>
      <c r="R971" t="str">
        <f t="shared" si="45"/>
        <v>yes</v>
      </c>
      <c r="S971" t="str">
        <f t="shared" si="46"/>
        <v>no</v>
      </c>
      <c r="T9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1" s="2" t="b">
        <f t="shared" si="47"/>
        <v>0</v>
      </c>
      <c r="V971" s="2">
        <f>IF(Table4[[#This Row],[linear?]],Table4[[#This Row],[av]],10^(Table4[[#This Row],[av]]/10))</f>
        <v>1</v>
      </c>
      <c r="W971" s="2">
        <f>IF(Table4[[#This Row],[linear?]],Table4[[#This Row],[av]],10^(Table4[[#This Row],[av]]/10))</f>
        <v>1</v>
      </c>
      <c r="X971" s="2">
        <f>Table4[[#This Row],[av_lin]]-2*Table4[[#This Row],[std_lin]]</f>
        <v>-1</v>
      </c>
      <c r="Y971" s="2">
        <f>Table4[[#This Row],[av_lin]]+2*Table4[[#This Row],[std_lin]]</f>
        <v>3</v>
      </c>
    </row>
    <row r="972" spans="1:25" x14ac:dyDescent="0.35">
      <c r="A972" s="1">
        <v>1571</v>
      </c>
      <c r="B972" t="s">
        <v>829</v>
      </c>
      <c r="C972" t="s">
        <v>253</v>
      </c>
      <c r="D972" t="s">
        <v>461</v>
      </c>
      <c r="E972" s="2">
        <v>10.978774074074069</v>
      </c>
      <c r="F972" s="2">
        <v>17.049076652973241</v>
      </c>
      <c r="G972">
        <v>27</v>
      </c>
      <c r="H972" t="s">
        <v>58</v>
      </c>
      <c r="M972" s="2">
        <v>45.07692738002055</v>
      </c>
      <c r="N972" s="2">
        <v>-23.119379231872411</v>
      </c>
      <c r="O972" s="2">
        <v>68.196306611892965</v>
      </c>
      <c r="P972" s="2">
        <v>0.64395124132188397</v>
      </c>
      <c r="R972" t="str">
        <f t="shared" si="45"/>
        <v>yes</v>
      </c>
      <c r="S972" t="str">
        <f t="shared" si="46"/>
        <v>no</v>
      </c>
      <c r="T9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2" s="2" t="b">
        <f t="shared" si="47"/>
        <v>1</v>
      </c>
      <c r="V972" s="2">
        <f>IF(Table4[[#This Row],[linear?]],Table4[[#This Row],[av]],10^(Table4[[#This Row],[av]]/10))</f>
        <v>10.978774074074069</v>
      </c>
      <c r="W972" s="2">
        <f>IF(Table4[[#This Row],[linear?]],Table4[[#This Row],[av]],10^(Table4[[#This Row],[av]]/10))</f>
        <v>10.978774074074069</v>
      </c>
      <c r="X972" s="2">
        <f>Table4[[#This Row],[av_lin]]-2*Table4[[#This Row],[std_lin]]</f>
        <v>-10.978774074074069</v>
      </c>
      <c r="Y972" s="2">
        <f>Table4[[#This Row],[av_lin]]+2*Table4[[#This Row],[std_lin]]</f>
        <v>32.936322222222209</v>
      </c>
    </row>
    <row r="973" spans="1:25" x14ac:dyDescent="0.35">
      <c r="A973" s="1">
        <v>1572</v>
      </c>
      <c r="B973" t="s">
        <v>829</v>
      </c>
      <c r="C973" t="s">
        <v>253</v>
      </c>
      <c r="D973" t="s">
        <v>462</v>
      </c>
      <c r="E973" s="2">
        <v>0</v>
      </c>
      <c r="F973" s="2">
        <v>0</v>
      </c>
      <c r="G973">
        <v>27</v>
      </c>
      <c r="H973" t="s">
        <v>58</v>
      </c>
      <c r="M973" s="2">
        <v>0</v>
      </c>
      <c r="N973" s="2">
        <v>0</v>
      </c>
      <c r="O973" s="2">
        <v>0</v>
      </c>
      <c r="R973" t="str">
        <f t="shared" si="45"/>
        <v>yes</v>
      </c>
      <c r="S973" t="str">
        <f t="shared" si="46"/>
        <v>no</v>
      </c>
      <c r="T9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3" s="2" t="b">
        <f t="shared" si="47"/>
        <v>0</v>
      </c>
      <c r="V973" s="2">
        <f>IF(Table4[[#This Row],[linear?]],Table4[[#This Row],[av]],10^(Table4[[#This Row],[av]]/10))</f>
        <v>1</v>
      </c>
      <c r="W973" s="2">
        <f>IF(Table4[[#This Row],[linear?]],Table4[[#This Row],[av]],10^(Table4[[#This Row],[av]]/10))</f>
        <v>1</v>
      </c>
      <c r="X973" s="2">
        <f>Table4[[#This Row],[av_lin]]-2*Table4[[#This Row],[std_lin]]</f>
        <v>-1</v>
      </c>
      <c r="Y973" s="2">
        <f>Table4[[#This Row],[av_lin]]+2*Table4[[#This Row],[std_lin]]</f>
        <v>3</v>
      </c>
    </row>
    <row r="974" spans="1:25" x14ac:dyDescent="0.35">
      <c r="A974" s="1">
        <v>1573</v>
      </c>
      <c r="B974" t="s">
        <v>829</v>
      </c>
      <c r="C974" t="s">
        <v>253</v>
      </c>
      <c r="D974" t="s">
        <v>463</v>
      </c>
      <c r="E974" s="2">
        <v>2.9957555555555562</v>
      </c>
      <c r="F974" s="2">
        <v>5.6045454517067581</v>
      </c>
      <c r="G974">
        <v>27</v>
      </c>
      <c r="H974" t="s">
        <v>58</v>
      </c>
      <c r="M974" s="2">
        <v>14.204846458969071</v>
      </c>
      <c r="N974" s="2">
        <v>-8.21333534785796</v>
      </c>
      <c r="O974" s="2">
        <v>22.418181806827029</v>
      </c>
      <c r="P974" s="2">
        <v>0.5345224838248489</v>
      </c>
      <c r="R974" t="str">
        <f t="shared" si="45"/>
        <v>yes</v>
      </c>
      <c r="S974" t="str">
        <f t="shared" si="46"/>
        <v>no</v>
      </c>
      <c r="T9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4" s="2" t="b">
        <f t="shared" si="47"/>
        <v>0</v>
      </c>
      <c r="V974" s="2">
        <f>IF(Table4[[#This Row],[linear?]],Table4[[#This Row],[av]],10^(Table4[[#This Row],[av]]/10))</f>
        <v>1.9933132588797982</v>
      </c>
      <c r="W974" s="2">
        <f>IF(Table4[[#This Row],[linear?]],Table4[[#This Row],[av]],10^(Table4[[#This Row],[av]]/10))</f>
        <v>1.9933132588797982</v>
      </c>
      <c r="X974" s="2">
        <f>Table4[[#This Row],[av_lin]]-2*Table4[[#This Row],[std_lin]]</f>
        <v>-1.9933132588797982</v>
      </c>
      <c r="Y974" s="2">
        <f>Table4[[#This Row],[av_lin]]+2*Table4[[#This Row],[std_lin]]</f>
        <v>5.9799397766393945</v>
      </c>
    </row>
    <row r="975" spans="1:25" x14ac:dyDescent="0.35">
      <c r="A975" s="1">
        <v>1574</v>
      </c>
      <c r="B975" t="s">
        <v>829</v>
      </c>
      <c r="C975" t="s">
        <v>253</v>
      </c>
      <c r="D975" t="s">
        <v>464</v>
      </c>
      <c r="E975" s="2">
        <v>0</v>
      </c>
      <c r="F975" s="2">
        <v>0</v>
      </c>
      <c r="G975">
        <v>27</v>
      </c>
      <c r="H975" t="s">
        <v>58</v>
      </c>
      <c r="M975" s="2">
        <v>0</v>
      </c>
      <c r="N975" s="2">
        <v>0</v>
      </c>
      <c r="O975" s="2">
        <v>0</v>
      </c>
      <c r="R975" t="str">
        <f t="shared" si="45"/>
        <v>yes</v>
      </c>
      <c r="S975" t="str">
        <f t="shared" si="46"/>
        <v>no</v>
      </c>
      <c r="T9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5" s="2" t="b">
        <f t="shared" si="47"/>
        <v>0</v>
      </c>
      <c r="V975" s="2">
        <f>IF(Table4[[#This Row],[linear?]],Table4[[#This Row],[av]],10^(Table4[[#This Row],[av]]/10))</f>
        <v>1</v>
      </c>
      <c r="W975" s="2">
        <f>IF(Table4[[#This Row],[linear?]],Table4[[#This Row],[av]],10^(Table4[[#This Row],[av]]/10))</f>
        <v>1</v>
      </c>
      <c r="X975" s="2">
        <f>Table4[[#This Row],[av_lin]]-2*Table4[[#This Row],[std_lin]]</f>
        <v>-1</v>
      </c>
      <c r="Y975" s="2">
        <f>Table4[[#This Row],[av_lin]]+2*Table4[[#This Row],[std_lin]]</f>
        <v>3</v>
      </c>
    </row>
    <row r="976" spans="1:25" x14ac:dyDescent="0.35">
      <c r="A976" s="1">
        <v>1575</v>
      </c>
      <c r="B976" t="s">
        <v>829</v>
      </c>
      <c r="C976" t="s">
        <v>253</v>
      </c>
      <c r="D976" t="s">
        <v>465</v>
      </c>
      <c r="E976" s="2">
        <v>8.300633333333332</v>
      </c>
      <c r="F976" s="2">
        <v>15.60608487937389</v>
      </c>
      <c r="G976">
        <v>27</v>
      </c>
      <c r="H976" t="s">
        <v>58</v>
      </c>
      <c r="M976" s="2">
        <v>39.512803092081107</v>
      </c>
      <c r="N976" s="2">
        <v>-22.91153642541445</v>
      </c>
      <c r="O976" s="2">
        <v>62.424339517495561</v>
      </c>
      <c r="P976" s="2">
        <v>0.53188441543747067</v>
      </c>
      <c r="R976" t="str">
        <f t="shared" si="45"/>
        <v>yes</v>
      </c>
      <c r="S976" t="str">
        <f t="shared" si="46"/>
        <v>no</v>
      </c>
      <c r="T9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6" s="2" t="b">
        <f t="shared" si="47"/>
        <v>1</v>
      </c>
      <c r="V976" s="2">
        <f>IF(Table4[[#This Row],[linear?]],Table4[[#This Row],[av]],10^(Table4[[#This Row],[av]]/10))</f>
        <v>8.300633333333332</v>
      </c>
      <c r="W976" s="2">
        <f>IF(Table4[[#This Row],[linear?]],Table4[[#This Row],[av]],10^(Table4[[#This Row],[av]]/10))</f>
        <v>8.300633333333332</v>
      </c>
      <c r="X976" s="2">
        <f>Table4[[#This Row],[av_lin]]-2*Table4[[#This Row],[std_lin]]</f>
        <v>-8.300633333333332</v>
      </c>
      <c r="Y976" s="2">
        <f>Table4[[#This Row],[av_lin]]+2*Table4[[#This Row],[std_lin]]</f>
        <v>24.901899999999998</v>
      </c>
    </row>
    <row r="977" spans="1:25" x14ac:dyDescent="0.35">
      <c r="A977" s="1">
        <v>1576</v>
      </c>
      <c r="B977" t="s">
        <v>829</v>
      </c>
      <c r="C977" t="s">
        <v>253</v>
      </c>
      <c r="D977" t="s">
        <v>466</v>
      </c>
      <c r="E977" s="2">
        <v>0</v>
      </c>
      <c r="F977" s="2">
        <v>0</v>
      </c>
      <c r="G977">
        <v>27</v>
      </c>
      <c r="H977" t="s">
        <v>58</v>
      </c>
      <c r="M977" s="2">
        <v>0</v>
      </c>
      <c r="N977" s="2">
        <v>0</v>
      </c>
      <c r="O977" s="2">
        <v>0</v>
      </c>
      <c r="R977" t="str">
        <f t="shared" si="45"/>
        <v>yes</v>
      </c>
      <c r="S977" t="str">
        <f t="shared" si="46"/>
        <v>no</v>
      </c>
      <c r="T9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7" s="2" t="b">
        <f t="shared" si="47"/>
        <v>0</v>
      </c>
      <c r="V977" s="2">
        <f>IF(Table4[[#This Row],[linear?]],Table4[[#This Row],[av]],10^(Table4[[#This Row],[av]]/10))</f>
        <v>1</v>
      </c>
      <c r="W977" s="2">
        <f>IF(Table4[[#This Row],[linear?]],Table4[[#This Row],[av]],10^(Table4[[#This Row],[av]]/10))</f>
        <v>1</v>
      </c>
      <c r="X977" s="2">
        <f>Table4[[#This Row],[av_lin]]-2*Table4[[#This Row],[std_lin]]</f>
        <v>-1</v>
      </c>
      <c r="Y977" s="2">
        <f>Table4[[#This Row],[av_lin]]+2*Table4[[#This Row],[std_lin]]</f>
        <v>3</v>
      </c>
    </row>
    <row r="978" spans="1:25" x14ac:dyDescent="0.35">
      <c r="A978" s="1">
        <v>1577</v>
      </c>
      <c r="B978" t="s">
        <v>829</v>
      </c>
      <c r="C978" t="s">
        <v>253</v>
      </c>
      <c r="D978" t="s">
        <v>467</v>
      </c>
      <c r="E978" s="2">
        <v>3.994340740740741</v>
      </c>
      <c r="F978" s="2">
        <v>6.1556924987129253</v>
      </c>
      <c r="G978">
        <v>27</v>
      </c>
      <c r="H978" t="s">
        <v>58</v>
      </c>
      <c r="M978" s="2">
        <v>16.30572573816659</v>
      </c>
      <c r="N978" s="2">
        <v>-8.3170442566851097</v>
      </c>
      <c r="O978" s="2">
        <v>24.622769994851701</v>
      </c>
      <c r="P978" s="2">
        <v>0.64888568452305007</v>
      </c>
      <c r="R978" t="str">
        <f t="shared" si="45"/>
        <v>yes</v>
      </c>
      <c r="S978" t="str">
        <f t="shared" si="46"/>
        <v>no</v>
      </c>
      <c r="T9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8" s="2" t="b">
        <f t="shared" si="47"/>
        <v>0</v>
      </c>
      <c r="V978" s="2">
        <f>IF(Table4[[#This Row],[linear?]],Table4[[#This Row],[av]],10^(Table4[[#This Row],[av]]/10))</f>
        <v>2.508615342615431</v>
      </c>
      <c r="W978" s="2">
        <f>IF(Table4[[#This Row],[linear?]],Table4[[#This Row],[av]],10^(Table4[[#This Row],[av]]/10))</f>
        <v>2.508615342615431</v>
      </c>
      <c r="X978" s="2">
        <f>Table4[[#This Row],[av_lin]]-2*Table4[[#This Row],[std_lin]]</f>
        <v>-2.508615342615431</v>
      </c>
      <c r="Y978" s="2">
        <f>Table4[[#This Row],[av_lin]]+2*Table4[[#This Row],[std_lin]]</f>
        <v>7.5258460278462929</v>
      </c>
    </row>
    <row r="979" spans="1:25" x14ac:dyDescent="0.35">
      <c r="A979" s="1">
        <v>1578</v>
      </c>
      <c r="B979" t="s">
        <v>829</v>
      </c>
      <c r="C979" t="s">
        <v>253</v>
      </c>
      <c r="D979" t="s">
        <v>468</v>
      </c>
      <c r="E979" s="2">
        <v>0</v>
      </c>
      <c r="F979" s="2">
        <v>0</v>
      </c>
      <c r="G979">
        <v>27</v>
      </c>
      <c r="H979" t="s">
        <v>58</v>
      </c>
      <c r="M979" s="2">
        <v>0</v>
      </c>
      <c r="N979" s="2">
        <v>0</v>
      </c>
      <c r="O979" s="2">
        <v>0</v>
      </c>
      <c r="R979" t="str">
        <f t="shared" si="45"/>
        <v>yes</v>
      </c>
      <c r="S979" t="str">
        <f t="shared" si="46"/>
        <v>no</v>
      </c>
      <c r="T9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9" s="2" t="b">
        <f t="shared" si="47"/>
        <v>0</v>
      </c>
      <c r="V979" s="2">
        <f>IF(Table4[[#This Row],[linear?]],Table4[[#This Row],[av]],10^(Table4[[#This Row],[av]]/10))</f>
        <v>1</v>
      </c>
      <c r="W979" s="2">
        <f>IF(Table4[[#This Row],[linear?]],Table4[[#This Row],[av]],10^(Table4[[#This Row],[av]]/10))</f>
        <v>1</v>
      </c>
      <c r="X979" s="2">
        <f>Table4[[#This Row],[av_lin]]-2*Table4[[#This Row],[std_lin]]</f>
        <v>-1</v>
      </c>
      <c r="Y979" s="2">
        <f>Table4[[#This Row],[av_lin]]+2*Table4[[#This Row],[std_lin]]</f>
        <v>3</v>
      </c>
    </row>
    <row r="980" spans="1:25" x14ac:dyDescent="0.35">
      <c r="A980" s="1">
        <v>1579</v>
      </c>
      <c r="B980" t="s">
        <v>829</v>
      </c>
      <c r="C980" t="s">
        <v>253</v>
      </c>
      <c r="D980" t="s">
        <v>469</v>
      </c>
      <c r="E980" s="2">
        <v>10.641570370370371</v>
      </c>
      <c r="F980" s="2">
        <v>16.53660454154863</v>
      </c>
      <c r="G980">
        <v>27</v>
      </c>
      <c r="H980" t="s">
        <v>58</v>
      </c>
      <c r="M980" s="2">
        <v>43.714779453467628</v>
      </c>
      <c r="N980" s="2">
        <v>-22.43163871272689</v>
      </c>
      <c r="O980" s="2">
        <v>66.146418166194522</v>
      </c>
      <c r="P980" s="2">
        <v>0.6435160460923619</v>
      </c>
      <c r="R980" t="str">
        <f t="shared" si="45"/>
        <v>yes</v>
      </c>
      <c r="S980" t="str">
        <f t="shared" si="46"/>
        <v>no</v>
      </c>
      <c r="T9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0" s="2" t="b">
        <f t="shared" si="47"/>
        <v>1</v>
      </c>
      <c r="V980" s="2">
        <f>IF(Table4[[#This Row],[linear?]],Table4[[#This Row],[av]],10^(Table4[[#This Row],[av]]/10))</f>
        <v>10.641570370370371</v>
      </c>
      <c r="W980" s="2">
        <f>IF(Table4[[#This Row],[linear?]],Table4[[#This Row],[av]],10^(Table4[[#This Row],[av]]/10))</f>
        <v>10.641570370370371</v>
      </c>
      <c r="X980" s="2">
        <f>Table4[[#This Row],[av_lin]]-2*Table4[[#This Row],[std_lin]]</f>
        <v>-10.641570370370371</v>
      </c>
      <c r="Y980" s="2">
        <f>Table4[[#This Row],[av_lin]]+2*Table4[[#This Row],[std_lin]]</f>
        <v>31.924711111111112</v>
      </c>
    </row>
    <row r="981" spans="1:25" x14ac:dyDescent="0.35">
      <c r="A981" s="1">
        <v>1580</v>
      </c>
      <c r="B981" t="s">
        <v>829</v>
      </c>
      <c r="C981" t="s">
        <v>253</v>
      </c>
      <c r="D981" t="s">
        <v>470</v>
      </c>
      <c r="E981" s="2">
        <v>33.348981481481481</v>
      </c>
      <c r="F981" s="2">
        <v>69.953413710480604</v>
      </c>
      <c r="G981">
        <v>27</v>
      </c>
      <c r="H981" t="s">
        <v>58</v>
      </c>
      <c r="M981" s="2">
        <v>173.25580890244271</v>
      </c>
      <c r="N981" s="2">
        <v>-106.55784593947971</v>
      </c>
      <c r="O981" s="2">
        <v>279.81365484192241</v>
      </c>
      <c r="P981" s="2">
        <v>0.47673129462279618</v>
      </c>
      <c r="R981" t="str">
        <f t="shared" si="45"/>
        <v>yes</v>
      </c>
      <c r="S981" t="str">
        <f t="shared" si="46"/>
        <v>no</v>
      </c>
      <c r="T9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1" s="2" t="b">
        <f t="shared" si="47"/>
        <v>0</v>
      </c>
      <c r="V981" s="2">
        <f>IF(Table4[[#This Row],[linear?]],Table4[[#This Row],[av]],10^(Table4[[#This Row],[av]]/10))</f>
        <v>2162.2113769224356</v>
      </c>
      <c r="W981" s="2">
        <f>IF(Table4[[#This Row],[linear?]],Table4[[#This Row],[av]],10^(Table4[[#This Row],[av]]/10))</f>
        <v>2162.2113769224356</v>
      </c>
      <c r="X981" s="2">
        <f>Table4[[#This Row],[av_lin]]-2*Table4[[#This Row],[std_lin]]</f>
        <v>-2162.2113769224356</v>
      </c>
      <c r="Y981" s="2">
        <f>Table4[[#This Row],[av_lin]]+2*Table4[[#This Row],[std_lin]]</f>
        <v>6486.6341307673065</v>
      </c>
    </row>
    <row r="982" spans="1:25" x14ac:dyDescent="0.35">
      <c r="A982" s="1">
        <v>1581</v>
      </c>
      <c r="B982" t="s">
        <v>829</v>
      </c>
      <c r="C982" t="s">
        <v>253</v>
      </c>
      <c r="D982" t="s">
        <v>471</v>
      </c>
      <c r="E982" s="2">
        <v>0</v>
      </c>
      <c r="F982" s="2">
        <v>0</v>
      </c>
      <c r="G982">
        <v>27</v>
      </c>
      <c r="H982" t="s">
        <v>58</v>
      </c>
      <c r="M982" s="2">
        <v>0</v>
      </c>
      <c r="N982" s="2">
        <v>0</v>
      </c>
      <c r="O982" s="2">
        <v>0</v>
      </c>
      <c r="R982" t="str">
        <f t="shared" si="45"/>
        <v>yes</v>
      </c>
      <c r="S982" t="str">
        <f t="shared" si="46"/>
        <v>no</v>
      </c>
      <c r="T9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2" s="2" t="b">
        <f t="shared" si="47"/>
        <v>0</v>
      </c>
      <c r="V982" s="2">
        <f>IF(Table4[[#This Row],[linear?]],Table4[[#This Row],[av]],10^(Table4[[#This Row],[av]]/10))</f>
        <v>1</v>
      </c>
      <c r="W982" s="2">
        <f>IF(Table4[[#This Row],[linear?]],Table4[[#This Row],[av]],10^(Table4[[#This Row],[av]]/10))</f>
        <v>1</v>
      </c>
      <c r="X982" s="2">
        <f>Table4[[#This Row],[av_lin]]-2*Table4[[#This Row],[std_lin]]</f>
        <v>-1</v>
      </c>
      <c r="Y982" s="2">
        <f>Table4[[#This Row],[av_lin]]+2*Table4[[#This Row],[std_lin]]</f>
        <v>3</v>
      </c>
    </row>
    <row r="983" spans="1:25" x14ac:dyDescent="0.35">
      <c r="A983" s="1">
        <v>1582</v>
      </c>
      <c r="B983" t="s">
        <v>829</v>
      </c>
      <c r="C983" t="s">
        <v>253</v>
      </c>
      <c r="D983" t="s">
        <v>472</v>
      </c>
      <c r="E983" s="2">
        <v>0</v>
      </c>
      <c r="F983" s="2">
        <v>0</v>
      </c>
      <c r="G983">
        <v>27</v>
      </c>
      <c r="H983" t="s">
        <v>58</v>
      </c>
      <c r="M983" s="2">
        <v>0</v>
      </c>
      <c r="N983" s="2">
        <v>0</v>
      </c>
      <c r="O983" s="2">
        <v>0</v>
      </c>
      <c r="R983" t="str">
        <f t="shared" si="45"/>
        <v>yes</v>
      </c>
      <c r="S983" t="str">
        <f t="shared" si="46"/>
        <v>no</v>
      </c>
      <c r="T9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3" s="2" t="b">
        <f t="shared" si="47"/>
        <v>0</v>
      </c>
      <c r="V983" s="2">
        <f>IF(Table4[[#This Row],[linear?]],Table4[[#This Row],[av]],10^(Table4[[#This Row],[av]]/10))</f>
        <v>1</v>
      </c>
      <c r="W983" s="2">
        <f>IF(Table4[[#This Row],[linear?]],Table4[[#This Row],[av]],10^(Table4[[#This Row],[av]]/10))</f>
        <v>1</v>
      </c>
      <c r="X983" s="2">
        <f>Table4[[#This Row],[av_lin]]-2*Table4[[#This Row],[std_lin]]</f>
        <v>-1</v>
      </c>
      <c r="Y983" s="2">
        <f>Table4[[#This Row],[av_lin]]+2*Table4[[#This Row],[std_lin]]</f>
        <v>3</v>
      </c>
    </row>
    <row r="984" spans="1:25" x14ac:dyDescent="0.35">
      <c r="A984" s="1">
        <v>1583</v>
      </c>
      <c r="B984" t="s">
        <v>829</v>
      </c>
      <c r="C984" t="s">
        <v>253</v>
      </c>
      <c r="D984" t="s">
        <v>473</v>
      </c>
      <c r="E984" s="2">
        <v>6.8994444444444447</v>
      </c>
      <c r="F984" s="2">
        <v>14.49670227399969</v>
      </c>
      <c r="G984">
        <v>27</v>
      </c>
      <c r="H984" t="s">
        <v>58</v>
      </c>
      <c r="M984" s="2">
        <v>35.892848992443817</v>
      </c>
      <c r="N984" s="2">
        <v>-22.093960103554931</v>
      </c>
      <c r="O984" s="2">
        <v>57.986809095998758</v>
      </c>
      <c r="P984" s="2">
        <v>0.47593199570765998</v>
      </c>
      <c r="R984" t="str">
        <f t="shared" si="45"/>
        <v>yes</v>
      </c>
      <c r="S984" t="str">
        <f t="shared" si="46"/>
        <v>no</v>
      </c>
      <c r="T9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4" s="2" t="b">
        <f t="shared" si="47"/>
        <v>1</v>
      </c>
      <c r="V984" s="2">
        <f>IF(Table4[[#This Row],[linear?]],Table4[[#This Row],[av]],10^(Table4[[#This Row],[av]]/10))</f>
        <v>6.8994444444444447</v>
      </c>
      <c r="W984" s="2">
        <f>IF(Table4[[#This Row],[linear?]],Table4[[#This Row],[av]],10^(Table4[[#This Row],[av]]/10))</f>
        <v>6.8994444444444447</v>
      </c>
      <c r="X984" s="2">
        <f>Table4[[#This Row],[av_lin]]-2*Table4[[#This Row],[std_lin]]</f>
        <v>-6.8994444444444447</v>
      </c>
      <c r="Y984" s="2">
        <f>Table4[[#This Row],[av_lin]]+2*Table4[[#This Row],[std_lin]]</f>
        <v>20.698333333333334</v>
      </c>
    </row>
    <row r="985" spans="1:25" x14ac:dyDescent="0.35">
      <c r="A985" s="1">
        <v>1584</v>
      </c>
      <c r="B985" t="s">
        <v>829</v>
      </c>
      <c r="C985" t="s">
        <v>253</v>
      </c>
      <c r="D985" t="s">
        <v>474</v>
      </c>
      <c r="E985" s="2">
        <v>28.42468518518519</v>
      </c>
      <c r="F985" s="2">
        <v>61.249085088427343</v>
      </c>
      <c r="G985">
        <v>27</v>
      </c>
      <c r="H985" t="s">
        <v>58</v>
      </c>
      <c r="M985" s="2">
        <v>150.92285536203991</v>
      </c>
      <c r="N985" s="2">
        <v>-94.073484991669488</v>
      </c>
      <c r="O985" s="2">
        <v>244.9963403537094</v>
      </c>
      <c r="P985" s="2">
        <v>0.46408342498745131</v>
      </c>
      <c r="R985" t="str">
        <f t="shared" si="45"/>
        <v>yes</v>
      </c>
      <c r="S985" t="str">
        <f t="shared" si="46"/>
        <v>no</v>
      </c>
      <c r="T9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5" s="2" t="b">
        <f t="shared" si="47"/>
        <v>0</v>
      </c>
      <c r="V985" s="2">
        <f>IF(Table4[[#This Row],[linear?]],Table4[[#This Row],[av]],10^(Table4[[#This Row],[av]]/10))</f>
        <v>695.77451701971825</v>
      </c>
      <c r="W985" s="2">
        <f>IF(Table4[[#This Row],[linear?]],Table4[[#This Row],[av]],10^(Table4[[#This Row],[av]]/10))</f>
        <v>695.77451701971825</v>
      </c>
      <c r="X985" s="2">
        <f>Table4[[#This Row],[av_lin]]-2*Table4[[#This Row],[std_lin]]</f>
        <v>-695.77451701971825</v>
      </c>
      <c r="Y985" s="2">
        <f>Table4[[#This Row],[av_lin]]+2*Table4[[#This Row],[std_lin]]</f>
        <v>2087.3235510591549</v>
      </c>
    </row>
    <row r="986" spans="1:25" x14ac:dyDescent="0.35">
      <c r="A986" s="1">
        <v>1585</v>
      </c>
      <c r="B986" t="s">
        <v>829</v>
      </c>
      <c r="C986" t="s">
        <v>253</v>
      </c>
      <c r="D986" t="s">
        <v>475</v>
      </c>
      <c r="E986" s="2">
        <v>0</v>
      </c>
      <c r="F986" s="2">
        <v>0</v>
      </c>
      <c r="G986">
        <v>27</v>
      </c>
      <c r="H986" t="s">
        <v>58</v>
      </c>
      <c r="M986" s="2">
        <v>0</v>
      </c>
      <c r="N986" s="2">
        <v>0</v>
      </c>
      <c r="O986" s="2">
        <v>0</v>
      </c>
      <c r="R986" t="str">
        <f t="shared" si="45"/>
        <v>yes</v>
      </c>
      <c r="S986" t="str">
        <f t="shared" si="46"/>
        <v>no</v>
      </c>
      <c r="T9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6" s="2" t="b">
        <f t="shared" si="47"/>
        <v>0</v>
      </c>
      <c r="V986" s="2">
        <f>IF(Table4[[#This Row],[linear?]],Table4[[#This Row],[av]],10^(Table4[[#This Row],[av]]/10))</f>
        <v>1</v>
      </c>
      <c r="W986" s="2">
        <f>IF(Table4[[#This Row],[linear?]],Table4[[#This Row],[av]],10^(Table4[[#This Row],[av]]/10))</f>
        <v>1</v>
      </c>
      <c r="X986" s="2">
        <f>Table4[[#This Row],[av_lin]]-2*Table4[[#This Row],[std_lin]]</f>
        <v>-1</v>
      </c>
      <c r="Y986" s="2">
        <f>Table4[[#This Row],[av_lin]]+2*Table4[[#This Row],[std_lin]]</f>
        <v>3</v>
      </c>
    </row>
    <row r="987" spans="1:25" x14ac:dyDescent="0.35">
      <c r="A987" s="1">
        <v>1586</v>
      </c>
      <c r="B987" t="s">
        <v>829</v>
      </c>
      <c r="C987" t="s">
        <v>253</v>
      </c>
      <c r="D987" t="s">
        <v>476</v>
      </c>
      <c r="E987" s="2">
        <v>0</v>
      </c>
      <c r="F987" s="2">
        <v>0</v>
      </c>
      <c r="G987">
        <v>27</v>
      </c>
      <c r="H987" t="s">
        <v>58</v>
      </c>
      <c r="M987" s="2">
        <v>0</v>
      </c>
      <c r="N987" s="2">
        <v>0</v>
      </c>
      <c r="O987" s="2">
        <v>0</v>
      </c>
      <c r="R987" t="str">
        <f t="shared" si="45"/>
        <v>yes</v>
      </c>
      <c r="S987" t="str">
        <f t="shared" si="46"/>
        <v>no</v>
      </c>
      <c r="T9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7" s="2" t="b">
        <f t="shared" si="47"/>
        <v>0</v>
      </c>
      <c r="V987" s="2">
        <f>IF(Table4[[#This Row],[linear?]],Table4[[#This Row],[av]],10^(Table4[[#This Row],[av]]/10))</f>
        <v>1</v>
      </c>
      <c r="W987" s="2">
        <f>IF(Table4[[#This Row],[linear?]],Table4[[#This Row],[av]],10^(Table4[[#This Row],[av]]/10))</f>
        <v>1</v>
      </c>
      <c r="X987" s="2">
        <f>Table4[[#This Row],[av_lin]]-2*Table4[[#This Row],[std_lin]]</f>
        <v>-1</v>
      </c>
      <c r="Y987" s="2">
        <f>Table4[[#This Row],[av_lin]]+2*Table4[[#This Row],[std_lin]]</f>
        <v>3</v>
      </c>
    </row>
    <row r="988" spans="1:25" x14ac:dyDescent="0.35">
      <c r="A988" s="1">
        <v>1587</v>
      </c>
      <c r="B988" t="s">
        <v>829</v>
      </c>
      <c r="C988" t="s">
        <v>253</v>
      </c>
      <c r="D988" t="s">
        <v>477</v>
      </c>
      <c r="E988" s="2">
        <v>7.0059259259259257</v>
      </c>
      <c r="F988" s="2">
        <v>14.71136951269178</v>
      </c>
      <c r="G988">
        <v>27</v>
      </c>
      <c r="H988" t="s">
        <v>58</v>
      </c>
      <c r="M988" s="2">
        <v>36.428664951309493</v>
      </c>
      <c r="N988" s="2">
        <v>-22.416813099457631</v>
      </c>
      <c r="O988" s="2">
        <v>58.84547805076712</v>
      </c>
      <c r="P988" s="2">
        <v>0.47622527052167229</v>
      </c>
      <c r="R988" t="str">
        <f t="shared" si="45"/>
        <v>yes</v>
      </c>
      <c r="S988" t="str">
        <f t="shared" si="46"/>
        <v>no</v>
      </c>
      <c r="T9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8" s="2" t="b">
        <f t="shared" si="47"/>
        <v>1</v>
      </c>
      <c r="V988" s="2">
        <f>IF(Table4[[#This Row],[linear?]],Table4[[#This Row],[av]],10^(Table4[[#This Row],[av]]/10))</f>
        <v>7.0059259259259257</v>
      </c>
      <c r="W988" s="2">
        <f>IF(Table4[[#This Row],[linear?]],Table4[[#This Row],[av]],10^(Table4[[#This Row],[av]]/10))</f>
        <v>7.0059259259259257</v>
      </c>
      <c r="X988" s="2">
        <f>Table4[[#This Row],[av_lin]]-2*Table4[[#This Row],[std_lin]]</f>
        <v>-7.0059259259259257</v>
      </c>
      <c r="Y988" s="2">
        <f>Table4[[#This Row],[av_lin]]+2*Table4[[#This Row],[std_lin]]</f>
        <v>21.017777777777777</v>
      </c>
    </row>
    <row r="989" spans="1:25" x14ac:dyDescent="0.35">
      <c r="A989" s="1">
        <v>1588</v>
      </c>
      <c r="B989" t="s">
        <v>829</v>
      </c>
      <c r="C989" t="s">
        <v>253</v>
      </c>
      <c r="D989" t="s">
        <v>478</v>
      </c>
      <c r="E989" s="2">
        <v>33.348981481481481</v>
      </c>
      <c r="F989" s="2">
        <v>69.953413710480604</v>
      </c>
      <c r="G989">
        <v>27</v>
      </c>
      <c r="H989" t="s">
        <v>58</v>
      </c>
      <c r="M989" s="2">
        <v>173.25580890244271</v>
      </c>
      <c r="N989" s="2">
        <v>-106.55784593947971</v>
      </c>
      <c r="O989" s="2">
        <v>279.81365484192241</v>
      </c>
      <c r="P989" s="2">
        <v>0.47673129462279618</v>
      </c>
      <c r="R989" t="str">
        <f t="shared" si="45"/>
        <v>yes</v>
      </c>
      <c r="S989" t="str">
        <f t="shared" si="46"/>
        <v>no</v>
      </c>
      <c r="T9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9" s="2" t="b">
        <f t="shared" si="47"/>
        <v>0</v>
      </c>
      <c r="V989" s="2">
        <f>IF(Table4[[#This Row],[linear?]],Table4[[#This Row],[av]],10^(Table4[[#This Row],[av]]/10))</f>
        <v>2162.2113769224356</v>
      </c>
      <c r="W989" s="2">
        <f>IF(Table4[[#This Row],[linear?]],Table4[[#This Row],[av]],10^(Table4[[#This Row],[av]]/10))</f>
        <v>2162.2113769224356</v>
      </c>
      <c r="X989" s="2">
        <f>Table4[[#This Row],[av_lin]]-2*Table4[[#This Row],[std_lin]]</f>
        <v>-2162.2113769224356</v>
      </c>
      <c r="Y989" s="2">
        <f>Table4[[#This Row],[av_lin]]+2*Table4[[#This Row],[std_lin]]</f>
        <v>6486.6341307673065</v>
      </c>
    </row>
    <row r="990" spans="1:25" x14ac:dyDescent="0.35">
      <c r="A990" s="1">
        <v>1589</v>
      </c>
      <c r="B990" t="s">
        <v>829</v>
      </c>
      <c r="C990" t="s">
        <v>253</v>
      </c>
      <c r="D990" t="s">
        <v>479</v>
      </c>
      <c r="E990" s="2">
        <v>0</v>
      </c>
      <c r="F990" s="2">
        <v>0</v>
      </c>
      <c r="G990">
        <v>27</v>
      </c>
      <c r="H990" t="s">
        <v>58</v>
      </c>
      <c r="M990" s="2">
        <v>0</v>
      </c>
      <c r="N990" s="2">
        <v>0</v>
      </c>
      <c r="O990" s="2">
        <v>0</v>
      </c>
      <c r="R990" t="str">
        <f t="shared" si="45"/>
        <v>yes</v>
      </c>
      <c r="S990" t="str">
        <f t="shared" si="46"/>
        <v>no</v>
      </c>
      <c r="T9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0" s="2" t="b">
        <f t="shared" si="47"/>
        <v>0</v>
      </c>
      <c r="V990" s="2">
        <f>IF(Table4[[#This Row],[linear?]],Table4[[#This Row],[av]],10^(Table4[[#This Row],[av]]/10))</f>
        <v>1</v>
      </c>
      <c r="W990" s="2">
        <f>IF(Table4[[#This Row],[linear?]],Table4[[#This Row],[av]],10^(Table4[[#This Row],[av]]/10))</f>
        <v>1</v>
      </c>
      <c r="X990" s="2">
        <f>Table4[[#This Row],[av_lin]]-2*Table4[[#This Row],[std_lin]]</f>
        <v>-1</v>
      </c>
      <c r="Y990" s="2">
        <f>Table4[[#This Row],[av_lin]]+2*Table4[[#This Row],[std_lin]]</f>
        <v>3</v>
      </c>
    </row>
    <row r="991" spans="1:25" x14ac:dyDescent="0.35">
      <c r="A991" s="1">
        <v>1590</v>
      </c>
      <c r="B991" t="s">
        <v>829</v>
      </c>
      <c r="C991" t="s">
        <v>253</v>
      </c>
      <c r="D991" t="s">
        <v>480</v>
      </c>
      <c r="E991" s="2">
        <v>0</v>
      </c>
      <c r="F991" s="2">
        <v>0</v>
      </c>
      <c r="G991">
        <v>27</v>
      </c>
      <c r="H991" t="s">
        <v>58</v>
      </c>
      <c r="M991" s="2">
        <v>0</v>
      </c>
      <c r="N991" s="2">
        <v>0</v>
      </c>
      <c r="O991" s="2">
        <v>0</v>
      </c>
      <c r="R991" t="str">
        <f t="shared" si="45"/>
        <v>yes</v>
      </c>
      <c r="S991" t="str">
        <f t="shared" si="46"/>
        <v>no</v>
      </c>
      <c r="T9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1" s="2" t="b">
        <f t="shared" si="47"/>
        <v>0</v>
      </c>
      <c r="V991" s="2">
        <f>IF(Table4[[#This Row],[linear?]],Table4[[#This Row],[av]],10^(Table4[[#This Row],[av]]/10))</f>
        <v>1</v>
      </c>
      <c r="W991" s="2">
        <f>IF(Table4[[#This Row],[linear?]],Table4[[#This Row],[av]],10^(Table4[[#This Row],[av]]/10))</f>
        <v>1</v>
      </c>
      <c r="X991" s="2">
        <f>Table4[[#This Row],[av_lin]]-2*Table4[[#This Row],[std_lin]]</f>
        <v>-1</v>
      </c>
      <c r="Y991" s="2">
        <f>Table4[[#This Row],[av_lin]]+2*Table4[[#This Row],[std_lin]]</f>
        <v>3</v>
      </c>
    </row>
    <row r="992" spans="1:25" x14ac:dyDescent="0.35">
      <c r="A992" s="1">
        <v>1591</v>
      </c>
      <c r="B992" t="s">
        <v>829</v>
      </c>
      <c r="C992" t="s">
        <v>253</v>
      </c>
      <c r="D992" t="s">
        <v>481</v>
      </c>
      <c r="E992" s="2">
        <v>7.5915851851851848</v>
      </c>
      <c r="F992" s="2">
        <v>15.95017640809688</v>
      </c>
      <c r="G992">
        <v>27</v>
      </c>
      <c r="H992" t="s">
        <v>58</v>
      </c>
      <c r="M992" s="2">
        <v>39.491938001378941</v>
      </c>
      <c r="N992" s="2">
        <v>-24.308767631008571</v>
      </c>
      <c r="O992" s="2">
        <v>63.800705632387519</v>
      </c>
      <c r="P992" s="2">
        <v>0.4759561895084386</v>
      </c>
      <c r="R992" t="str">
        <f t="shared" si="45"/>
        <v>yes</v>
      </c>
      <c r="S992" t="str">
        <f t="shared" si="46"/>
        <v>no</v>
      </c>
      <c r="T9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2" s="2" t="b">
        <f t="shared" si="47"/>
        <v>1</v>
      </c>
      <c r="V992" s="2">
        <f>IF(Table4[[#This Row],[linear?]],Table4[[#This Row],[av]],10^(Table4[[#This Row],[av]]/10))</f>
        <v>7.5915851851851848</v>
      </c>
      <c r="W992" s="2">
        <f>IF(Table4[[#This Row],[linear?]],Table4[[#This Row],[av]],10^(Table4[[#This Row],[av]]/10))</f>
        <v>7.5915851851851848</v>
      </c>
      <c r="X992" s="2">
        <f>Table4[[#This Row],[av_lin]]-2*Table4[[#This Row],[std_lin]]</f>
        <v>-7.5915851851851848</v>
      </c>
      <c r="Y992" s="2">
        <f>Table4[[#This Row],[av_lin]]+2*Table4[[#This Row],[std_lin]]</f>
        <v>22.774755555555554</v>
      </c>
    </row>
    <row r="993" spans="1:25" x14ac:dyDescent="0.35">
      <c r="A993" s="1">
        <v>1592</v>
      </c>
      <c r="B993" t="s">
        <v>829</v>
      </c>
      <c r="C993" t="s">
        <v>253</v>
      </c>
      <c r="D993" t="s">
        <v>482</v>
      </c>
      <c r="E993" s="2">
        <v>27.46812222222222</v>
      </c>
      <c r="F993" s="2">
        <v>59.999371201756553</v>
      </c>
      <c r="G993">
        <v>27</v>
      </c>
      <c r="H993" t="s">
        <v>58</v>
      </c>
      <c r="M993" s="2">
        <v>147.4668646257353</v>
      </c>
      <c r="N993" s="2">
        <v>-92.530620181290885</v>
      </c>
      <c r="O993" s="2">
        <v>239.99748480702621</v>
      </c>
      <c r="P993" s="2">
        <v>0.45780683483926338</v>
      </c>
      <c r="R993" t="str">
        <f t="shared" si="45"/>
        <v>yes</v>
      </c>
      <c r="S993" t="str">
        <f t="shared" si="46"/>
        <v>no</v>
      </c>
      <c r="T9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3" s="2" t="b">
        <f t="shared" si="47"/>
        <v>0</v>
      </c>
      <c r="V993" s="2">
        <f>IF(Table4[[#This Row],[linear?]],Table4[[#This Row],[av]],10^(Table4[[#This Row],[av]]/10))</f>
        <v>558.22877876545476</v>
      </c>
      <c r="W993" s="2">
        <f>IF(Table4[[#This Row],[linear?]],Table4[[#This Row],[av]],10^(Table4[[#This Row],[av]]/10))</f>
        <v>558.22877876545476</v>
      </c>
      <c r="X993" s="2">
        <f>Table4[[#This Row],[av_lin]]-2*Table4[[#This Row],[std_lin]]</f>
        <v>-558.22877876545476</v>
      </c>
      <c r="Y993" s="2">
        <f>Table4[[#This Row],[av_lin]]+2*Table4[[#This Row],[std_lin]]</f>
        <v>1674.6863362963643</v>
      </c>
    </row>
    <row r="994" spans="1:25" x14ac:dyDescent="0.35">
      <c r="A994" s="1">
        <v>1593</v>
      </c>
      <c r="B994" t="s">
        <v>829</v>
      </c>
      <c r="C994" t="s">
        <v>253</v>
      </c>
      <c r="D994" t="s">
        <v>483</v>
      </c>
      <c r="E994" s="2">
        <v>0</v>
      </c>
      <c r="F994" s="2">
        <v>0</v>
      </c>
      <c r="G994">
        <v>27</v>
      </c>
      <c r="H994" t="s">
        <v>58</v>
      </c>
      <c r="M994" s="2">
        <v>0</v>
      </c>
      <c r="N994" s="2">
        <v>0</v>
      </c>
      <c r="O994" s="2">
        <v>0</v>
      </c>
      <c r="R994" t="str">
        <f t="shared" si="45"/>
        <v>yes</v>
      </c>
      <c r="S994" t="str">
        <f t="shared" si="46"/>
        <v>no</v>
      </c>
      <c r="T9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4" s="2" t="b">
        <f t="shared" si="47"/>
        <v>0</v>
      </c>
      <c r="V994" s="2">
        <f>IF(Table4[[#This Row],[linear?]],Table4[[#This Row],[av]],10^(Table4[[#This Row],[av]]/10))</f>
        <v>1</v>
      </c>
      <c r="W994" s="2">
        <f>IF(Table4[[#This Row],[linear?]],Table4[[#This Row],[av]],10^(Table4[[#This Row],[av]]/10))</f>
        <v>1</v>
      </c>
      <c r="X994" s="2">
        <f>Table4[[#This Row],[av_lin]]-2*Table4[[#This Row],[std_lin]]</f>
        <v>-1</v>
      </c>
      <c r="Y994" s="2">
        <f>Table4[[#This Row],[av_lin]]+2*Table4[[#This Row],[std_lin]]</f>
        <v>3</v>
      </c>
    </row>
    <row r="995" spans="1:25" x14ac:dyDescent="0.35">
      <c r="A995" s="1">
        <v>1594</v>
      </c>
      <c r="B995" t="s">
        <v>829</v>
      </c>
      <c r="C995" t="s">
        <v>253</v>
      </c>
      <c r="D995" t="s">
        <v>484</v>
      </c>
      <c r="E995" s="2">
        <v>0</v>
      </c>
      <c r="F995" s="2">
        <v>0</v>
      </c>
      <c r="G995">
        <v>27</v>
      </c>
      <c r="H995" t="s">
        <v>58</v>
      </c>
      <c r="M995" s="2">
        <v>0</v>
      </c>
      <c r="N995" s="2">
        <v>0</v>
      </c>
      <c r="O995" s="2">
        <v>0</v>
      </c>
      <c r="R995" t="str">
        <f t="shared" si="45"/>
        <v>yes</v>
      </c>
      <c r="S995" t="str">
        <f t="shared" si="46"/>
        <v>no</v>
      </c>
      <c r="T9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5" s="2" t="b">
        <f t="shared" si="47"/>
        <v>0</v>
      </c>
      <c r="V995" s="2">
        <f>IF(Table4[[#This Row],[linear?]],Table4[[#This Row],[av]],10^(Table4[[#This Row],[av]]/10))</f>
        <v>1</v>
      </c>
      <c r="W995" s="2">
        <f>IF(Table4[[#This Row],[linear?]],Table4[[#This Row],[av]],10^(Table4[[#This Row],[av]]/10))</f>
        <v>1</v>
      </c>
      <c r="X995" s="2">
        <f>Table4[[#This Row],[av_lin]]-2*Table4[[#This Row],[std_lin]]</f>
        <v>-1</v>
      </c>
      <c r="Y995" s="2">
        <f>Table4[[#This Row],[av_lin]]+2*Table4[[#This Row],[std_lin]]</f>
        <v>3</v>
      </c>
    </row>
    <row r="996" spans="1:25" x14ac:dyDescent="0.35">
      <c r="A996" s="1">
        <v>1595</v>
      </c>
      <c r="B996" t="s">
        <v>829</v>
      </c>
      <c r="C996" t="s">
        <v>253</v>
      </c>
      <c r="D996" t="s">
        <v>485</v>
      </c>
      <c r="E996" s="2">
        <v>6.7397222222222224</v>
      </c>
      <c r="F996" s="2">
        <v>14.1589983156461</v>
      </c>
      <c r="G996">
        <v>27</v>
      </c>
      <c r="H996" t="s">
        <v>58</v>
      </c>
      <c r="M996" s="2">
        <v>35.057718853514423</v>
      </c>
      <c r="N996" s="2">
        <v>-21.57827440906998</v>
      </c>
      <c r="O996" s="2">
        <v>56.6359932625844</v>
      </c>
      <c r="P996" s="2">
        <v>0.47600275612538462</v>
      </c>
      <c r="R996" t="str">
        <f t="shared" si="45"/>
        <v>yes</v>
      </c>
      <c r="S996" t="str">
        <f t="shared" si="46"/>
        <v>no</v>
      </c>
      <c r="T9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6" s="2" t="b">
        <f t="shared" si="47"/>
        <v>1</v>
      </c>
      <c r="V996" s="2">
        <f>IF(Table4[[#This Row],[linear?]],Table4[[#This Row],[av]],10^(Table4[[#This Row],[av]]/10))</f>
        <v>6.7397222222222224</v>
      </c>
      <c r="W996" s="2">
        <f>IF(Table4[[#This Row],[linear?]],Table4[[#This Row],[av]],10^(Table4[[#This Row],[av]]/10))</f>
        <v>6.7397222222222224</v>
      </c>
      <c r="X996" s="2">
        <f>Table4[[#This Row],[av_lin]]-2*Table4[[#This Row],[std_lin]]</f>
        <v>-6.7397222222222224</v>
      </c>
      <c r="Y996" s="2">
        <f>Table4[[#This Row],[av_lin]]+2*Table4[[#This Row],[std_lin]]</f>
        <v>20.219166666666666</v>
      </c>
    </row>
    <row r="997" spans="1:25" x14ac:dyDescent="0.35">
      <c r="A997" s="1">
        <v>1596</v>
      </c>
      <c r="B997" t="s">
        <v>829</v>
      </c>
      <c r="C997" t="s">
        <v>253</v>
      </c>
      <c r="D997" t="s">
        <v>486</v>
      </c>
      <c r="E997" s="2">
        <v>33.348981481481481</v>
      </c>
      <c r="F997" s="2">
        <v>69.953413710480604</v>
      </c>
      <c r="G997">
        <v>27</v>
      </c>
      <c r="H997" t="s">
        <v>58</v>
      </c>
      <c r="M997" s="2">
        <v>173.25580890244271</v>
      </c>
      <c r="N997" s="2">
        <v>-106.55784593947971</v>
      </c>
      <c r="O997" s="2">
        <v>279.81365484192241</v>
      </c>
      <c r="P997" s="2">
        <v>0.47673129462279618</v>
      </c>
      <c r="R997" t="str">
        <f t="shared" si="45"/>
        <v>yes</v>
      </c>
      <c r="S997" t="str">
        <f t="shared" si="46"/>
        <v>no</v>
      </c>
      <c r="T9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7" s="2" t="b">
        <f t="shared" si="47"/>
        <v>0</v>
      </c>
      <c r="V997" s="2">
        <f>IF(Table4[[#This Row],[linear?]],Table4[[#This Row],[av]],10^(Table4[[#This Row],[av]]/10))</f>
        <v>2162.2113769224356</v>
      </c>
      <c r="W997" s="2">
        <f>IF(Table4[[#This Row],[linear?]],Table4[[#This Row],[av]],10^(Table4[[#This Row],[av]]/10))</f>
        <v>2162.2113769224356</v>
      </c>
      <c r="X997" s="2">
        <f>Table4[[#This Row],[av_lin]]-2*Table4[[#This Row],[std_lin]]</f>
        <v>-2162.2113769224356</v>
      </c>
      <c r="Y997" s="2">
        <f>Table4[[#This Row],[av_lin]]+2*Table4[[#This Row],[std_lin]]</f>
        <v>6486.6341307673065</v>
      </c>
    </row>
    <row r="998" spans="1:25" x14ac:dyDescent="0.35">
      <c r="A998" s="1">
        <v>1597</v>
      </c>
      <c r="B998" t="s">
        <v>829</v>
      </c>
      <c r="C998" t="s">
        <v>253</v>
      </c>
      <c r="D998" t="s">
        <v>487</v>
      </c>
      <c r="E998" s="2">
        <v>0</v>
      </c>
      <c r="F998" s="2">
        <v>0</v>
      </c>
      <c r="G998">
        <v>27</v>
      </c>
      <c r="H998" t="s">
        <v>58</v>
      </c>
      <c r="M998" s="2">
        <v>0</v>
      </c>
      <c r="N998" s="2">
        <v>0</v>
      </c>
      <c r="O998" s="2">
        <v>0</v>
      </c>
      <c r="R998" t="str">
        <f t="shared" si="45"/>
        <v>yes</v>
      </c>
      <c r="S998" t="str">
        <f t="shared" si="46"/>
        <v>no</v>
      </c>
      <c r="T9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8" s="2" t="b">
        <f t="shared" si="47"/>
        <v>0</v>
      </c>
      <c r="V998" s="2">
        <f>IF(Table4[[#This Row],[linear?]],Table4[[#This Row],[av]],10^(Table4[[#This Row],[av]]/10))</f>
        <v>1</v>
      </c>
      <c r="W998" s="2">
        <f>IF(Table4[[#This Row],[linear?]],Table4[[#This Row],[av]],10^(Table4[[#This Row],[av]]/10))</f>
        <v>1</v>
      </c>
      <c r="X998" s="2">
        <f>Table4[[#This Row],[av_lin]]-2*Table4[[#This Row],[std_lin]]</f>
        <v>-1</v>
      </c>
      <c r="Y998" s="2">
        <f>Table4[[#This Row],[av_lin]]+2*Table4[[#This Row],[std_lin]]</f>
        <v>3</v>
      </c>
    </row>
    <row r="999" spans="1:25" x14ac:dyDescent="0.35">
      <c r="A999" s="1">
        <v>1598</v>
      </c>
      <c r="B999" t="s">
        <v>829</v>
      </c>
      <c r="C999" t="s">
        <v>253</v>
      </c>
      <c r="D999" t="s">
        <v>488</v>
      </c>
      <c r="E999" s="2">
        <v>0</v>
      </c>
      <c r="F999" s="2">
        <v>0</v>
      </c>
      <c r="G999">
        <v>27</v>
      </c>
      <c r="H999" t="s">
        <v>58</v>
      </c>
      <c r="M999" s="2">
        <v>0</v>
      </c>
      <c r="N999" s="2">
        <v>0</v>
      </c>
      <c r="O999" s="2">
        <v>0</v>
      </c>
      <c r="R999" t="str">
        <f t="shared" si="45"/>
        <v>yes</v>
      </c>
      <c r="S999" t="str">
        <f t="shared" si="46"/>
        <v>no</v>
      </c>
      <c r="T9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9" s="2" t="b">
        <f t="shared" si="47"/>
        <v>0</v>
      </c>
      <c r="V999" s="2">
        <f>IF(Table4[[#This Row],[linear?]],Table4[[#This Row],[av]],10^(Table4[[#This Row],[av]]/10))</f>
        <v>1</v>
      </c>
      <c r="W999" s="2">
        <f>IF(Table4[[#This Row],[linear?]],Table4[[#This Row],[av]],10^(Table4[[#This Row],[av]]/10))</f>
        <v>1</v>
      </c>
      <c r="X999" s="2">
        <f>Table4[[#This Row],[av_lin]]-2*Table4[[#This Row],[std_lin]]</f>
        <v>-1</v>
      </c>
      <c r="Y999" s="2">
        <f>Table4[[#This Row],[av_lin]]+2*Table4[[#This Row],[std_lin]]</f>
        <v>3</v>
      </c>
    </row>
    <row r="1000" spans="1:25" x14ac:dyDescent="0.35">
      <c r="A1000" s="1">
        <v>1599</v>
      </c>
      <c r="B1000" t="s">
        <v>829</v>
      </c>
      <c r="C1000" t="s">
        <v>253</v>
      </c>
      <c r="D1000" t="s">
        <v>489</v>
      </c>
      <c r="E1000" s="2">
        <v>7.3786111111111108</v>
      </c>
      <c r="F1000" s="2">
        <v>15.485414941003731</v>
      </c>
      <c r="G1000">
        <v>27</v>
      </c>
      <c r="H1000" t="s">
        <v>58</v>
      </c>
      <c r="M1000" s="2">
        <v>38.34944099311857</v>
      </c>
      <c r="N1000" s="2">
        <v>-23.592218770896348</v>
      </c>
      <c r="O1000" s="2">
        <v>61.941659764014922</v>
      </c>
      <c r="P1000" s="2">
        <v>0.476487787974821</v>
      </c>
      <c r="R1000" t="str">
        <f t="shared" si="45"/>
        <v>yes</v>
      </c>
      <c r="S1000" t="str">
        <f t="shared" si="46"/>
        <v>no</v>
      </c>
      <c r="T10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0" s="2" t="b">
        <f t="shared" si="47"/>
        <v>1</v>
      </c>
      <c r="V1000" s="2">
        <f>IF(Table4[[#This Row],[linear?]],Table4[[#This Row],[av]],10^(Table4[[#This Row],[av]]/10))</f>
        <v>7.3786111111111108</v>
      </c>
      <c r="W1000" s="2">
        <f>IF(Table4[[#This Row],[linear?]],Table4[[#This Row],[av]],10^(Table4[[#This Row],[av]]/10))</f>
        <v>7.3786111111111108</v>
      </c>
      <c r="X1000" s="2">
        <f>Table4[[#This Row],[av_lin]]-2*Table4[[#This Row],[std_lin]]</f>
        <v>-7.3786111111111108</v>
      </c>
      <c r="Y1000" s="2">
        <f>Table4[[#This Row],[av_lin]]+2*Table4[[#This Row],[std_lin]]</f>
        <v>22.135833333333331</v>
      </c>
    </row>
    <row r="1001" spans="1:25" x14ac:dyDescent="0.35">
      <c r="A1001" s="1">
        <v>1600</v>
      </c>
      <c r="B1001" t="s">
        <v>829</v>
      </c>
      <c r="C1001" t="s">
        <v>253</v>
      </c>
      <c r="D1001" t="s">
        <v>490</v>
      </c>
      <c r="E1001" s="2">
        <v>26.04213703703704</v>
      </c>
      <c r="F1001" s="2">
        <v>58.450898794300763</v>
      </c>
      <c r="G1001">
        <v>27</v>
      </c>
      <c r="H1001" t="s">
        <v>58</v>
      </c>
      <c r="M1001" s="2">
        <v>142.9439346256386</v>
      </c>
      <c r="N1001" s="2">
        <v>-90.859660551564488</v>
      </c>
      <c r="O1001" s="2">
        <v>233.80359517720311</v>
      </c>
      <c r="P1001" s="2">
        <v>0.44553869271855012</v>
      </c>
      <c r="R1001" t="str">
        <f t="shared" si="45"/>
        <v>yes</v>
      </c>
      <c r="S1001" t="str">
        <f t="shared" si="46"/>
        <v>no</v>
      </c>
      <c r="T10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1" s="2" t="b">
        <f t="shared" si="47"/>
        <v>0</v>
      </c>
      <c r="V1001" s="2">
        <f>IF(Table4[[#This Row],[linear?]],Table4[[#This Row],[av]],10^(Table4[[#This Row],[av]]/10))</f>
        <v>401.98856909149868</v>
      </c>
      <c r="W1001" s="2">
        <f>IF(Table4[[#This Row],[linear?]],Table4[[#This Row],[av]],10^(Table4[[#This Row],[av]]/10))</f>
        <v>401.98856909149868</v>
      </c>
      <c r="X1001" s="2">
        <f>Table4[[#This Row],[av_lin]]-2*Table4[[#This Row],[std_lin]]</f>
        <v>-401.98856909149868</v>
      </c>
      <c r="Y1001" s="2">
        <f>Table4[[#This Row],[av_lin]]+2*Table4[[#This Row],[std_lin]]</f>
        <v>1205.965707274496</v>
      </c>
    </row>
    <row r="1002" spans="1:25" x14ac:dyDescent="0.35">
      <c r="A1002" s="1">
        <v>1601</v>
      </c>
      <c r="B1002" t="s">
        <v>829</v>
      </c>
      <c r="C1002" t="s">
        <v>253</v>
      </c>
      <c r="D1002" t="s">
        <v>491</v>
      </c>
      <c r="E1002" s="2">
        <v>0</v>
      </c>
      <c r="F1002" s="2">
        <v>0</v>
      </c>
      <c r="G1002">
        <v>27</v>
      </c>
      <c r="H1002" t="s">
        <v>58</v>
      </c>
      <c r="M1002" s="2">
        <v>0</v>
      </c>
      <c r="N1002" s="2">
        <v>0</v>
      </c>
      <c r="O1002" s="2">
        <v>0</v>
      </c>
      <c r="R1002" t="str">
        <f t="shared" si="45"/>
        <v>yes</v>
      </c>
      <c r="S1002" t="str">
        <f t="shared" si="46"/>
        <v>no</v>
      </c>
      <c r="T10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2" s="2" t="b">
        <f t="shared" si="47"/>
        <v>0</v>
      </c>
      <c r="V1002" s="2">
        <f>IF(Table4[[#This Row],[linear?]],Table4[[#This Row],[av]],10^(Table4[[#This Row],[av]]/10))</f>
        <v>1</v>
      </c>
      <c r="W1002" s="2">
        <f>IF(Table4[[#This Row],[linear?]],Table4[[#This Row],[av]],10^(Table4[[#This Row],[av]]/10))</f>
        <v>1</v>
      </c>
      <c r="X1002" s="2">
        <f>Table4[[#This Row],[av_lin]]-2*Table4[[#This Row],[std_lin]]</f>
        <v>-1</v>
      </c>
      <c r="Y1002" s="2">
        <f>Table4[[#This Row],[av_lin]]+2*Table4[[#This Row],[std_lin]]</f>
        <v>3</v>
      </c>
    </row>
    <row r="1003" spans="1:25" x14ac:dyDescent="0.35">
      <c r="A1003" s="1">
        <v>1602</v>
      </c>
      <c r="B1003" t="s">
        <v>829</v>
      </c>
      <c r="C1003" t="s">
        <v>253</v>
      </c>
      <c r="D1003" t="s">
        <v>492</v>
      </c>
      <c r="E1003" s="2">
        <v>0</v>
      </c>
      <c r="F1003" s="2">
        <v>0</v>
      </c>
      <c r="G1003">
        <v>27</v>
      </c>
      <c r="H1003" t="s">
        <v>58</v>
      </c>
      <c r="M1003" s="2">
        <v>0</v>
      </c>
      <c r="N1003" s="2">
        <v>0</v>
      </c>
      <c r="O1003" s="2">
        <v>0</v>
      </c>
      <c r="R1003" t="str">
        <f t="shared" si="45"/>
        <v>yes</v>
      </c>
      <c r="S1003" t="str">
        <f t="shared" si="46"/>
        <v>no</v>
      </c>
      <c r="T10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3" s="2" t="b">
        <f t="shared" si="47"/>
        <v>0</v>
      </c>
      <c r="V1003" s="2">
        <f>IF(Table4[[#This Row],[linear?]],Table4[[#This Row],[av]],10^(Table4[[#This Row],[av]]/10))</f>
        <v>1</v>
      </c>
      <c r="W1003" s="2">
        <f>IF(Table4[[#This Row],[linear?]],Table4[[#This Row],[av]],10^(Table4[[#This Row],[av]]/10))</f>
        <v>1</v>
      </c>
      <c r="X1003" s="2">
        <f>Table4[[#This Row],[av_lin]]-2*Table4[[#This Row],[std_lin]]</f>
        <v>-1</v>
      </c>
      <c r="Y1003" s="2">
        <f>Table4[[#This Row],[av_lin]]+2*Table4[[#This Row],[std_lin]]</f>
        <v>3</v>
      </c>
    </row>
    <row r="1004" spans="1:25" x14ac:dyDescent="0.35">
      <c r="A1004" s="1">
        <v>1603</v>
      </c>
      <c r="B1004" t="s">
        <v>829</v>
      </c>
      <c r="C1004" t="s">
        <v>253</v>
      </c>
      <c r="D1004" t="s">
        <v>493</v>
      </c>
      <c r="E1004" s="2">
        <v>6.5090111111111124</v>
      </c>
      <c r="F1004" s="2">
        <v>13.66561879815705</v>
      </c>
      <c r="G1004">
        <v>27</v>
      </c>
      <c r="H1004" t="s">
        <v>58</v>
      </c>
      <c r="M1004" s="2">
        <v>33.840248707425211</v>
      </c>
      <c r="N1004" s="2">
        <v>-20.822226485202989</v>
      </c>
      <c r="O1004" s="2">
        <v>54.6624751926282</v>
      </c>
      <c r="P1004" s="2">
        <v>0.47630562561784029</v>
      </c>
      <c r="R1004" t="str">
        <f t="shared" si="45"/>
        <v>yes</v>
      </c>
      <c r="S1004" t="str">
        <f t="shared" si="46"/>
        <v>no</v>
      </c>
      <c r="T10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4" s="2" t="b">
        <f t="shared" si="47"/>
        <v>1</v>
      </c>
      <c r="V1004" s="2">
        <f>IF(Table4[[#This Row],[linear?]],Table4[[#This Row],[av]],10^(Table4[[#This Row],[av]]/10))</f>
        <v>6.5090111111111124</v>
      </c>
      <c r="W1004" s="2">
        <f>IF(Table4[[#This Row],[linear?]],Table4[[#This Row],[av]],10^(Table4[[#This Row],[av]]/10))</f>
        <v>6.5090111111111124</v>
      </c>
      <c r="X1004" s="2">
        <f>Table4[[#This Row],[av_lin]]-2*Table4[[#This Row],[std_lin]]</f>
        <v>-6.5090111111111124</v>
      </c>
      <c r="Y1004" s="2">
        <f>Table4[[#This Row],[av_lin]]+2*Table4[[#This Row],[std_lin]]</f>
        <v>19.527033333333335</v>
      </c>
    </row>
    <row r="1005" spans="1:25" x14ac:dyDescent="0.35">
      <c r="A1005" s="1">
        <v>1604</v>
      </c>
      <c r="B1005" t="s">
        <v>829</v>
      </c>
      <c r="C1005" t="s">
        <v>253</v>
      </c>
      <c r="D1005" t="s">
        <v>494</v>
      </c>
      <c r="E1005" s="2">
        <v>0</v>
      </c>
      <c r="F1005" s="2">
        <v>0</v>
      </c>
      <c r="G1005">
        <v>27</v>
      </c>
      <c r="H1005" t="s">
        <v>58</v>
      </c>
      <c r="M1005" s="2">
        <v>0</v>
      </c>
      <c r="N1005" s="2">
        <v>0</v>
      </c>
      <c r="O1005" s="2">
        <v>0</v>
      </c>
      <c r="R1005" t="str">
        <f t="shared" si="45"/>
        <v>yes</v>
      </c>
      <c r="S1005" t="str">
        <f t="shared" si="46"/>
        <v>no</v>
      </c>
      <c r="T10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5" s="2" t="b">
        <f t="shared" si="47"/>
        <v>0</v>
      </c>
      <c r="V1005" s="2">
        <f>IF(Table4[[#This Row],[linear?]],Table4[[#This Row],[av]],10^(Table4[[#This Row],[av]]/10))</f>
        <v>1</v>
      </c>
      <c r="W1005" s="2">
        <f>IF(Table4[[#This Row],[linear?]],Table4[[#This Row],[av]],10^(Table4[[#This Row],[av]]/10))</f>
        <v>1</v>
      </c>
      <c r="X1005" s="2">
        <f>Table4[[#This Row],[av_lin]]-2*Table4[[#This Row],[std_lin]]</f>
        <v>-1</v>
      </c>
      <c r="Y1005" s="2">
        <f>Table4[[#This Row],[av_lin]]+2*Table4[[#This Row],[std_lin]]</f>
        <v>3</v>
      </c>
    </row>
    <row r="1006" spans="1:25" x14ac:dyDescent="0.35">
      <c r="A1006" s="1">
        <v>1605</v>
      </c>
      <c r="B1006" t="s">
        <v>829</v>
      </c>
      <c r="C1006" t="s">
        <v>253</v>
      </c>
      <c r="D1006" t="s">
        <v>495</v>
      </c>
      <c r="E1006" s="2">
        <v>2.9957555555555562</v>
      </c>
      <c r="F1006" s="2">
        <v>5.6045454517067581</v>
      </c>
      <c r="G1006">
        <v>27</v>
      </c>
      <c r="H1006" t="s">
        <v>58</v>
      </c>
      <c r="M1006" s="2">
        <v>14.204846458969071</v>
      </c>
      <c r="N1006" s="2">
        <v>-8.21333534785796</v>
      </c>
      <c r="O1006" s="2">
        <v>22.418181806827029</v>
      </c>
      <c r="P1006" s="2">
        <v>0.5345224838248489</v>
      </c>
      <c r="R1006" t="str">
        <f t="shared" si="45"/>
        <v>yes</v>
      </c>
      <c r="S1006" t="str">
        <f t="shared" si="46"/>
        <v>no</v>
      </c>
      <c r="T10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6" s="2" t="b">
        <f t="shared" si="47"/>
        <v>0</v>
      </c>
      <c r="V1006" s="2">
        <f>IF(Table4[[#This Row],[linear?]],Table4[[#This Row],[av]],10^(Table4[[#This Row],[av]]/10))</f>
        <v>1.9933132588797982</v>
      </c>
      <c r="W1006" s="2">
        <f>IF(Table4[[#This Row],[linear?]],Table4[[#This Row],[av]],10^(Table4[[#This Row],[av]]/10))</f>
        <v>1.9933132588797982</v>
      </c>
      <c r="X1006" s="2">
        <f>Table4[[#This Row],[av_lin]]-2*Table4[[#This Row],[std_lin]]</f>
        <v>-1.9933132588797982</v>
      </c>
      <c r="Y1006" s="2">
        <f>Table4[[#This Row],[av_lin]]+2*Table4[[#This Row],[std_lin]]</f>
        <v>5.9799397766393945</v>
      </c>
    </row>
    <row r="1007" spans="1:25" x14ac:dyDescent="0.35">
      <c r="A1007" s="1">
        <v>1606</v>
      </c>
      <c r="B1007" t="s">
        <v>829</v>
      </c>
      <c r="C1007" t="s">
        <v>253</v>
      </c>
      <c r="D1007" t="s">
        <v>496</v>
      </c>
      <c r="E1007" s="2">
        <v>0</v>
      </c>
      <c r="F1007" s="2">
        <v>0</v>
      </c>
      <c r="G1007">
        <v>27</v>
      </c>
      <c r="H1007" t="s">
        <v>58</v>
      </c>
      <c r="M1007" s="2">
        <v>0</v>
      </c>
      <c r="N1007" s="2">
        <v>0</v>
      </c>
      <c r="O1007" s="2">
        <v>0</v>
      </c>
      <c r="R1007" t="str">
        <f t="shared" si="45"/>
        <v>yes</v>
      </c>
      <c r="S1007" t="str">
        <f t="shared" si="46"/>
        <v>no</v>
      </c>
      <c r="T10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7" s="2" t="b">
        <f t="shared" si="47"/>
        <v>0</v>
      </c>
      <c r="V1007" s="2">
        <f>IF(Table4[[#This Row],[linear?]],Table4[[#This Row],[av]],10^(Table4[[#This Row],[av]]/10))</f>
        <v>1</v>
      </c>
      <c r="W1007" s="2">
        <f>IF(Table4[[#This Row],[linear?]],Table4[[#This Row],[av]],10^(Table4[[#This Row],[av]]/10))</f>
        <v>1</v>
      </c>
      <c r="X1007" s="2">
        <f>Table4[[#This Row],[av_lin]]-2*Table4[[#This Row],[std_lin]]</f>
        <v>-1</v>
      </c>
      <c r="Y1007" s="2">
        <f>Table4[[#This Row],[av_lin]]+2*Table4[[#This Row],[std_lin]]</f>
        <v>3</v>
      </c>
    </row>
    <row r="1008" spans="1:25" x14ac:dyDescent="0.35">
      <c r="A1008" s="1">
        <v>1607</v>
      </c>
      <c r="B1008" t="s">
        <v>829</v>
      </c>
      <c r="C1008" t="s">
        <v>253</v>
      </c>
      <c r="D1008" t="s">
        <v>497</v>
      </c>
      <c r="E1008" s="2">
        <v>9.8268814814814807</v>
      </c>
      <c r="F1008" s="2">
        <v>18.48390085514934</v>
      </c>
      <c r="G1008">
        <v>27</v>
      </c>
      <c r="H1008" t="s">
        <v>58</v>
      </c>
      <c r="M1008" s="2">
        <v>46.794683191780159</v>
      </c>
      <c r="N1008" s="2">
        <v>-27.140920228817201</v>
      </c>
      <c r="O1008" s="2">
        <v>73.93560342059736</v>
      </c>
      <c r="P1008" s="2">
        <v>0.53164543342288362</v>
      </c>
      <c r="R1008" t="str">
        <f t="shared" si="45"/>
        <v>yes</v>
      </c>
      <c r="S1008" t="str">
        <f t="shared" si="46"/>
        <v>no</v>
      </c>
      <c r="T10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8" s="2" t="b">
        <f t="shared" si="47"/>
        <v>1</v>
      </c>
      <c r="V1008" s="2">
        <f>IF(Table4[[#This Row],[linear?]],Table4[[#This Row],[av]],10^(Table4[[#This Row],[av]]/10))</f>
        <v>9.8268814814814807</v>
      </c>
      <c r="W1008" s="2">
        <f>IF(Table4[[#This Row],[linear?]],Table4[[#This Row],[av]],10^(Table4[[#This Row],[av]]/10))</f>
        <v>9.8268814814814807</v>
      </c>
      <c r="X1008" s="2">
        <f>Table4[[#This Row],[av_lin]]-2*Table4[[#This Row],[std_lin]]</f>
        <v>-9.8268814814814807</v>
      </c>
      <c r="Y1008" s="2">
        <f>Table4[[#This Row],[av_lin]]+2*Table4[[#This Row],[std_lin]]</f>
        <v>29.480644444444444</v>
      </c>
    </row>
    <row r="1009" spans="1:25" x14ac:dyDescent="0.35">
      <c r="A1009" s="1">
        <v>1608</v>
      </c>
      <c r="B1009" t="s">
        <v>829</v>
      </c>
      <c r="C1009" t="s">
        <v>253</v>
      </c>
      <c r="D1009" t="s">
        <v>498</v>
      </c>
      <c r="E1009" s="2">
        <v>0</v>
      </c>
      <c r="F1009" s="2">
        <v>0</v>
      </c>
      <c r="G1009">
        <v>27</v>
      </c>
      <c r="H1009" t="s">
        <v>58</v>
      </c>
      <c r="M1009" s="2">
        <v>0</v>
      </c>
      <c r="N1009" s="2">
        <v>0</v>
      </c>
      <c r="O1009" s="2">
        <v>0</v>
      </c>
      <c r="R1009" t="str">
        <f t="shared" si="45"/>
        <v>yes</v>
      </c>
      <c r="S1009" t="str">
        <f t="shared" si="46"/>
        <v>no</v>
      </c>
      <c r="T10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9" s="2" t="b">
        <f t="shared" si="47"/>
        <v>0</v>
      </c>
      <c r="V1009" s="2">
        <f>IF(Table4[[#This Row],[linear?]],Table4[[#This Row],[av]],10^(Table4[[#This Row],[av]]/10))</f>
        <v>1</v>
      </c>
      <c r="W1009" s="2">
        <f>IF(Table4[[#This Row],[linear?]],Table4[[#This Row],[av]],10^(Table4[[#This Row],[av]]/10))</f>
        <v>1</v>
      </c>
      <c r="X1009" s="2">
        <f>Table4[[#This Row],[av_lin]]-2*Table4[[#This Row],[std_lin]]</f>
        <v>-1</v>
      </c>
      <c r="Y1009" s="2">
        <f>Table4[[#This Row],[av_lin]]+2*Table4[[#This Row],[std_lin]]</f>
        <v>3</v>
      </c>
    </row>
    <row r="1010" spans="1:25" x14ac:dyDescent="0.35">
      <c r="A1010" s="1">
        <v>1609</v>
      </c>
      <c r="B1010" t="s">
        <v>829</v>
      </c>
      <c r="C1010" t="s">
        <v>253</v>
      </c>
      <c r="D1010" t="s">
        <v>499</v>
      </c>
      <c r="E1010" s="2">
        <v>3.994340740740741</v>
      </c>
      <c r="F1010" s="2">
        <v>6.1556924987129253</v>
      </c>
      <c r="G1010">
        <v>27</v>
      </c>
      <c r="H1010" t="s">
        <v>58</v>
      </c>
      <c r="M1010" s="2">
        <v>16.30572573816659</v>
      </c>
      <c r="N1010" s="2">
        <v>-8.3170442566851097</v>
      </c>
      <c r="O1010" s="2">
        <v>24.622769994851701</v>
      </c>
      <c r="P1010" s="2">
        <v>0.64888568452305007</v>
      </c>
      <c r="R1010" t="str">
        <f t="shared" si="45"/>
        <v>yes</v>
      </c>
      <c r="S1010" t="str">
        <f t="shared" si="46"/>
        <v>no</v>
      </c>
      <c r="T10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0" s="2" t="b">
        <f t="shared" si="47"/>
        <v>0</v>
      </c>
      <c r="V1010" s="2">
        <f>IF(Table4[[#This Row],[linear?]],Table4[[#This Row],[av]],10^(Table4[[#This Row],[av]]/10))</f>
        <v>2.508615342615431</v>
      </c>
      <c r="W1010" s="2">
        <f>IF(Table4[[#This Row],[linear?]],Table4[[#This Row],[av]],10^(Table4[[#This Row],[av]]/10))</f>
        <v>2.508615342615431</v>
      </c>
      <c r="X1010" s="2">
        <f>Table4[[#This Row],[av_lin]]-2*Table4[[#This Row],[std_lin]]</f>
        <v>-2.508615342615431</v>
      </c>
      <c r="Y1010" s="2">
        <f>Table4[[#This Row],[av_lin]]+2*Table4[[#This Row],[std_lin]]</f>
        <v>7.5258460278462929</v>
      </c>
    </row>
    <row r="1011" spans="1:25" x14ac:dyDescent="0.35">
      <c r="A1011" s="1">
        <v>1610</v>
      </c>
      <c r="B1011" t="s">
        <v>829</v>
      </c>
      <c r="C1011" t="s">
        <v>253</v>
      </c>
      <c r="D1011" t="s">
        <v>500</v>
      </c>
      <c r="E1011" s="2">
        <v>0</v>
      </c>
      <c r="F1011" s="2">
        <v>0</v>
      </c>
      <c r="G1011">
        <v>27</v>
      </c>
      <c r="H1011" t="s">
        <v>58</v>
      </c>
      <c r="M1011" s="2">
        <v>0</v>
      </c>
      <c r="N1011" s="2">
        <v>0</v>
      </c>
      <c r="O1011" s="2">
        <v>0</v>
      </c>
      <c r="R1011" t="str">
        <f t="shared" si="45"/>
        <v>yes</v>
      </c>
      <c r="S1011" t="str">
        <f t="shared" si="46"/>
        <v>no</v>
      </c>
      <c r="T10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1" s="2" t="b">
        <f t="shared" si="47"/>
        <v>0</v>
      </c>
      <c r="V1011" s="2">
        <f>IF(Table4[[#This Row],[linear?]],Table4[[#This Row],[av]],10^(Table4[[#This Row],[av]]/10))</f>
        <v>1</v>
      </c>
      <c r="W1011" s="2">
        <f>IF(Table4[[#This Row],[linear?]],Table4[[#This Row],[av]],10^(Table4[[#This Row],[av]]/10))</f>
        <v>1</v>
      </c>
      <c r="X1011" s="2">
        <f>Table4[[#This Row],[av_lin]]-2*Table4[[#This Row],[std_lin]]</f>
        <v>-1</v>
      </c>
      <c r="Y1011" s="2">
        <f>Table4[[#This Row],[av_lin]]+2*Table4[[#This Row],[std_lin]]</f>
        <v>3</v>
      </c>
    </row>
    <row r="1012" spans="1:25" x14ac:dyDescent="0.35">
      <c r="A1012" s="1">
        <v>1611</v>
      </c>
      <c r="B1012" t="s">
        <v>829</v>
      </c>
      <c r="C1012" t="s">
        <v>253</v>
      </c>
      <c r="D1012" t="s">
        <v>501</v>
      </c>
      <c r="E1012" s="2">
        <v>12.274311111111111</v>
      </c>
      <c r="F1012" s="2">
        <v>19.193132126561679</v>
      </c>
      <c r="G1012">
        <v>27</v>
      </c>
      <c r="H1012" t="s">
        <v>58</v>
      </c>
      <c r="M1012" s="2">
        <v>50.660575364234468</v>
      </c>
      <c r="N1012" s="2">
        <v>-26.111953142012251</v>
      </c>
      <c r="O1012" s="2">
        <v>76.772528506246715</v>
      </c>
      <c r="P1012" s="2">
        <v>0.63951579294994265</v>
      </c>
      <c r="R1012" t="str">
        <f t="shared" si="45"/>
        <v>yes</v>
      </c>
      <c r="S1012" t="str">
        <f t="shared" si="46"/>
        <v>no</v>
      </c>
      <c r="T10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2" s="2" t="b">
        <f t="shared" si="47"/>
        <v>1</v>
      </c>
      <c r="V1012" s="2">
        <f>IF(Table4[[#This Row],[linear?]],Table4[[#This Row],[av]],10^(Table4[[#This Row],[av]]/10))</f>
        <v>12.274311111111111</v>
      </c>
      <c r="W1012" s="2">
        <f>IF(Table4[[#This Row],[linear?]],Table4[[#This Row],[av]],10^(Table4[[#This Row],[av]]/10))</f>
        <v>12.274311111111111</v>
      </c>
      <c r="X1012" s="2">
        <f>Table4[[#This Row],[av_lin]]-2*Table4[[#This Row],[std_lin]]</f>
        <v>-12.274311111111111</v>
      </c>
      <c r="Y1012" s="2">
        <f>Table4[[#This Row],[av_lin]]+2*Table4[[#This Row],[std_lin]]</f>
        <v>36.822933333333332</v>
      </c>
    </row>
    <row r="1013" spans="1:25" x14ac:dyDescent="0.35">
      <c r="A1013" s="1">
        <v>1612</v>
      </c>
      <c r="B1013" t="s">
        <v>829</v>
      </c>
      <c r="C1013" t="s">
        <v>253</v>
      </c>
      <c r="D1013" t="s">
        <v>502</v>
      </c>
      <c r="E1013" s="2">
        <v>0</v>
      </c>
      <c r="F1013" s="2">
        <v>0</v>
      </c>
      <c r="G1013">
        <v>27</v>
      </c>
      <c r="H1013" t="s">
        <v>58</v>
      </c>
      <c r="M1013" s="2">
        <v>0</v>
      </c>
      <c r="N1013" s="2">
        <v>0</v>
      </c>
      <c r="O1013" s="2">
        <v>0</v>
      </c>
      <c r="R1013" t="str">
        <f t="shared" si="45"/>
        <v>yes</v>
      </c>
      <c r="S1013" t="str">
        <f t="shared" si="46"/>
        <v>no</v>
      </c>
      <c r="T10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3" s="2" t="b">
        <f t="shared" si="47"/>
        <v>0</v>
      </c>
      <c r="V1013" s="2">
        <f>IF(Table4[[#This Row],[linear?]],Table4[[#This Row],[av]],10^(Table4[[#This Row],[av]]/10))</f>
        <v>1</v>
      </c>
      <c r="W1013" s="2">
        <f>IF(Table4[[#This Row],[linear?]],Table4[[#This Row],[av]],10^(Table4[[#This Row],[av]]/10))</f>
        <v>1</v>
      </c>
      <c r="X1013" s="2">
        <f>Table4[[#This Row],[av_lin]]-2*Table4[[#This Row],[std_lin]]</f>
        <v>-1</v>
      </c>
      <c r="Y1013" s="2">
        <f>Table4[[#This Row],[av_lin]]+2*Table4[[#This Row],[std_lin]]</f>
        <v>3</v>
      </c>
    </row>
    <row r="1014" spans="1:25" x14ac:dyDescent="0.35">
      <c r="A1014" s="1">
        <v>1613</v>
      </c>
      <c r="B1014" t="s">
        <v>829</v>
      </c>
      <c r="C1014" t="s">
        <v>253</v>
      </c>
      <c r="D1014" t="s">
        <v>503</v>
      </c>
      <c r="E1014" s="2">
        <v>2.9957555555555562</v>
      </c>
      <c r="F1014" s="2">
        <v>5.6045454517067581</v>
      </c>
      <c r="G1014">
        <v>27</v>
      </c>
      <c r="H1014" t="s">
        <v>58</v>
      </c>
      <c r="M1014" s="2">
        <v>14.204846458969071</v>
      </c>
      <c r="N1014" s="2">
        <v>-8.21333534785796</v>
      </c>
      <c r="O1014" s="2">
        <v>22.418181806827029</v>
      </c>
      <c r="P1014" s="2">
        <v>0.5345224838248489</v>
      </c>
      <c r="R1014" t="str">
        <f t="shared" si="45"/>
        <v>yes</v>
      </c>
      <c r="S1014" t="str">
        <f t="shared" si="46"/>
        <v>no</v>
      </c>
      <c r="T10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4" s="2" t="b">
        <f t="shared" si="47"/>
        <v>0</v>
      </c>
      <c r="V1014" s="2">
        <f>IF(Table4[[#This Row],[linear?]],Table4[[#This Row],[av]],10^(Table4[[#This Row],[av]]/10))</f>
        <v>1.9933132588797982</v>
      </c>
      <c r="W1014" s="2">
        <f>IF(Table4[[#This Row],[linear?]],Table4[[#This Row],[av]],10^(Table4[[#This Row],[av]]/10))</f>
        <v>1.9933132588797982</v>
      </c>
      <c r="X1014" s="2">
        <f>Table4[[#This Row],[av_lin]]-2*Table4[[#This Row],[std_lin]]</f>
        <v>-1.9933132588797982</v>
      </c>
      <c r="Y1014" s="2">
        <f>Table4[[#This Row],[av_lin]]+2*Table4[[#This Row],[std_lin]]</f>
        <v>5.9799397766393945</v>
      </c>
    </row>
    <row r="1015" spans="1:25" x14ac:dyDescent="0.35">
      <c r="A1015" s="1">
        <v>1614</v>
      </c>
      <c r="B1015" t="s">
        <v>829</v>
      </c>
      <c r="C1015" t="s">
        <v>253</v>
      </c>
      <c r="D1015" t="s">
        <v>504</v>
      </c>
      <c r="E1015" s="2">
        <v>0</v>
      </c>
      <c r="F1015" s="2">
        <v>0</v>
      </c>
      <c r="G1015">
        <v>27</v>
      </c>
      <c r="H1015" t="s">
        <v>58</v>
      </c>
      <c r="M1015" s="2">
        <v>0</v>
      </c>
      <c r="N1015" s="2">
        <v>0</v>
      </c>
      <c r="O1015" s="2">
        <v>0</v>
      </c>
      <c r="R1015" t="str">
        <f t="shared" si="45"/>
        <v>yes</v>
      </c>
      <c r="S1015" t="str">
        <f t="shared" si="46"/>
        <v>no</v>
      </c>
      <c r="T10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5" s="2" t="b">
        <f t="shared" si="47"/>
        <v>0</v>
      </c>
      <c r="V1015" s="2">
        <f>IF(Table4[[#This Row],[linear?]],Table4[[#This Row],[av]],10^(Table4[[#This Row],[av]]/10))</f>
        <v>1</v>
      </c>
      <c r="W1015" s="2">
        <f>IF(Table4[[#This Row],[linear?]],Table4[[#This Row],[av]],10^(Table4[[#This Row],[av]]/10))</f>
        <v>1</v>
      </c>
      <c r="X1015" s="2">
        <f>Table4[[#This Row],[av_lin]]-2*Table4[[#This Row],[std_lin]]</f>
        <v>-1</v>
      </c>
      <c r="Y1015" s="2">
        <f>Table4[[#This Row],[av_lin]]+2*Table4[[#This Row],[std_lin]]</f>
        <v>3</v>
      </c>
    </row>
    <row r="1016" spans="1:25" x14ac:dyDescent="0.35">
      <c r="A1016" s="1">
        <v>1615</v>
      </c>
      <c r="B1016" t="s">
        <v>829</v>
      </c>
      <c r="C1016" t="s">
        <v>253</v>
      </c>
      <c r="D1016" t="s">
        <v>505</v>
      </c>
      <c r="E1016" s="2">
        <v>8.8330481481481478</v>
      </c>
      <c r="F1016" s="2">
        <v>16.592909238997471</v>
      </c>
      <c r="G1016">
        <v>27</v>
      </c>
      <c r="H1016" t="s">
        <v>58</v>
      </c>
      <c r="M1016" s="2">
        <v>42.018866626143087</v>
      </c>
      <c r="N1016" s="2">
        <v>-24.352770329846791</v>
      </c>
      <c r="O1016" s="2">
        <v>66.371636955989885</v>
      </c>
      <c r="P1016" s="2">
        <v>0.53233872498912271</v>
      </c>
      <c r="R1016" t="str">
        <f t="shared" si="45"/>
        <v>yes</v>
      </c>
      <c r="S1016" t="str">
        <f t="shared" si="46"/>
        <v>no</v>
      </c>
      <c r="T10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6" s="2" t="b">
        <f t="shared" si="47"/>
        <v>1</v>
      </c>
      <c r="V1016" s="2">
        <f>IF(Table4[[#This Row],[linear?]],Table4[[#This Row],[av]],10^(Table4[[#This Row],[av]]/10))</f>
        <v>8.8330481481481478</v>
      </c>
      <c r="W1016" s="2">
        <f>IF(Table4[[#This Row],[linear?]],Table4[[#This Row],[av]],10^(Table4[[#This Row],[av]]/10))</f>
        <v>8.8330481481481478</v>
      </c>
      <c r="X1016" s="2">
        <f>Table4[[#This Row],[av_lin]]-2*Table4[[#This Row],[std_lin]]</f>
        <v>-8.8330481481481478</v>
      </c>
      <c r="Y1016" s="2">
        <f>Table4[[#This Row],[av_lin]]+2*Table4[[#This Row],[std_lin]]</f>
        <v>26.499144444444443</v>
      </c>
    </row>
    <row r="1017" spans="1:25" x14ac:dyDescent="0.35">
      <c r="A1017" s="1">
        <v>1616</v>
      </c>
      <c r="B1017" t="s">
        <v>829</v>
      </c>
      <c r="C1017" t="s">
        <v>253</v>
      </c>
      <c r="D1017" t="s">
        <v>506</v>
      </c>
      <c r="E1017" s="2">
        <v>0</v>
      </c>
      <c r="F1017" s="2">
        <v>0</v>
      </c>
      <c r="G1017">
        <v>27</v>
      </c>
      <c r="H1017" t="s">
        <v>58</v>
      </c>
      <c r="M1017" s="2">
        <v>0</v>
      </c>
      <c r="N1017" s="2">
        <v>0</v>
      </c>
      <c r="O1017" s="2">
        <v>0</v>
      </c>
      <c r="R1017" t="str">
        <f t="shared" si="45"/>
        <v>yes</v>
      </c>
      <c r="S1017" t="str">
        <f t="shared" si="46"/>
        <v>no</v>
      </c>
      <c r="T10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7" s="2" t="b">
        <f t="shared" si="47"/>
        <v>0</v>
      </c>
      <c r="V1017" s="2">
        <f>IF(Table4[[#This Row],[linear?]],Table4[[#This Row],[av]],10^(Table4[[#This Row],[av]]/10))</f>
        <v>1</v>
      </c>
      <c r="W1017" s="2">
        <f>IF(Table4[[#This Row],[linear?]],Table4[[#This Row],[av]],10^(Table4[[#This Row],[av]]/10))</f>
        <v>1</v>
      </c>
      <c r="X1017" s="2">
        <f>Table4[[#This Row],[av_lin]]-2*Table4[[#This Row],[std_lin]]</f>
        <v>-1</v>
      </c>
      <c r="Y1017" s="2">
        <f>Table4[[#This Row],[av_lin]]+2*Table4[[#This Row],[std_lin]]</f>
        <v>3</v>
      </c>
    </row>
    <row r="1018" spans="1:25" x14ac:dyDescent="0.35">
      <c r="A1018" s="1">
        <v>1617</v>
      </c>
      <c r="B1018" t="s">
        <v>829</v>
      </c>
      <c r="C1018" t="s">
        <v>253</v>
      </c>
      <c r="D1018" t="s">
        <v>507</v>
      </c>
      <c r="E1018" s="2">
        <v>3.994340740740741</v>
      </c>
      <c r="F1018" s="2">
        <v>6.1556924987129253</v>
      </c>
      <c r="G1018">
        <v>27</v>
      </c>
      <c r="H1018" t="s">
        <v>58</v>
      </c>
      <c r="M1018" s="2">
        <v>16.30572573816659</v>
      </c>
      <c r="N1018" s="2">
        <v>-8.3170442566851097</v>
      </c>
      <c r="O1018" s="2">
        <v>24.622769994851701</v>
      </c>
      <c r="P1018" s="2">
        <v>0.64888568452305007</v>
      </c>
      <c r="R1018" t="str">
        <f t="shared" si="45"/>
        <v>yes</v>
      </c>
      <c r="S1018" t="str">
        <f t="shared" si="46"/>
        <v>no</v>
      </c>
      <c r="T10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8" s="2" t="b">
        <f t="shared" si="47"/>
        <v>0</v>
      </c>
      <c r="V1018" s="2">
        <f>IF(Table4[[#This Row],[linear?]],Table4[[#This Row],[av]],10^(Table4[[#This Row],[av]]/10))</f>
        <v>2.508615342615431</v>
      </c>
      <c r="W1018" s="2">
        <f>IF(Table4[[#This Row],[linear?]],Table4[[#This Row],[av]],10^(Table4[[#This Row],[av]]/10))</f>
        <v>2.508615342615431</v>
      </c>
      <c r="X1018" s="2">
        <f>Table4[[#This Row],[av_lin]]-2*Table4[[#This Row],[std_lin]]</f>
        <v>-2.508615342615431</v>
      </c>
      <c r="Y1018" s="2">
        <f>Table4[[#This Row],[av_lin]]+2*Table4[[#This Row],[std_lin]]</f>
        <v>7.5258460278462929</v>
      </c>
    </row>
    <row r="1019" spans="1:25" x14ac:dyDescent="0.35">
      <c r="A1019" s="1">
        <v>1618</v>
      </c>
      <c r="B1019" t="s">
        <v>829</v>
      </c>
      <c r="C1019" t="s">
        <v>253</v>
      </c>
      <c r="D1019" t="s">
        <v>508</v>
      </c>
      <c r="E1019" s="2">
        <v>0</v>
      </c>
      <c r="F1019" s="2">
        <v>0</v>
      </c>
      <c r="G1019">
        <v>27</v>
      </c>
      <c r="H1019" t="s">
        <v>58</v>
      </c>
      <c r="M1019" s="2">
        <v>0</v>
      </c>
      <c r="N1019" s="2">
        <v>0</v>
      </c>
      <c r="O1019" s="2">
        <v>0</v>
      </c>
      <c r="R1019" t="str">
        <f t="shared" si="45"/>
        <v>yes</v>
      </c>
      <c r="S1019" t="str">
        <f t="shared" si="46"/>
        <v>no</v>
      </c>
      <c r="T10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9" s="2" t="b">
        <f t="shared" si="47"/>
        <v>0</v>
      </c>
      <c r="V1019" s="2">
        <f>IF(Table4[[#This Row],[linear?]],Table4[[#This Row],[av]],10^(Table4[[#This Row],[av]]/10))</f>
        <v>1</v>
      </c>
      <c r="W1019" s="2">
        <f>IF(Table4[[#This Row],[linear?]],Table4[[#This Row],[av]],10^(Table4[[#This Row],[av]]/10))</f>
        <v>1</v>
      </c>
      <c r="X1019" s="2">
        <f>Table4[[#This Row],[av_lin]]-2*Table4[[#This Row],[std_lin]]</f>
        <v>-1</v>
      </c>
      <c r="Y1019" s="2">
        <f>Table4[[#This Row],[av_lin]]+2*Table4[[#This Row],[std_lin]]</f>
        <v>3</v>
      </c>
    </row>
    <row r="1020" spans="1:25" x14ac:dyDescent="0.35">
      <c r="A1020" s="1">
        <v>1619</v>
      </c>
      <c r="B1020" t="s">
        <v>829</v>
      </c>
      <c r="C1020" t="s">
        <v>253</v>
      </c>
      <c r="D1020" t="s">
        <v>509</v>
      </c>
      <c r="E1020" s="2">
        <v>10.517344444444451</v>
      </c>
      <c r="F1020" s="2">
        <v>16.325647163267561</v>
      </c>
      <c r="G1020">
        <v>27</v>
      </c>
      <c r="H1020" t="s">
        <v>58</v>
      </c>
      <c r="M1020" s="2">
        <v>43.16863877097957</v>
      </c>
      <c r="N1020" s="2">
        <v>-22.133949882090668</v>
      </c>
      <c r="O1020" s="2">
        <v>65.302588653070245</v>
      </c>
      <c r="P1020" s="2">
        <v>0.64422220689102627</v>
      </c>
      <c r="R1020" t="str">
        <f t="shared" si="45"/>
        <v>yes</v>
      </c>
      <c r="S1020" t="str">
        <f t="shared" si="46"/>
        <v>no</v>
      </c>
      <c r="T10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0" s="2" t="b">
        <f t="shared" si="47"/>
        <v>1</v>
      </c>
      <c r="V1020" s="2">
        <f>IF(Table4[[#This Row],[linear?]],Table4[[#This Row],[av]],10^(Table4[[#This Row],[av]]/10))</f>
        <v>10.517344444444451</v>
      </c>
      <c r="W1020" s="2">
        <f>IF(Table4[[#This Row],[linear?]],Table4[[#This Row],[av]],10^(Table4[[#This Row],[av]]/10))</f>
        <v>10.517344444444451</v>
      </c>
      <c r="X1020" s="2">
        <f>Table4[[#This Row],[av_lin]]-2*Table4[[#This Row],[std_lin]]</f>
        <v>-10.517344444444451</v>
      </c>
      <c r="Y1020" s="2">
        <f>Table4[[#This Row],[av_lin]]+2*Table4[[#This Row],[std_lin]]</f>
        <v>31.552033333333352</v>
      </c>
    </row>
    <row r="1021" spans="1:25" x14ac:dyDescent="0.35">
      <c r="A1021" s="1">
        <v>1620</v>
      </c>
      <c r="B1021" t="s">
        <v>829</v>
      </c>
      <c r="C1021" t="s">
        <v>253</v>
      </c>
      <c r="D1021" t="s">
        <v>510</v>
      </c>
      <c r="E1021" s="2">
        <v>0</v>
      </c>
      <c r="F1021" s="2">
        <v>0</v>
      </c>
      <c r="G1021">
        <v>27</v>
      </c>
      <c r="H1021" t="s">
        <v>58</v>
      </c>
      <c r="M1021" s="2">
        <v>0</v>
      </c>
      <c r="N1021" s="2">
        <v>0</v>
      </c>
      <c r="O1021" s="2">
        <v>0</v>
      </c>
      <c r="R1021" t="str">
        <f t="shared" si="45"/>
        <v>yes</v>
      </c>
      <c r="S1021" t="str">
        <f t="shared" si="46"/>
        <v>no</v>
      </c>
      <c r="T10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1" s="2" t="b">
        <f t="shared" si="47"/>
        <v>0</v>
      </c>
      <c r="V1021" s="2">
        <f>IF(Table4[[#This Row],[linear?]],Table4[[#This Row],[av]],10^(Table4[[#This Row],[av]]/10))</f>
        <v>1</v>
      </c>
      <c r="W1021" s="2">
        <f>IF(Table4[[#This Row],[linear?]],Table4[[#This Row],[av]],10^(Table4[[#This Row],[av]]/10))</f>
        <v>1</v>
      </c>
      <c r="X1021" s="2">
        <f>Table4[[#This Row],[av_lin]]-2*Table4[[#This Row],[std_lin]]</f>
        <v>-1</v>
      </c>
      <c r="Y1021" s="2">
        <f>Table4[[#This Row],[av_lin]]+2*Table4[[#This Row],[std_lin]]</f>
        <v>3</v>
      </c>
    </row>
    <row r="1022" spans="1:25" x14ac:dyDescent="0.35">
      <c r="A1022" s="1">
        <v>1621</v>
      </c>
      <c r="B1022" t="s">
        <v>829</v>
      </c>
      <c r="C1022" t="s">
        <v>253</v>
      </c>
      <c r="D1022" t="s">
        <v>511</v>
      </c>
      <c r="E1022" s="2">
        <v>2.9957555555555562</v>
      </c>
      <c r="F1022" s="2">
        <v>5.6045454517067581</v>
      </c>
      <c r="G1022">
        <v>27</v>
      </c>
      <c r="H1022" t="s">
        <v>58</v>
      </c>
      <c r="M1022" s="2">
        <v>14.204846458969071</v>
      </c>
      <c r="N1022" s="2">
        <v>-8.21333534785796</v>
      </c>
      <c r="O1022" s="2">
        <v>22.418181806827029</v>
      </c>
      <c r="P1022" s="2">
        <v>0.5345224838248489</v>
      </c>
      <c r="R1022" t="str">
        <f t="shared" si="45"/>
        <v>yes</v>
      </c>
      <c r="S1022" t="str">
        <f t="shared" si="46"/>
        <v>no</v>
      </c>
      <c r="T10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2" s="2" t="b">
        <f t="shared" si="47"/>
        <v>0</v>
      </c>
      <c r="V1022" s="2">
        <f>IF(Table4[[#This Row],[linear?]],Table4[[#This Row],[av]],10^(Table4[[#This Row],[av]]/10))</f>
        <v>1.9933132588797982</v>
      </c>
      <c r="W1022" s="2">
        <f>IF(Table4[[#This Row],[linear?]],Table4[[#This Row],[av]],10^(Table4[[#This Row],[av]]/10))</f>
        <v>1.9933132588797982</v>
      </c>
      <c r="X1022" s="2">
        <f>Table4[[#This Row],[av_lin]]-2*Table4[[#This Row],[std_lin]]</f>
        <v>-1.9933132588797982</v>
      </c>
      <c r="Y1022" s="2">
        <f>Table4[[#This Row],[av_lin]]+2*Table4[[#This Row],[std_lin]]</f>
        <v>5.9799397766393945</v>
      </c>
    </row>
    <row r="1023" spans="1:25" x14ac:dyDescent="0.35">
      <c r="A1023" s="1">
        <v>1622</v>
      </c>
      <c r="B1023" t="s">
        <v>829</v>
      </c>
      <c r="C1023" t="s">
        <v>253</v>
      </c>
      <c r="D1023" t="s">
        <v>512</v>
      </c>
      <c r="E1023" s="2">
        <v>0</v>
      </c>
      <c r="F1023" s="2">
        <v>0</v>
      </c>
      <c r="G1023">
        <v>27</v>
      </c>
      <c r="H1023" t="s">
        <v>58</v>
      </c>
      <c r="M1023" s="2">
        <v>0</v>
      </c>
      <c r="N1023" s="2">
        <v>0</v>
      </c>
      <c r="O1023" s="2">
        <v>0</v>
      </c>
      <c r="R1023" t="str">
        <f t="shared" si="45"/>
        <v>yes</v>
      </c>
      <c r="S1023" t="str">
        <f t="shared" si="46"/>
        <v>no</v>
      </c>
      <c r="T10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3" s="2" t="b">
        <f t="shared" si="47"/>
        <v>0</v>
      </c>
      <c r="V1023" s="2">
        <f>IF(Table4[[#This Row],[linear?]],Table4[[#This Row],[av]],10^(Table4[[#This Row],[av]]/10))</f>
        <v>1</v>
      </c>
      <c r="W1023" s="2">
        <f>IF(Table4[[#This Row],[linear?]],Table4[[#This Row],[av]],10^(Table4[[#This Row],[av]]/10))</f>
        <v>1</v>
      </c>
      <c r="X1023" s="2">
        <f>Table4[[#This Row],[av_lin]]-2*Table4[[#This Row],[std_lin]]</f>
        <v>-1</v>
      </c>
      <c r="Y1023" s="2">
        <f>Table4[[#This Row],[av_lin]]+2*Table4[[#This Row],[std_lin]]</f>
        <v>3</v>
      </c>
    </row>
    <row r="1024" spans="1:25" x14ac:dyDescent="0.35">
      <c r="A1024" s="1">
        <v>1623</v>
      </c>
      <c r="B1024" t="s">
        <v>829</v>
      </c>
      <c r="C1024" t="s">
        <v>253</v>
      </c>
      <c r="D1024" t="s">
        <v>513</v>
      </c>
      <c r="E1024" s="2">
        <v>8.9750185185185192</v>
      </c>
      <c r="F1024" s="2">
        <v>16.859798228792151</v>
      </c>
      <c r="G1024">
        <v>27</v>
      </c>
      <c r="H1024" t="s">
        <v>58</v>
      </c>
      <c r="M1024" s="2">
        <v>42.69461497610282</v>
      </c>
      <c r="N1024" s="2">
        <v>-24.744577939065781</v>
      </c>
      <c r="O1024" s="2">
        <v>67.439192915168604</v>
      </c>
      <c r="P1024" s="2">
        <v>0.53233249868859767</v>
      </c>
      <c r="R1024" t="str">
        <f t="shared" si="45"/>
        <v>yes</v>
      </c>
      <c r="S1024" t="str">
        <f t="shared" si="46"/>
        <v>no</v>
      </c>
      <c r="T10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4" s="2" t="b">
        <f t="shared" si="47"/>
        <v>1</v>
      </c>
      <c r="V1024" s="2">
        <f>IF(Table4[[#This Row],[linear?]],Table4[[#This Row],[av]],10^(Table4[[#This Row],[av]]/10))</f>
        <v>8.9750185185185192</v>
      </c>
      <c r="W1024" s="2">
        <f>IF(Table4[[#This Row],[linear?]],Table4[[#This Row],[av]],10^(Table4[[#This Row],[av]]/10))</f>
        <v>8.9750185185185192</v>
      </c>
      <c r="X1024" s="2">
        <f>Table4[[#This Row],[av_lin]]-2*Table4[[#This Row],[std_lin]]</f>
        <v>-8.9750185185185192</v>
      </c>
      <c r="Y1024" s="2">
        <f>Table4[[#This Row],[av_lin]]+2*Table4[[#This Row],[std_lin]]</f>
        <v>26.925055555555559</v>
      </c>
    </row>
    <row r="1025" spans="1:25" x14ac:dyDescent="0.35">
      <c r="A1025" s="1">
        <v>1624</v>
      </c>
      <c r="B1025" t="s">
        <v>829</v>
      </c>
      <c r="C1025" t="s">
        <v>253</v>
      </c>
      <c r="D1025" t="s">
        <v>514</v>
      </c>
      <c r="E1025" s="2">
        <v>0</v>
      </c>
      <c r="F1025" s="2">
        <v>0</v>
      </c>
      <c r="G1025">
        <v>27</v>
      </c>
      <c r="H1025" t="s">
        <v>58</v>
      </c>
      <c r="M1025" s="2">
        <v>0</v>
      </c>
      <c r="N1025" s="2">
        <v>0</v>
      </c>
      <c r="O1025" s="2">
        <v>0</v>
      </c>
      <c r="R1025" t="str">
        <f t="shared" si="45"/>
        <v>yes</v>
      </c>
      <c r="S1025" t="str">
        <f t="shared" si="46"/>
        <v>no</v>
      </c>
      <c r="T10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5" s="2" t="b">
        <f t="shared" si="47"/>
        <v>0</v>
      </c>
      <c r="V1025" s="2">
        <f>IF(Table4[[#This Row],[linear?]],Table4[[#This Row],[av]],10^(Table4[[#This Row],[av]]/10))</f>
        <v>1</v>
      </c>
      <c r="W1025" s="2">
        <f>IF(Table4[[#This Row],[linear?]],Table4[[#This Row],[av]],10^(Table4[[#This Row],[av]]/10))</f>
        <v>1</v>
      </c>
      <c r="X1025" s="2">
        <f>Table4[[#This Row],[av_lin]]-2*Table4[[#This Row],[std_lin]]</f>
        <v>-1</v>
      </c>
      <c r="Y1025" s="2">
        <f>Table4[[#This Row],[av_lin]]+2*Table4[[#This Row],[std_lin]]</f>
        <v>3</v>
      </c>
    </row>
    <row r="1026" spans="1:25" x14ac:dyDescent="0.35">
      <c r="A1026" s="1">
        <v>1625</v>
      </c>
      <c r="B1026" t="s">
        <v>829</v>
      </c>
      <c r="C1026" t="s">
        <v>253</v>
      </c>
      <c r="D1026" t="s">
        <v>515</v>
      </c>
      <c r="E1026" s="2">
        <v>3.994340740740741</v>
      </c>
      <c r="F1026" s="2">
        <v>6.1556924987129253</v>
      </c>
      <c r="G1026">
        <v>27</v>
      </c>
      <c r="H1026" t="s">
        <v>58</v>
      </c>
      <c r="M1026" s="2">
        <v>16.30572573816659</v>
      </c>
      <c r="N1026" s="2">
        <v>-8.3170442566851097</v>
      </c>
      <c r="O1026" s="2">
        <v>24.622769994851701</v>
      </c>
      <c r="P1026" s="2">
        <v>0.64888568452305007</v>
      </c>
      <c r="R1026" t="str">
        <f t="shared" ref="R1026:R1089" si="48">IF(H1026="yes","yes","no")</f>
        <v>yes</v>
      </c>
      <c r="S1026" t="str">
        <f t="shared" ref="S1026:S1089" si="49">IF(I1026,"yes","no")</f>
        <v>no</v>
      </c>
      <c r="T10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6" s="2" t="b">
        <f t="shared" ref="U1026:U1089" si="50">NOT(ISNUMBER(SEARCH("RFIC*POWER", D1026)))</f>
        <v>0</v>
      </c>
      <c r="V1026" s="2">
        <f>IF(Table4[[#This Row],[linear?]],Table4[[#This Row],[av]],10^(Table4[[#This Row],[av]]/10))</f>
        <v>2.508615342615431</v>
      </c>
      <c r="W1026" s="2">
        <f>IF(Table4[[#This Row],[linear?]],Table4[[#This Row],[av]],10^(Table4[[#This Row],[av]]/10))</f>
        <v>2.508615342615431</v>
      </c>
      <c r="X1026" s="2">
        <f>Table4[[#This Row],[av_lin]]-2*Table4[[#This Row],[std_lin]]</f>
        <v>-2.508615342615431</v>
      </c>
      <c r="Y1026" s="2">
        <f>Table4[[#This Row],[av_lin]]+2*Table4[[#This Row],[std_lin]]</f>
        <v>7.5258460278462929</v>
      </c>
    </row>
    <row r="1027" spans="1:25" x14ac:dyDescent="0.35">
      <c r="A1027" s="1">
        <v>1626</v>
      </c>
      <c r="B1027" t="s">
        <v>829</v>
      </c>
      <c r="C1027" t="s">
        <v>253</v>
      </c>
      <c r="D1027" t="s">
        <v>516</v>
      </c>
      <c r="E1027" s="2">
        <v>0</v>
      </c>
      <c r="F1027" s="2">
        <v>0</v>
      </c>
      <c r="G1027">
        <v>27</v>
      </c>
      <c r="H1027" t="s">
        <v>58</v>
      </c>
      <c r="M1027" s="2">
        <v>0</v>
      </c>
      <c r="N1027" s="2">
        <v>0</v>
      </c>
      <c r="O1027" s="2">
        <v>0</v>
      </c>
      <c r="R1027" t="str">
        <f t="shared" si="48"/>
        <v>yes</v>
      </c>
      <c r="S1027" t="str">
        <f t="shared" si="49"/>
        <v>no</v>
      </c>
      <c r="T10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7" s="2" t="b">
        <f t="shared" si="50"/>
        <v>0</v>
      </c>
      <c r="V1027" s="2">
        <f>IF(Table4[[#This Row],[linear?]],Table4[[#This Row],[av]],10^(Table4[[#This Row],[av]]/10))</f>
        <v>1</v>
      </c>
      <c r="W1027" s="2">
        <f>IF(Table4[[#This Row],[linear?]],Table4[[#This Row],[av]],10^(Table4[[#This Row],[av]]/10))</f>
        <v>1</v>
      </c>
      <c r="X1027" s="2">
        <f>Table4[[#This Row],[av_lin]]-2*Table4[[#This Row],[std_lin]]</f>
        <v>-1</v>
      </c>
      <c r="Y1027" s="2">
        <f>Table4[[#This Row],[av_lin]]+2*Table4[[#This Row],[std_lin]]</f>
        <v>3</v>
      </c>
    </row>
    <row r="1028" spans="1:25" x14ac:dyDescent="0.35">
      <c r="A1028" s="1">
        <v>1627</v>
      </c>
      <c r="B1028" t="s">
        <v>829</v>
      </c>
      <c r="C1028" t="s">
        <v>253</v>
      </c>
      <c r="D1028" t="s">
        <v>517</v>
      </c>
      <c r="E1028" s="2">
        <v>11.475688888888889</v>
      </c>
      <c r="F1028" s="2">
        <v>17.900032867119279</v>
      </c>
      <c r="G1028">
        <v>27</v>
      </c>
      <c r="H1028" t="s">
        <v>58</v>
      </c>
      <c r="M1028" s="2">
        <v>47.275754623127447</v>
      </c>
      <c r="N1028" s="2">
        <v>-24.324376845349668</v>
      </c>
      <c r="O1028" s="2">
        <v>71.600131468477116</v>
      </c>
      <c r="P1028" s="2">
        <v>0.64109876077203631</v>
      </c>
      <c r="R1028" t="str">
        <f t="shared" si="48"/>
        <v>yes</v>
      </c>
      <c r="S1028" t="str">
        <f t="shared" si="49"/>
        <v>no</v>
      </c>
      <c r="T10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8" s="2" t="b">
        <f t="shared" si="50"/>
        <v>1</v>
      </c>
      <c r="V1028" s="2">
        <f>IF(Table4[[#This Row],[linear?]],Table4[[#This Row],[av]],10^(Table4[[#This Row],[av]]/10))</f>
        <v>11.475688888888889</v>
      </c>
      <c r="W1028" s="2">
        <f>IF(Table4[[#This Row],[linear?]],Table4[[#This Row],[av]],10^(Table4[[#This Row],[av]]/10))</f>
        <v>11.475688888888889</v>
      </c>
      <c r="X1028" s="2">
        <f>Table4[[#This Row],[av_lin]]-2*Table4[[#This Row],[std_lin]]</f>
        <v>-11.475688888888889</v>
      </c>
      <c r="Y1028" s="2">
        <f>Table4[[#This Row],[av_lin]]+2*Table4[[#This Row],[std_lin]]</f>
        <v>34.427066666666668</v>
      </c>
    </row>
    <row r="1029" spans="1:25" x14ac:dyDescent="0.35">
      <c r="A1029" s="1">
        <v>1628</v>
      </c>
      <c r="B1029" t="s">
        <v>829</v>
      </c>
      <c r="C1029" t="s">
        <v>253</v>
      </c>
      <c r="D1029" t="s">
        <v>518</v>
      </c>
      <c r="E1029" s="2">
        <v>25.486829629629629</v>
      </c>
      <c r="F1029" s="2">
        <v>61.154450554155098</v>
      </c>
      <c r="G1029">
        <v>27</v>
      </c>
      <c r="H1029" t="s">
        <v>58</v>
      </c>
      <c r="M1029" s="2">
        <v>147.79573073793981</v>
      </c>
      <c r="N1029" s="2">
        <v>-96.82207147868057</v>
      </c>
      <c r="O1029" s="2">
        <v>244.61780221662039</v>
      </c>
      <c r="P1029" s="2">
        <v>0.41676164855834752</v>
      </c>
      <c r="R1029" t="str">
        <f t="shared" si="48"/>
        <v>yes</v>
      </c>
      <c r="S1029" t="str">
        <f t="shared" si="49"/>
        <v>no</v>
      </c>
      <c r="T10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9" s="2" t="b">
        <f t="shared" si="50"/>
        <v>0</v>
      </c>
      <c r="V1029" s="2">
        <f>IF(Table4[[#This Row],[linear?]],Table4[[#This Row],[av]],10^(Table4[[#This Row],[av]]/10))</f>
        <v>353.73901564191442</v>
      </c>
      <c r="W1029" s="2">
        <f>IF(Table4[[#This Row],[linear?]],Table4[[#This Row],[av]],10^(Table4[[#This Row],[av]]/10))</f>
        <v>353.73901564191442</v>
      </c>
      <c r="X1029" s="2">
        <f>Table4[[#This Row],[av_lin]]-2*Table4[[#This Row],[std_lin]]</f>
        <v>-353.73901564191442</v>
      </c>
      <c r="Y1029" s="2">
        <f>Table4[[#This Row],[av_lin]]+2*Table4[[#This Row],[std_lin]]</f>
        <v>1061.2170469257433</v>
      </c>
    </row>
    <row r="1030" spans="1:25" x14ac:dyDescent="0.35">
      <c r="A1030" s="1">
        <v>1629</v>
      </c>
      <c r="B1030" t="s">
        <v>829</v>
      </c>
      <c r="C1030" t="s">
        <v>253</v>
      </c>
      <c r="D1030" t="s">
        <v>519</v>
      </c>
      <c r="E1030" s="2">
        <v>0</v>
      </c>
      <c r="F1030" s="2">
        <v>0</v>
      </c>
      <c r="G1030">
        <v>27</v>
      </c>
      <c r="H1030" t="s">
        <v>58</v>
      </c>
      <c r="M1030" s="2">
        <v>0</v>
      </c>
      <c r="N1030" s="2">
        <v>0</v>
      </c>
      <c r="O1030" s="2">
        <v>0</v>
      </c>
      <c r="R1030" t="str">
        <f t="shared" si="48"/>
        <v>yes</v>
      </c>
      <c r="S1030" t="str">
        <f t="shared" si="49"/>
        <v>no</v>
      </c>
      <c r="T10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0" s="2" t="b">
        <f t="shared" si="50"/>
        <v>0</v>
      </c>
      <c r="V1030" s="2">
        <f>IF(Table4[[#This Row],[linear?]],Table4[[#This Row],[av]],10^(Table4[[#This Row],[av]]/10))</f>
        <v>1</v>
      </c>
      <c r="W1030" s="2">
        <f>IF(Table4[[#This Row],[linear?]],Table4[[#This Row],[av]],10^(Table4[[#This Row],[av]]/10))</f>
        <v>1</v>
      </c>
      <c r="X1030" s="2">
        <f>Table4[[#This Row],[av_lin]]-2*Table4[[#This Row],[std_lin]]</f>
        <v>-1</v>
      </c>
      <c r="Y1030" s="2">
        <f>Table4[[#This Row],[av_lin]]+2*Table4[[#This Row],[std_lin]]</f>
        <v>3</v>
      </c>
    </row>
    <row r="1031" spans="1:25" x14ac:dyDescent="0.35">
      <c r="A1031" s="1">
        <v>1630</v>
      </c>
      <c r="B1031" t="s">
        <v>829</v>
      </c>
      <c r="C1031" t="s">
        <v>253</v>
      </c>
      <c r="D1031" t="s">
        <v>520</v>
      </c>
      <c r="E1031" s="2">
        <v>0</v>
      </c>
      <c r="F1031" s="2">
        <v>0</v>
      </c>
      <c r="G1031">
        <v>27</v>
      </c>
      <c r="H1031" t="s">
        <v>58</v>
      </c>
      <c r="M1031" s="2">
        <v>0</v>
      </c>
      <c r="N1031" s="2">
        <v>0</v>
      </c>
      <c r="O1031" s="2">
        <v>0</v>
      </c>
      <c r="R1031" t="str">
        <f t="shared" si="48"/>
        <v>yes</v>
      </c>
      <c r="S1031" t="str">
        <f t="shared" si="49"/>
        <v>no</v>
      </c>
      <c r="T10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1" s="2" t="b">
        <f t="shared" si="50"/>
        <v>0</v>
      </c>
      <c r="V1031" s="2">
        <f>IF(Table4[[#This Row],[linear?]],Table4[[#This Row],[av]],10^(Table4[[#This Row],[av]]/10))</f>
        <v>1</v>
      </c>
      <c r="W1031" s="2">
        <f>IF(Table4[[#This Row],[linear?]],Table4[[#This Row],[av]],10^(Table4[[#This Row],[av]]/10))</f>
        <v>1</v>
      </c>
      <c r="X1031" s="2">
        <f>Table4[[#This Row],[av_lin]]-2*Table4[[#This Row],[std_lin]]</f>
        <v>-1</v>
      </c>
      <c r="Y1031" s="2">
        <f>Table4[[#This Row],[av_lin]]+2*Table4[[#This Row],[std_lin]]</f>
        <v>3</v>
      </c>
    </row>
    <row r="1032" spans="1:25" x14ac:dyDescent="0.35">
      <c r="A1032" s="1">
        <v>1631</v>
      </c>
      <c r="B1032" t="s">
        <v>829</v>
      </c>
      <c r="C1032" t="s">
        <v>253</v>
      </c>
      <c r="D1032" t="s">
        <v>521</v>
      </c>
      <c r="E1032" s="2">
        <v>5.4450185185185189</v>
      </c>
      <c r="F1032" s="2">
        <v>13.064752988041761</v>
      </c>
      <c r="G1032">
        <v>27</v>
      </c>
      <c r="H1032" t="s">
        <v>58</v>
      </c>
      <c r="M1032" s="2">
        <v>31.574524494602041</v>
      </c>
      <c r="N1032" s="2">
        <v>-20.684487457565002</v>
      </c>
      <c r="O1032" s="2">
        <v>52.259011952167043</v>
      </c>
      <c r="P1032" s="2">
        <v>0.41677163919611598</v>
      </c>
      <c r="R1032" t="str">
        <f t="shared" si="48"/>
        <v>yes</v>
      </c>
      <c r="S1032" t="str">
        <f t="shared" si="49"/>
        <v>no</v>
      </c>
      <c r="T10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2" s="2" t="b">
        <f t="shared" si="50"/>
        <v>1</v>
      </c>
      <c r="V1032" s="2">
        <f>IF(Table4[[#This Row],[linear?]],Table4[[#This Row],[av]],10^(Table4[[#This Row],[av]]/10))</f>
        <v>5.4450185185185189</v>
      </c>
      <c r="W1032" s="2">
        <f>IF(Table4[[#This Row],[linear?]],Table4[[#This Row],[av]],10^(Table4[[#This Row],[av]]/10))</f>
        <v>5.4450185185185189</v>
      </c>
      <c r="X1032" s="2">
        <f>Table4[[#This Row],[av_lin]]-2*Table4[[#This Row],[std_lin]]</f>
        <v>-5.4450185185185189</v>
      </c>
      <c r="Y1032" s="2">
        <f>Table4[[#This Row],[av_lin]]+2*Table4[[#This Row],[std_lin]]</f>
        <v>16.335055555555556</v>
      </c>
    </row>
    <row r="1033" spans="1:25" x14ac:dyDescent="0.35">
      <c r="A1033" s="1">
        <v>1632</v>
      </c>
      <c r="B1033" t="s">
        <v>829</v>
      </c>
      <c r="C1033" t="s">
        <v>253</v>
      </c>
      <c r="D1033" t="s">
        <v>522</v>
      </c>
      <c r="E1033" s="2">
        <v>22.87661111111111</v>
      </c>
      <c r="F1033" s="2">
        <v>57.463096555662837</v>
      </c>
      <c r="G1033">
        <v>27</v>
      </c>
      <c r="H1033" t="s">
        <v>58</v>
      </c>
      <c r="M1033" s="2">
        <v>137.80280422243681</v>
      </c>
      <c r="N1033" s="2">
        <v>-92.049582000214571</v>
      </c>
      <c r="O1033" s="2">
        <v>229.85238622265129</v>
      </c>
      <c r="P1033" s="2">
        <v>0.39810961264419847</v>
      </c>
      <c r="R1033" t="str">
        <f t="shared" si="48"/>
        <v>yes</v>
      </c>
      <c r="S1033" t="str">
        <f t="shared" si="49"/>
        <v>no</v>
      </c>
      <c r="T10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3" s="2" t="b">
        <f t="shared" si="50"/>
        <v>0</v>
      </c>
      <c r="V1033" s="2">
        <f>IF(Table4[[#This Row],[linear?]],Table4[[#This Row],[av]],10^(Table4[[#This Row],[av]]/10))</f>
        <v>193.93719552962037</v>
      </c>
      <c r="W1033" s="2">
        <f>IF(Table4[[#This Row],[linear?]],Table4[[#This Row],[av]],10^(Table4[[#This Row],[av]]/10))</f>
        <v>193.93719552962037</v>
      </c>
      <c r="X1033" s="2">
        <f>Table4[[#This Row],[av_lin]]-2*Table4[[#This Row],[std_lin]]</f>
        <v>-193.93719552962037</v>
      </c>
      <c r="Y1033" s="2">
        <f>Table4[[#This Row],[av_lin]]+2*Table4[[#This Row],[std_lin]]</f>
        <v>581.81158658886113</v>
      </c>
    </row>
    <row r="1034" spans="1:25" x14ac:dyDescent="0.35">
      <c r="A1034" s="1">
        <v>1633</v>
      </c>
      <c r="B1034" t="s">
        <v>829</v>
      </c>
      <c r="C1034" t="s">
        <v>253</v>
      </c>
      <c r="D1034" t="s">
        <v>523</v>
      </c>
      <c r="E1034" s="2">
        <v>0</v>
      </c>
      <c r="F1034" s="2">
        <v>0</v>
      </c>
      <c r="G1034">
        <v>27</v>
      </c>
      <c r="H1034" t="s">
        <v>58</v>
      </c>
      <c r="M1034" s="2">
        <v>0</v>
      </c>
      <c r="N1034" s="2">
        <v>0</v>
      </c>
      <c r="O1034" s="2">
        <v>0</v>
      </c>
      <c r="R1034" t="str">
        <f t="shared" si="48"/>
        <v>yes</v>
      </c>
      <c r="S1034" t="str">
        <f t="shared" si="49"/>
        <v>no</v>
      </c>
      <c r="T10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4" s="2" t="b">
        <f t="shared" si="50"/>
        <v>0</v>
      </c>
      <c r="V1034" s="2">
        <f>IF(Table4[[#This Row],[linear?]],Table4[[#This Row],[av]],10^(Table4[[#This Row],[av]]/10))</f>
        <v>1</v>
      </c>
      <c r="W1034" s="2">
        <f>IF(Table4[[#This Row],[linear?]],Table4[[#This Row],[av]],10^(Table4[[#This Row],[av]]/10))</f>
        <v>1</v>
      </c>
      <c r="X1034" s="2">
        <f>Table4[[#This Row],[av_lin]]-2*Table4[[#This Row],[std_lin]]</f>
        <v>-1</v>
      </c>
      <c r="Y1034" s="2">
        <f>Table4[[#This Row],[av_lin]]+2*Table4[[#This Row],[std_lin]]</f>
        <v>3</v>
      </c>
    </row>
    <row r="1035" spans="1:25" x14ac:dyDescent="0.35">
      <c r="A1035" s="1">
        <v>1634</v>
      </c>
      <c r="B1035" t="s">
        <v>829</v>
      </c>
      <c r="C1035" t="s">
        <v>253</v>
      </c>
      <c r="D1035" t="s">
        <v>524</v>
      </c>
      <c r="E1035" s="2">
        <v>0</v>
      </c>
      <c r="F1035" s="2">
        <v>0</v>
      </c>
      <c r="G1035">
        <v>27</v>
      </c>
      <c r="H1035" t="s">
        <v>58</v>
      </c>
      <c r="M1035" s="2">
        <v>0</v>
      </c>
      <c r="N1035" s="2">
        <v>0</v>
      </c>
      <c r="O1035" s="2">
        <v>0</v>
      </c>
      <c r="R1035" t="str">
        <f t="shared" si="48"/>
        <v>yes</v>
      </c>
      <c r="S1035" t="str">
        <f t="shared" si="49"/>
        <v>no</v>
      </c>
      <c r="T10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5" s="2" t="b">
        <f t="shared" si="50"/>
        <v>0</v>
      </c>
      <c r="V1035" s="2">
        <f>IF(Table4[[#This Row],[linear?]],Table4[[#This Row],[av]],10^(Table4[[#This Row],[av]]/10))</f>
        <v>1</v>
      </c>
      <c r="W1035" s="2">
        <f>IF(Table4[[#This Row],[linear?]],Table4[[#This Row],[av]],10^(Table4[[#This Row],[av]]/10))</f>
        <v>1</v>
      </c>
      <c r="X1035" s="2">
        <f>Table4[[#This Row],[av_lin]]-2*Table4[[#This Row],[std_lin]]</f>
        <v>-1</v>
      </c>
      <c r="Y1035" s="2">
        <f>Table4[[#This Row],[av_lin]]+2*Table4[[#This Row],[std_lin]]</f>
        <v>3</v>
      </c>
    </row>
    <row r="1036" spans="1:25" x14ac:dyDescent="0.35">
      <c r="A1036" s="1">
        <v>1635</v>
      </c>
      <c r="B1036" t="s">
        <v>829</v>
      </c>
      <c r="C1036" t="s">
        <v>253</v>
      </c>
      <c r="D1036" t="s">
        <v>525</v>
      </c>
      <c r="E1036" s="2">
        <v>5.2852962962962966</v>
      </c>
      <c r="F1036" s="2">
        <v>12.68878324454411</v>
      </c>
      <c r="G1036">
        <v>27</v>
      </c>
      <c r="H1036" t="s">
        <v>58</v>
      </c>
      <c r="M1036" s="2">
        <v>30.662862785384519</v>
      </c>
      <c r="N1036" s="2">
        <v>-20.092270192791919</v>
      </c>
      <c r="O1036" s="2">
        <v>50.755132978176441</v>
      </c>
      <c r="P1036" s="2">
        <v>0.41653294838721872</v>
      </c>
      <c r="R1036" t="str">
        <f t="shared" si="48"/>
        <v>yes</v>
      </c>
      <c r="S1036" t="str">
        <f t="shared" si="49"/>
        <v>no</v>
      </c>
      <c r="T10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6" s="2" t="b">
        <f t="shared" si="50"/>
        <v>1</v>
      </c>
      <c r="V1036" s="2">
        <f>IF(Table4[[#This Row],[linear?]],Table4[[#This Row],[av]],10^(Table4[[#This Row],[av]]/10))</f>
        <v>5.2852962962962966</v>
      </c>
      <c r="W1036" s="2">
        <f>IF(Table4[[#This Row],[linear?]],Table4[[#This Row],[av]],10^(Table4[[#This Row],[av]]/10))</f>
        <v>5.2852962962962966</v>
      </c>
      <c r="X1036" s="2">
        <f>Table4[[#This Row],[av_lin]]-2*Table4[[#This Row],[std_lin]]</f>
        <v>-5.2852962962962966</v>
      </c>
      <c r="Y1036" s="2">
        <f>Table4[[#This Row],[av_lin]]+2*Table4[[#This Row],[std_lin]]</f>
        <v>15.85588888888889</v>
      </c>
    </row>
    <row r="1037" spans="1:25" x14ac:dyDescent="0.35">
      <c r="A1037" s="1">
        <v>1636</v>
      </c>
      <c r="B1037" t="s">
        <v>829</v>
      </c>
      <c r="C1037" t="s">
        <v>253</v>
      </c>
      <c r="D1037" t="s">
        <v>526</v>
      </c>
      <c r="E1037" s="2">
        <v>31.976118518518511</v>
      </c>
      <c r="F1037" s="2">
        <v>67.194963591180169</v>
      </c>
      <c r="G1037">
        <v>27</v>
      </c>
      <c r="H1037" t="s">
        <v>58</v>
      </c>
      <c r="M1037" s="2">
        <v>166.36604570087891</v>
      </c>
      <c r="N1037" s="2">
        <v>-102.41380866384181</v>
      </c>
      <c r="O1037" s="2">
        <v>268.77985436472068</v>
      </c>
      <c r="P1037" s="2">
        <v>0.47587076187828481</v>
      </c>
      <c r="R1037" t="str">
        <f t="shared" si="48"/>
        <v>yes</v>
      </c>
      <c r="S1037" t="str">
        <f t="shared" si="49"/>
        <v>no</v>
      </c>
      <c r="T10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7" s="2" t="b">
        <f t="shared" si="50"/>
        <v>0</v>
      </c>
      <c r="V1037" s="2">
        <f>IF(Table4[[#This Row],[linear?]],Table4[[#This Row],[av]],10^(Table4[[#This Row],[av]]/10))</f>
        <v>1576.2019187655546</v>
      </c>
      <c r="W1037" s="2">
        <f>IF(Table4[[#This Row],[linear?]],Table4[[#This Row],[av]],10^(Table4[[#This Row],[av]]/10))</f>
        <v>1576.2019187655546</v>
      </c>
      <c r="X1037" s="2">
        <f>Table4[[#This Row],[av_lin]]-2*Table4[[#This Row],[std_lin]]</f>
        <v>-1576.2019187655546</v>
      </c>
      <c r="Y1037" s="2">
        <f>Table4[[#This Row],[av_lin]]+2*Table4[[#This Row],[std_lin]]</f>
        <v>4728.6057562966635</v>
      </c>
    </row>
    <row r="1038" spans="1:25" x14ac:dyDescent="0.35">
      <c r="A1038" s="1">
        <v>1637</v>
      </c>
      <c r="B1038" t="s">
        <v>829</v>
      </c>
      <c r="C1038" t="s">
        <v>253</v>
      </c>
      <c r="D1038" t="s">
        <v>527</v>
      </c>
      <c r="E1038" s="2">
        <v>0</v>
      </c>
      <c r="F1038" s="2">
        <v>0</v>
      </c>
      <c r="G1038">
        <v>27</v>
      </c>
      <c r="H1038" t="s">
        <v>58</v>
      </c>
      <c r="M1038" s="2">
        <v>0</v>
      </c>
      <c r="N1038" s="2">
        <v>0</v>
      </c>
      <c r="O1038" s="2">
        <v>0</v>
      </c>
      <c r="R1038" t="str">
        <f t="shared" si="48"/>
        <v>yes</v>
      </c>
      <c r="S1038" t="str">
        <f t="shared" si="49"/>
        <v>no</v>
      </c>
      <c r="T10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8" s="2" t="b">
        <f t="shared" si="50"/>
        <v>0</v>
      </c>
      <c r="V1038" s="2">
        <f>IF(Table4[[#This Row],[linear?]],Table4[[#This Row],[av]],10^(Table4[[#This Row],[av]]/10))</f>
        <v>1</v>
      </c>
      <c r="W1038" s="2">
        <f>IF(Table4[[#This Row],[linear?]],Table4[[#This Row],[av]],10^(Table4[[#This Row],[av]]/10))</f>
        <v>1</v>
      </c>
      <c r="X1038" s="2">
        <f>Table4[[#This Row],[av_lin]]-2*Table4[[#This Row],[std_lin]]</f>
        <v>-1</v>
      </c>
      <c r="Y1038" s="2">
        <f>Table4[[#This Row],[av_lin]]+2*Table4[[#This Row],[std_lin]]</f>
        <v>3</v>
      </c>
    </row>
    <row r="1039" spans="1:25" x14ac:dyDescent="0.35">
      <c r="A1039" s="1">
        <v>1638</v>
      </c>
      <c r="B1039" t="s">
        <v>829</v>
      </c>
      <c r="C1039" t="s">
        <v>253</v>
      </c>
      <c r="D1039" t="s">
        <v>528</v>
      </c>
      <c r="E1039" s="2">
        <v>0</v>
      </c>
      <c r="F1039" s="2">
        <v>0</v>
      </c>
      <c r="G1039">
        <v>27</v>
      </c>
      <c r="H1039" t="s">
        <v>58</v>
      </c>
      <c r="M1039" s="2">
        <v>0</v>
      </c>
      <c r="N1039" s="2">
        <v>0</v>
      </c>
      <c r="O1039" s="2">
        <v>0</v>
      </c>
      <c r="R1039" t="str">
        <f t="shared" si="48"/>
        <v>yes</v>
      </c>
      <c r="S1039" t="str">
        <f t="shared" si="49"/>
        <v>no</v>
      </c>
      <c r="T10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9" s="2" t="b">
        <f t="shared" si="50"/>
        <v>0</v>
      </c>
      <c r="V1039" s="2">
        <f>IF(Table4[[#This Row],[linear?]],Table4[[#This Row],[av]],10^(Table4[[#This Row],[av]]/10))</f>
        <v>1</v>
      </c>
      <c r="W1039" s="2">
        <f>IF(Table4[[#This Row],[linear?]],Table4[[#This Row],[av]],10^(Table4[[#This Row],[av]]/10))</f>
        <v>1</v>
      </c>
      <c r="X1039" s="2">
        <f>Table4[[#This Row],[av_lin]]-2*Table4[[#This Row],[std_lin]]</f>
        <v>-1</v>
      </c>
      <c r="Y1039" s="2">
        <f>Table4[[#This Row],[av_lin]]+2*Table4[[#This Row],[std_lin]]</f>
        <v>3</v>
      </c>
    </row>
    <row r="1040" spans="1:25" x14ac:dyDescent="0.35">
      <c r="A1040" s="1">
        <v>1639</v>
      </c>
      <c r="B1040" t="s">
        <v>829</v>
      </c>
      <c r="C1040" t="s">
        <v>253</v>
      </c>
      <c r="D1040" t="s">
        <v>529</v>
      </c>
      <c r="E1040" s="2">
        <v>6.420274074074074</v>
      </c>
      <c r="F1040" s="2">
        <v>13.48091334804419</v>
      </c>
      <c r="G1040">
        <v>27</v>
      </c>
      <c r="H1040" t="s">
        <v>58</v>
      </c>
      <c r="M1040" s="2">
        <v>33.382100770162452</v>
      </c>
      <c r="N1040" s="2">
        <v>-20.541552622014311</v>
      </c>
      <c r="O1040" s="2">
        <v>53.92365339217676</v>
      </c>
      <c r="P1040" s="2">
        <v>0.47624919086105738</v>
      </c>
      <c r="R1040" t="str">
        <f t="shared" si="48"/>
        <v>yes</v>
      </c>
      <c r="S1040" t="str">
        <f t="shared" si="49"/>
        <v>no</v>
      </c>
      <c r="T10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0" s="2" t="b">
        <f t="shared" si="50"/>
        <v>1</v>
      </c>
      <c r="V1040" s="2">
        <f>IF(Table4[[#This Row],[linear?]],Table4[[#This Row],[av]],10^(Table4[[#This Row],[av]]/10))</f>
        <v>6.420274074074074</v>
      </c>
      <c r="W1040" s="2">
        <f>IF(Table4[[#This Row],[linear?]],Table4[[#This Row],[av]],10^(Table4[[#This Row],[av]]/10))</f>
        <v>6.420274074074074</v>
      </c>
      <c r="X1040" s="2">
        <f>Table4[[#This Row],[av_lin]]-2*Table4[[#This Row],[std_lin]]</f>
        <v>-6.420274074074074</v>
      </c>
      <c r="Y1040" s="2">
        <f>Table4[[#This Row],[av_lin]]+2*Table4[[#This Row],[std_lin]]</f>
        <v>19.260822222222224</v>
      </c>
    </row>
    <row r="1041" spans="1:25" x14ac:dyDescent="0.35">
      <c r="A1041" s="1">
        <v>1640</v>
      </c>
      <c r="B1041" t="s">
        <v>829</v>
      </c>
      <c r="C1041" t="s">
        <v>253</v>
      </c>
      <c r="D1041" t="s">
        <v>530</v>
      </c>
      <c r="E1041" s="2">
        <v>25.697714814814809</v>
      </c>
      <c r="F1041" s="2">
        <v>58.136291991247887</v>
      </c>
      <c r="G1041">
        <v>27</v>
      </c>
      <c r="H1041" t="s">
        <v>58</v>
      </c>
      <c r="M1041" s="2">
        <v>141.97029879731059</v>
      </c>
      <c r="N1041" s="2">
        <v>-90.574869167680959</v>
      </c>
      <c r="O1041" s="2">
        <v>232.54516796499149</v>
      </c>
      <c r="P1041" s="2">
        <v>0.44202534999451742</v>
      </c>
      <c r="R1041" t="str">
        <f t="shared" si="48"/>
        <v>yes</v>
      </c>
      <c r="S1041" t="str">
        <f t="shared" si="49"/>
        <v>no</v>
      </c>
      <c r="T10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1" s="2" t="b">
        <f t="shared" si="50"/>
        <v>0</v>
      </c>
      <c r="V1041" s="2">
        <f>IF(Table4[[#This Row],[linear?]],Table4[[#This Row],[av]],10^(Table4[[#This Row],[av]]/10))</f>
        <v>371.33978487580333</v>
      </c>
      <c r="W1041" s="2">
        <f>IF(Table4[[#This Row],[linear?]],Table4[[#This Row],[av]],10^(Table4[[#This Row],[av]]/10))</f>
        <v>371.33978487580333</v>
      </c>
      <c r="X1041" s="2">
        <f>Table4[[#This Row],[av_lin]]-2*Table4[[#This Row],[std_lin]]</f>
        <v>-371.33978487580333</v>
      </c>
      <c r="Y1041" s="2">
        <f>Table4[[#This Row],[av_lin]]+2*Table4[[#This Row],[std_lin]]</f>
        <v>1114.0193546274099</v>
      </c>
    </row>
    <row r="1042" spans="1:25" x14ac:dyDescent="0.35">
      <c r="A1042" s="1">
        <v>1641</v>
      </c>
      <c r="B1042" t="s">
        <v>829</v>
      </c>
      <c r="C1042" t="s">
        <v>253</v>
      </c>
      <c r="D1042" t="s">
        <v>531</v>
      </c>
      <c r="E1042" s="2">
        <v>0</v>
      </c>
      <c r="F1042" s="2">
        <v>0</v>
      </c>
      <c r="G1042">
        <v>27</v>
      </c>
      <c r="H1042" t="s">
        <v>58</v>
      </c>
      <c r="M1042" s="2">
        <v>0</v>
      </c>
      <c r="N1042" s="2">
        <v>0</v>
      </c>
      <c r="O1042" s="2">
        <v>0</v>
      </c>
      <c r="R1042" t="str">
        <f t="shared" si="48"/>
        <v>yes</v>
      </c>
      <c r="S1042" t="str">
        <f t="shared" si="49"/>
        <v>no</v>
      </c>
      <c r="T10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2" s="2" t="b">
        <f t="shared" si="50"/>
        <v>0</v>
      </c>
      <c r="V1042" s="2">
        <f>IF(Table4[[#This Row],[linear?]],Table4[[#This Row],[av]],10^(Table4[[#This Row],[av]]/10))</f>
        <v>1</v>
      </c>
      <c r="W1042" s="2">
        <f>IF(Table4[[#This Row],[linear?]],Table4[[#This Row],[av]],10^(Table4[[#This Row],[av]]/10))</f>
        <v>1</v>
      </c>
      <c r="X1042" s="2">
        <f>Table4[[#This Row],[av_lin]]-2*Table4[[#This Row],[std_lin]]</f>
        <v>-1</v>
      </c>
      <c r="Y1042" s="2">
        <f>Table4[[#This Row],[av_lin]]+2*Table4[[#This Row],[std_lin]]</f>
        <v>3</v>
      </c>
    </row>
    <row r="1043" spans="1:25" x14ac:dyDescent="0.35">
      <c r="A1043" s="1">
        <v>1642</v>
      </c>
      <c r="B1043" t="s">
        <v>829</v>
      </c>
      <c r="C1043" t="s">
        <v>253</v>
      </c>
      <c r="D1043" t="s">
        <v>532</v>
      </c>
      <c r="E1043" s="2">
        <v>0</v>
      </c>
      <c r="F1043" s="2">
        <v>0</v>
      </c>
      <c r="G1043">
        <v>27</v>
      </c>
      <c r="H1043" t="s">
        <v>58</v>
      </c>
      <c r="M1043" s="2">
        <v>0</v>
      </c>
      <c r="N1043" s="2">
        <v>0</v>
      </c>
      <c r="O1043" s="2">
        <v>0</v>
      </c>
      <c r="R1043" t="str">
        <f t="shared" si="48"/>
        <v>yes</v>
      </c>
      <c r="S1043" t="str">
        <f t="shared" si="49"/>
        <v>no</v>
      </c>
      <c r="T10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3" s="2" t="b">
        <f t="shared" si="50"/>
        <v>0</v>
      </c>
      <c r="V1043" s="2">
        <f>IF(Table4[[#This Row],[linear?]],Table4[[#This Row],[av]],10^(Table4[[#This Row],[av]]/10))</f>
        <v>1</v>
      </c>
      <c r="W1043" s="2">
        <f>IF(Table4[[#This Row],[linear?]],Table4[[#This Row],[av]],10^(Table4[[#This Row],[av]]/10))</f>
        <v>1</v>
      </c>
      <c r="X1043" s="2">
        <f>Table4[[#This Row],[av_lin]]-2*Table4[[#This Row],[std_lin]]</f>
        <v>-1</v>
      </c>
      <c r="Y1043" s="2">
        <f>Table4[[#This Row],[av_lin]]+2*Table4[[#This Row],[std_lin]]</f>
        <v>3</v>
      </c>
    </row>
    <row r="1044" spans="1:25" x14ac:dyDescent="0.35">
      <c r="A1044" s="1">
        <v>1643</v>
      </c>
      <c r="B1044" t="s">
        <v>829</v>
      </c>
      <c r="C1044" t="s">
        <v>253</v>
      </c>
      <c r="D1044" t="s">
        <v>533</v>
      </c>
      <c r="E1044" s="2">
        <v>6.0475777777777768</v>
      </c>
      <c r="F1044" s="2">
        <v>12.785266130903359</v>
      </c>
      <c r="G1044">
        <v>27</v>
      </c>
      <c r="H1044" t="s">
        <v>58</v>
      </c>
      <c r="M1044" s="2">
        <v>31.61811003958449</v>
      </c>
      <c r="N1044" s="2">
        <v>-19.52295448402894</v>
      </c>
      <c r="O1044" s="2">
        <v>51.141064523613437</v>
      </c>
      <c r="P1044" s="2">
        <v>0.47301148962086392</v>
      </c>
      <c r="R1044" t="str">
        <f t="shared" si="48"/>
        <v>yes</v>
      </c>
      <c r="S1044" t="str">
        <f t="shared" si="49"/>
        <v>no</v>
      </c>
      <c r="T10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4" s="2" t="b">
        <f t="shared" si="50"/>
        <v>1</v>
      </c>
      <c r="V1044" s="2">
        <f>IF(Table4[[#This Row],[linear?]],Table4[[#This Row],[av]],10^(Table4[[#This Row],[av]]/10))</f>
        <v>6.0475777777777768</v>
      </c>
      <c r="W1044" s="2">
        <f>IF(Table4[[#This Row],[linear?]],Table4[[#This Row],[av]],10^(Table4[[#This Row],[av]]/10))</f>
        <v>6.0475777777777768</v>
      </c>
      <c r="X1044" s="2">
        <f>Table4[[#This Row],[av_lin]]-2*Table4[[#This Row],[std_lin]]</f>
        <v>-6.0475777777777768</v>
      </c>
      <c r="Y1044" s="2">
        <f>Table4[[#This Row],[av_lin]]+2*Table4[[#This Row],[std_lin]]</f>
        <v>18.142733333333332</v>
      </c>
    </row>
    <row r="1045" spans="1:25" x14ac:dyDescent="0.35">
      <c r="A1045" s="1">
        <v>1644</v>
      </c>
      <c r="B1045" t="s">
        <v>829</v>
      </c>
      <c r="C1045" t="s">
        <v>253</v>
      </c>
      <c r="D1045" t="s">
        <v>534</v>
      </c>
      <c r="E1045" s="2">
        <v>32.000933333333329</v>
      </c>
      <c r="F1045" s="2">
        <v>67.216216624782092</v>
      </c>
      <c r="G1045">
        <v>27</v>
      </c>
      <c r="H1045" t="s">
        <v>58</v>
      </c>
      <c r="M1045" s="2">
        <v>166.43336658289749</v>
      </c>
      <c r="N1045" s="2">
        <v>-102.43149991623081</v>
      </c>
      <c r="O1045" s="2">
        <v>268.86486649912842</v>
      </c>
      <c r="P1045" s="2">
        <v>0.47608947572831462</v>
      </c>
      <c r="R1045" t="str">
        <f t="shared" si="48"/>
        <v>yes</v>
      </c>
      <c r="S1045" t="str">
        <f t="shared" si="49"/>
        <v>no</v>
      </c>
      <c r="T10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5" s="2" t="b">
        <f t="shared" si="50"/>
        <v>0</v>
      </c>
      <c r="V1045" s="2">
        <f>IF(Table4[[#This Row],[linear?]],Table4[[#This Row],[av]],10^(Table4[[#This Row],[av]]/10))</f>
        <v>1585.2338351975186</v>
      </c>
      <c r="W1045" s="2">
        <f>IF(Table4[[#This Row],[linear?]],Table4[[#This Row],[av]],10^(Table4[[#This Row],[av]]/10))</f>
        <v>1585.2338351975186</v>
      </c>
      <c r="X1045" s="2">
        <f>Table4[[#This Row],[av_lin]]-2*Table4[[#This Row],[std_lin]]</f>
        <v>-1585.2338351975186</v>
      </c>
      <c r="Y1045" s="2">
        <f>Table4[[#This Row],[av_lin]]+2*Table4[[#This Row],[std_lin]]</f>
        <v>4755.7015055925558</v>
      </c>
    </row>
    <row r="1046" spans="1:25" x14ac:dyDescent="0.35">
      <c r="A1046" s="1">
        <v>1645</v>
      </c>
      <c r="B1046" t="s">
        <v>829</v>
      </c>
      <c r="C1046" t="s">
        <v>253</v>
      </c>
      <c r="D1046" t="s">
        <v>535</v>
      </c>
      <c r="E1046" s="2">
        <v>0</v>
      </c>
      <c r="F1046" s="2">
        <v>0</v>
      </c>
      <c r="G1046">
        <v>27</v>
      </c>
      <c r="H1046" t="s">
        <v>58</v>
      </c>
      <c r="M1046" s="2">
        <v>0</v>
      </c>
      <c r="N1046" s="2">
        <v>0</v>
      </c>
      <c r="O1046" s="2">
        <v>0</v>
      </c>
      <c r="R1046" t="str">
        <f t="shared" si="48"/>
        <v>yes</v>
      </c>
      <c r="S1046" t="str">
        <f t="shared" si="49"/>
        <v>no</v>
      </c>
      <c r="T10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6" s="2" t="b">
        <f t="shared" si="50"/>
        <v>0</v>
      </c>
      <c r="V1046" s="2">
        <f>IF(Table4[[#This Row],[linear?]],Table4[[#This Row],[av]],10^(Table4[[#This Row],[av]]/10))</f>
        <v>1</v>
      </c>
      <c r="W1046" s="2">
        <f>IF(Table4[[#This Row],[linear?]],Table4[[#This Row],[av]],10^(Table4[[#This Row],[av]]/10))</f>
        <v>1</v>
      </c>
      <c r="X1046" s="2">
        <f>Table4[[#This Row],[av_lin]]-2*Table4[[#This Row],[std_lin]]</f>
        <v>-1</v>
      </c>
      <c r="Y1046" s="2">
        <f>Table4[[#This Row],[av_lin]]+2*Table4[[#This Row],[std_lin]]</f>
        <v>3</v>
      </c>
    </row>
    <row r="1047" spans="1:25" x14ac:dyDescent="0.35">
      <c r="A1047" s="1">
        <v>1646</v>
      </c>
      <c r="B1047" t="s">
        <v>829</v>
      </c>
      <c r="C1047" t="s">
        <v>253</v>
      </c>
      <c r="D1047" t="s">
        <v>536</v>
      </c>
      <c r="E1047" s="2">
        <v>0</v>
      </c>
      <c r="F1047" s="2">
        <v>0</v>
      </c>
      <c r="G1047">
        <v>27</v>
      </c>
      <c r="H1047" t="s">
        <v>58</v>
      </c>
      <c r="M1047" s="2">
        <v>0</v>
      </c>
      <c r="N1047" s="2">
        <v>0</v>
      </c>
      <c r="O1047" s="2">
        <v>0</v>
      </c>
      <c r="R1047" t="str">
        <f t="shared" si="48"/>
        <v>yes</v>
      </c>
      <c r="S1047" t="str">
        <f t="shared" si="49"/>
        <v>no</v>
      </c>
      <c r="T10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7" s="2" t="b">
        <f t="shared" si="50"/>
        <v>0</v>
      </c>
      <c r="V1047" s="2">
        <f>IF(Table4[[#This Row],[linear?]],Table4[[#This Row],[av]],10^(Table4[[#This Row],[av]]/10))</f>
        <v>1</v>
      </c>
      <c r="W1047" s="2">
        <f>IF(Table4[[#This Row],[linear?]],Table4[[#This Row],[av]],10^(Table4[[#This Row],[av]]/10))</f>
        <v>1</v>
      </c>
      <c r="X1047" s="2">
        <f>Table4[[#This Row],[av_lin]]-2*Table4[[#This Row],[std_lin]]</f>
        <v>-1</v>
      </c>
      <c r="Y1047" s="2">
        <f>Table4[[#This Row],[av_lin]]+2*Table4[[#This Row],[std_lin]]</f>
        <v>3</v>
      </c>
    </row>
    <row r="1048" spans="1:25" x14ac:dyDescent="0.35">
      <c r="A1048" s="1">
        <v>1647</v>
      </c>
      <c r="B1048" t="s">
        <v>829</v>
      </c>
      <c r="C1048" t="s">
        <v>253</v>
      </c>
      <c r="D1048" t="s">
        <v>537</v>
      </c>
      <c r="E1048" s="2">
        <v>5.6039037037037032</v>
      </c>
      <c r="F1048" s="2">
        <v>11.84162933400891</v>
      </c>
      <c r="G1048">
        <v>27</v>
      </c>
      <c r="H1048" t="s">
        <v>58</v>
      </c>
      <c r="M1048" s="2">
        <v>29.287162371721529</v>
      </c>
      <c r="N1048" s="2">
        <v>-18.07935496431412</v>
      </c>
      <c r="O1048" s="2">
        <v>47.366517336035642</v>
      </c>
      <c r="P1048" s="2">
        <v>0.47323755419445612</v>
      </c>
      <c r="R1048" t="str">
        <f t="shared" si="48"/>
        <v>yes</v>
      </c>
      <c r="S1048" t="str">
        <f t="shared" si="49"/>
        <v>no</v>
      </c>
      <c r="T10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8" s="2" t="b">
        <f t="shared" si="50"/>
        <v>1</v>
      </c>
      <c r="V1048" s="2">
        <f>IF(Table4[[#This Row],[linear?]],Table4[[#This Row],[av]],10^(Table4[[#This Row],[av]]/10))</f>
        <v>5.6039037037037032</v>
      </c>
      <c r="W1048" s="2">
        <f>IF(Table4[[#This Row],[linear?]],Table4[[#This Row],[av]],10^(Table4[[#This Row],[av]]/10))</f>
        <v>5.6039037037037032</v>
      </c>
      <c r="X1048" s="2">
        <f>Table4[[#This Row],[av_lin]]-2*Table4[[#This Row],[std_lin]]</f>
        <v>-5.6039037037037032</v>
      </c>
      <c r="Y1048" s="2">
        <f>Table4[[#This Row],[av_lin]]+2*Table4[[#This Row],[std_lin]]</f>
        <v>16.811711111111109</v>
      </c>
    </row>
    <row r="1049" spans="1:25" x14ac:dyDescent="0.35">
      <c r="A1049" s="1">
        <v>1648</v>
      </c>
      <c r="B1049" t="s">
        <v>829</v>
      </c>
      <c r="C1049" t="s">
        <v>253</v>
      </c>
      <c r="D1049" t="s">
        <v>538</v>
      </c>
      <c r="E1049" s="2">
        <v>24.256166666666669</v>
      </c>
      <c r="F1049" s="2">
        <v>56.157718622894087</v>
      </c>
      <c r="G1049">
        <v>27</v>
      </c>
      <c r="H1049" t="s">
        <v>58</v>
      </c>
      <c r="M1049" s="2">
        <v>136.5716039124548</v>
      </c>
      <c r="N1049" s="2">
        <v>-88.059270579121502</v>
      </c>
      <c r="O1049" s="2">
        <v>224.63087449157629</v>
      </c>
      <c r="P1049" s="2">
        <v>0.43192934580462178</v>
      </c>
      <c r="R1049" t="str">
        <f t="shared" si="48"/>
        <v>yes</v>
      </c>
      <c r="S1049" t="str">
        <f t="shared" si="49"/>
        <v>no</v>
      </c>
      <c r="T10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9" s="2" t="b">
        <f t="shared" si="50"/>
        <v>0</v>
      </c>
      <c r="V1049" s="2">
        <f>IF(Table4[[#This Row],[linear?]],Table4[[#This Row],[av]],10^(Table4[[#This Row],[av]]/10))</f>
        <v>266.45057799510016</v>
      </c>
      <c r="W1049" s="2">
        <f>IF(Table4[[#This Row],[linear?]],Table4[[#This Row],[av]],10^(Table4[[#This Row],[av]]/10))</f>
        <v>266.45057799510016</v>
      </c>
      <c r="X1049" s="2">
        <f>Table4[[#This Row],[av_lin]]-2*Table4[[#This Row],[std_lin]]</f>
        <v>-266.45057799510016</v>
      </c>
      <c r="Y1049" s="2">
        <f>Table4[[#This Row],[av_lin]]+2*Table4[[#This Row],[std_lin]]</f>
        <v>799.35173398530048</v>
      </c>
    </row>
    <row r="1050" spans="1:25" x14ac:dyDescent="0.35">
      <c r="A1050" s="1">
        <v>1649</v>
      </c>
      <c r="B1050" t="s">
        <v>829</v>
      </c>
      <c r="C1050" t="s">
        <v>253</v>
      </c>
      <c r="D1050" t="s">
        <v>539</v>
      </c>
      <c r="E1050" s="2">
        <v>0</v>
      </c>
      <c r="F1050" s="2">
        <v>0</v>
      </c>
      <c r="G1050">
        <v>27</v>
      </c>
      <c r="H1050" t="s">
        <v>58</v>
      </c>
      <c r="M1050" s="2">
        <v>0</v>
      </c>
      <c r="N1050" s="2">
        <v>0</v>
      </c>
      <c r="O1050" s="2">
        <v>0</v>
      </c>
      <c r="R1050" t="str">
        <f t="shared" si="48"/>
        <v>yes</v>
      </c>
      <c r="S1050" t="str">
        <f t="shared" si="49"/>
        <v>no</v>
      </c>
      <c r="T10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0" s="2" t="b">
        <f t="shared" si="50"/>
        <v>0</v>
      </c>
      <c r="V1050" s="2">
        <f>IF(Table4[[#This Row],[linear?]],Table4[[#This Row],[av]],10^(Table4[[#This Row],[av]]/10))</f>
        <v>1</v>
      </c>
      <c r="W1050" s="2">
        <f>IF(Table4[[#This Row],[linear?]],Table4[[#This Row],[av]],10^(Table4[[#This Row],[av]]/10))</f>
        <v>1</v>
      </c>
      <c r="X1050" s="2">
        <f>Table4[[#This Row],[av_lin]]-2*Table4[[#This Row],[std_lin]]</f>
        <v>-1</v>
      </c>
      <c r="Y1050" s="2">
        <f>Table4[[#This Row],[av_lin]]+2*Table4[[#This Row],[std_lin]]</f>
        <v>3</v>
      </c>
    </row>
    <row r="1051" spans="1:25" x14ac:dyDescent="0.35">
      <c r="A1051" s="1">
        <v>1650</v>
      </c>
      <c r="B1051" t="s">
        <v>829</v>
      </c>
      <c r="C1051" t="s">
        <v>253</v>
      </c>
      <c r="D1051" t="s">
        <v>540</v>
      </c>
      <c r="E1051" s="2">
        <v>0</v>
      </c>
      <c r="F1051" s="2">
        <v>0</v>
      </c>
      <c r="G1051">
        <v>27</v>
      </c>
      <c r="H1051" t="s">
        <v>58</v>
      </c>
      <c r="M1051" s="2">
        <v>0</v>
      </c>
      <c r="N1051" s="2">
        <v>0</v>
      </c>
      <c r="O1051" s="2">
        <v>0</v>
      </c>
      <c r="R1051" t="str">
        <f t="shared" si="48"/>
        <v>yes</v>
      </c>
      <c r="S1051" t="str">
        <f t="shared" si="49"/>
        <v>no</v>
      </c>
      <c r="T10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1" s="2" t="b">
        <f t="shared" si="50"/>
        <v>0</v>
      </c>
      <c r="V1051" s="2">
        <f>IF(Table4[[#This Row],[linear?]],Table4[[#This Row],[av]],10^(Table4[[#This Row],[av]]/10))</f>
        <v>1</v>
      </c>
      <c r="W1051" s="2">
        <f>IF(Table4[[#This Row],[linear?]],Table4[[#This Row],[av]],10^(Table4[[#This Row],[av]]/10))</f>
        <v>1</v>
      </c>
      <c r="X1051" s="2">
        <f>Table4[[#This Row],[av_lin]]-2*Table4[[#This Row],[std_lin]]</f>
        <v>-1</v>
      </c>
      <c r="Y1051" s="2">
        <f>Table4[[#This Row],[av_lin]]+2*Table4[[#This Row],[std_lin]]</f>
        <v>3</v>
      </c>
    </row>
    <row r="1052" spans="1:25" x14ac:dyDescent="0.35">
      <c r="A1052" s="1">
        <v>1651</v>
      </c>
      <c r="B1052" t="s">
        <v>829</v>
      </c>
      <c r="C1052" t="s">
        <v>253</v>
      </c>
      <c r="D1052" t="s">
        <v>541</v>
      </c>
      <c r="E1052" s="2">
        <v>7.2188888888888876</v>
      </c>
      <c r="F1052" s="2">
        <v>15.17478169550299</v>
      </c>
      <c r="G1052">
        <v>27</v>
      </c>
      <c r="H1052" t="s">
        <v>58</v>
      </c>
      <c r="M1052" s="2">
        <v>37.568452279894871</v>
      </c>
      <c r="N1052" s="2">
        <v>-23.130674502117088</v>
      </c>
      <c r="O1052" s="2">
        <v>60.699126782011959</v>
      </c>
      <c r="P1052" s="2">
        <v>0.47571616078194973</v>
      </c>
      <c r="R1052" t="str">
        <f t="shared" si="48"/>
        <v>yes</v>
      </c>
      <c r="S1052" t="str">
        <f t="shared" si="49"/>
        <v>no</v>
      </c>
      <c r="T10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2" s="2" t="b">
        <f t="shared" si="50"/>
        <v>1</v>
      </c>
      <c r="V1052" s="2">
        <f>IF(Table4[[#This Row],[linear?]],Table4[[#This Row],[av]],10^(Table4[[#This Row],[av]]/10))</f>
        <v>7.2188888888888876</v>
      </c>
      <c r="W1052" s="2">
        <f>IF(Table4[[#This Row],[linear?]],Table4[[#This Row],[av]],10^(Table4[[#This Row],[av]]/10))</f>
        <v>7.2188888888888876</v>
      </c>
      <c r="X1052" s="2">
        <f>Table4[[#This Row],[av_lin]]-2*Table4[[#This Row],[std_lin]]</f>
        <v>-7.2188888888888876</v>
      </c>
      <c r="Y1052" s="2">
        <f>Table4[[#This Row],[av_lin]]+2*Table4[[#This Row],[std_lin]]</f>
        <v>21.656666666666663</v>
      </c>
    </row>
    <row r="1053" spans="1:25" x14ac:dyDescent="0.35">
      <c r="A1053" s="1">
        <v>1653</v>
      </c>
      <c r="B1053" t="s">
        <v>829</v>
      </c>
      <c r="C1053" t="s">
        <v>542</v>
      </c>
      <c r="D1053" t="s">
        <v>544</v>
      </c>
      <c r="E1053" s="2">
        <v>2</v>
      </c>
      <c r="F1053" s="2">
        <v>0</v>
      </c>
      <c r="G1053">
        <v>27</v>
      </c>
      <c r="H1053" t="s">
        <v>58</v>
      </c>
      <c r="M1053" s="2">
        <v>2</v>
      </c>
      <c r="N1053" s="2">
        <v>2</v>
      </c>
      <c r="O1053" s="2">
        <v>0</v>
      </c>
      <c r="P1053" s="2" t="s">
        <v>21</v>
      </c>
      <c r="R1053" t="str">
        <f t="shared" si="48"/>
        <v>yes</v>
      </c>
      <c r="S1053" t="str">
        <f t="shared" si="49"/>
        <v>no</v>
      </c>
      <c r="T10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3" s="2" t="b">
        <f t="shared" si="50"/>
        <v>1</v>
      </c>
      <c r="V1053" s="2">
        <f>IF(Table4[[#This Row],[linear?]],Table4[[#This Row],[av]],10^(Table4[[#This Row],[av]]/10))</f>
        <v>2</v>
      </c>
      <c r="W1053" s="2">
        <f>IF(Table4[[#This Row],[linear?]],Table4[[#This Row],[av]],10^(Table4[[#This Row],[av]]/10))</f>
        <v>2</v>
      </c>
      <c r="X1053" s="2">
        <f>Table4[[#This Row],[av_lin]]-2*Table4[[#This Row],[std_lin]]</f>
        <v>-2</v>
      </c>
      <c r="Y1053" s="2">
        <f>Table4[[#This Row],[av_lin]]+2*Table4[[#This Row],[std_lin]]</f>
        <v>6</v>
      </c>
    </row>
    <row r="1054" spans="1:25" x14ac:dyDescent="0.35">
      <c r="A1054" s="1">
        <v>1655</v>
      </c>
      <c r="B1054" t="s">
        <v>829</v>
      </c>
      <c r="C1054" t="s">
        <v>542</v>
      </c>
      <c r="D1054" t="s">
        <v>546</v>
      </c>
      <c r="E1054" s="2">
        <v>1</v>
      </c>
      <c r="F1054" s="2">
        <v>0</v>
      </c>
      <c r="G1054">
        <v>27</v>
      </c>
      <c r="H1054" t="s">
        <v>58</v>
      </c>
      <c r="M1054" s="2">
        <v>1</v>
      </c>
      <c r="N1054" s="2">
        <v>1</v>
      </c>
      <c r="O1054" s="2">
        <v>0</v>
      </c>
      <c r="P1054" s="2" t="s">
        <v>21</v>
      </c>
      <c r="R1054" t="str">
        <f t="shared" si="48"/>
        <v>yes</v>
      </c>
      <c r="S1054" t="str">
        <f t="shared" si="49"/>
        <v>no</v>
      </c>
      <c r="T10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4" s="2" t="b">
        <f t="shared" si="50"/>
        <v>1</v>
      </c>
      <c r="V1054" s="2">
        <f>IF(Table4[[#This Row],[linear?]],Table4[[#This Row],[av]],10^(Table4[[#This Row],[av]]/10))</f>
        <v>1</v>
      </c>
      <c r="W1054" s="2">
        <f>IF(Table4[[#This Row],[linear?]],Table4[[#This Row],[av]],10^(Table4[[#This Row],[av]]/10))</f>
        <v>1</v>
      </c>
      <c r="X1054" s="2">
        <f>Table4[[#This Row],[av_lin]]-2*Table4[[#This Row],[std_lin]]</f>
        <v>-1</v>
      </c>
      <c r="Y1054" s="2">
        <f>Table4[[#This Row],[av_lin]]+2*Table4[[#This Row],[std_lin]]</f>
        <v>3</v>
      </c>
    </row>
    <row r="1055" spans="1:25" x14ac:dyDescent="0.35">
      <c r="A1055" s="1">
        <v>1658</v>
      </c>
      <c r="B1055" t="s">
        <v>829</v>
      </c>
      <c r="C1055" t="s">
        <v>549</v>
      </c>
      <c r="D1055" t="s">
        <v>550</v>
      </c>
      <c r="E1055" s="2">
        <v>4.6775308641975304E-3</v>
      </c>
      <c r="F1055" s="2">
        <v>1.3966631255037359E-3</v>
      </c>
      <c r="G1055">
        <v>27</v>
      </c>
      <c r="H1055" t="s">
        <v>58</v>
      </c>
      <c r="M1055" s="2">
        <v>7.4708571152050027E-3</v>
      </c>
      <c r="N1055" s="2">
        <v>1.8842046131900591E-3</v>
      </c>
      <c r="O1055" s="2">
        <v>5.5866525020149436E-3</v>
      </c>
      <c r="P1055" s="2">
        <v>3.3490759359100859</v>
      </c>
      <c r="R1055" t="str">
        <f t="shared" si="48"/>
        <v>yes</v>
      </c>
      <c r="S1055" t="str">
        <f t="shared" si="49"/>
        <v>no</v>
      </c>
      <c r="T10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5" s="2" t="b">
        <f t="shared" si="50"/>
        <v>1</v>
      </c>
      <c r="V1055" s="2">
        <f>IF(Table4[[#This Row],[linear?]],Table4[[#This Row],[av]],10^(Table4[[#This Row],[av]]/10))</f>
        <v>4.6775308641975304E-3</v>
      </c>
      <c r="W1055" s="2">
        <f>IF(Table4[[#This Row],[linear?]],Table4[[#This Row],[av]],10^(Table4[[#This Row],[av]]/10))</f>
        <v>4.6775308641975304E-3</v>
      </c>
      <c r="X1055" s="2">
        <f>Table4[[#This Row],[av_lin]]-2*Table4[[#This Row],[std_lin]]</f>
        <v>-4.6775308641975304E-3</v>
      </c>
      <c r="Y1055" s="2">
        <f>Table4[[#This Row],[av_lin]]+2*Table4[[#This Row],[std_lin]]</f>
        <v>1.4032592592592591E-2</v>
      </c>
    </row>
    <row r="1056" spans="1:25" x14ac:dyDescent="0.35">
      <c r="A1056" s="1">
        <v>1660</v>
      </c>
      <c r="B1056" t="s">
        <v>829</v>
      </c>
      <c r="C1056" t="s">
        <v>549</v>
      </c>
      <c r="D1056" t="s">
        <v>552</v>
      </c>
      <c r="E1056" s="2">
        <v>1.8481481481481489E-3</v>
      </c>
      <c r="F1056" s="2">
        <v>1.27750025110093E-3</v>
      </c>
      <c r="G1056">
        <v>27</v>
      </c>
      <c r="H1056" t="s">
        <v>58</v>
      </c>
      <c r="M1056" s="2">
        <v>4.403148650350009E-3</v>
      </c>
      <c r="N1056" s="2">
        <v>-7.0685235405371105E-4</v>
      </c>
      <c r="O1056" s="2">
        <v>5.1100010044037199E-3</v>
      </c>
      <c r="P1056" s="2">
        <v>1.446691025348483</v>
      </c>
      <c r="R1056" t="str">
        <f t="shared" si="48"/>
        <v>yes</v>
      </c>
      <c r="S1056" t="str">
        <f t="shared" si="49"/>
        <v>no</v>
      </c>
      <c r="T10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6" s="2" t="b">
        <f t="shared" si="50"/>
        <v>1</v>
      </c>
      <c r="V1056" s="2">
        <f>IF(Table4[[#This Row],[linear?]],Table4[[#This Row],[av]],10^(Table4[[#This Row],[av]]/10))</f>
        <v>1.8481481481481489E-3</v>
      </c>
      <c r="W1056" s="2">
        <f>IF(Table4[[#This Row],[linear?]],Table4[[#This Row],[av]],10^(Table4[[#This Row],[av]]/10))</f>
        <v>1.8481481481481489E-3</v>
      </c>
      <c r="X1056" s="2">
        <f>Table4[[#This Row],[av_lin]]-2*Table4[[#This Row],[std_lin]]</f>
        <v>-1.8481481481481489E-3</v>
      </c>
      <c r="Y1056" s="2">
        <f>Table4[[#This Row],[av_lin]]+2*Table4[[#This Row],[std_lin]]</f>
        <v>5.5444444444444465E-3</v>
      </c>
    </row>
    <row r="1057" spans="1:25" x14ac:dyDescent="0.35">
      <c r="A1057" s="1">
        <v>1662</v>
      </c>
      <c r="B1057" t="s">
        <v>829</v>
      </c>
      <c r="C1057" t="s">
        <v>549</v>
      </c>
      <c r="D1057" t="s">
        <v>554</v>
      </c>
      <c r="E1057" s="2">
        <v>2.1720370370370369E-2</v>
      </c>
      <c r="F1057" s="2">
        <v>3.193214390002432E-3</v>
      </c>
      <c r="G1057">
        <v>27</v>
      </c>
      <c r="H1057" t="s">
        <v>58</v>
      </c>
      <c r="M1057" s="2">
        <v>2.8106799150375231E-2</v>
      </c>
      <c r="N1057" s="2">
        <v>1.53339415903655E-2</v>
      </c>
      <c r="O1057" s="2">
        <v>1.277285756000973E-2</v>
      </c>
      <c r="P1057" s="2">
        <v>6.8020394867235412</v>
      </c>
      <c r="R1057" t="str">
        <f t="shared" si="48"/>
        <v>yes</v>
      </c>
      <c r="S1057" t="str">
        <f t="shared" si="49"/>
        <v>no</v>
      </c>
      <c r="T10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7" s="2" t="b">
        <f t="shared" si="50"/>
        <v>1</v>
      </c>
      <c r="V1057" s="2">
        <f>IF(Table4[[#This Row],[linear?]],Table4[[#This Row],[av]],10^(Table4[[#This Row],[av]]/10))</f>
        <v>2.1720370370370369E-2</v>
      </c>
      <c r="W1057" s="2">
        <f>IF(Table4[[#This Row],[linear?]],Table4[[#This Row],[av]],10^(Table4[[#This Row],[av]]/10))</f>
        <v>2.1720370370370369E-2</v>
      </c>
      <c r="X1057" s="2">
        <f>Table4[[#This Row],[av_lin]]-2*Table4[[#This Row],[std_lin]]</f>
        <v>-2.1720370370370369E-2</v>
      </c>
      <c r="Y1057" s="2">
        <f>Table4[[#This Row],[av_lin]]+2*Table4[[#This Row],[std_lin]]</f>
        <v>6.5161111111111114E-2</v>
      </c>
    </row>
    <row r="1058" spans="1:25" x14ac:dyDescent="0.35">
      <c r="A1058" s="1">
        <v>1664</v>
      </c>
      <c r="B1058" t="s">
        <v>829</v>
      </c>
      <c r="C1058" t="s">
        <v>549</v>
      </c>
      <c r="D1058" t="s">
        <v>556</v>
      </c>
      <c r="E1058" s="2">
        <v>4.5845679012345682E-3</v>
      </c>
      <c r="F1058" s="2">
        <v>2.3699709057824368E-3</v>
      </c>
      <c r="G1058">
        <v>27</v>
      </c>
      <c r="H1058" t="s">
        <v>58</v>
      </c>
      <c r="M1058" s="2">
        <v>9.3245097127994427E-3</v>
      </c>
      <c r="N1058" s="2">
        <v>-1.553739103303054E-4</v>
      </c>
      <c r="O1058" s="2">
        <v>9.4798836231297472E-3</v>
      </c>
      <c r="P1058" s="2">
        <v>1.934440583236186</v>
      </c>
      <c r="R1058" t="str">
        <f t="shared" si="48"/>
        <v>yes</v>
      </c>
      <c r="S1058" t="str">
        <f t="shared" si="49"/>
        <v>no</v>
      </c>
      <c r="T10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8" s="2" t="b">
        <f t="shared" si="50"/>
        <v>1</v>
      </c>
      <c r="V1058" s="2">
        <f>IF(Table4[[#This Row],[linear?]],Table4[[#This Row],[av]],10^(Table4[[#This Row],[av]]/10))</f>
        <v>4.5845679012345682E-3</v>
      </c>
      <c r="W1058" s="2">
        <f>IF(Table4[[#This Row],[linear?]],Table4[[#This Row],[av]],10^(Table4[[#This Row],[av]]/10))</f>
        <v>4.5845679012345682E-3</v>
      </c>
      <c r="X1058" s="2">
        <f>Table4[[#This Row],[av_lin]]-2*Table4[[#This Row],[std_lin]]</f>
        <v>-4.5845679012345682E-3</v>
      </c>
      <c r="Y1058" s="2">
        <f>Table4[[#This Row],[av_lin]]+2*Table4[[#This Row],[std_lin]]</f>
        <v>1.3753703703703705E-2</v>
      </c>
    </row>
    <row r="1059" spans="1:25" x14ac:dyDescent="0.35">
      <c r="A1059" s="1">
        <v>1666</v>
      </c>
      <c r="B1059" t="s">
        <v>829</v>
      </c>
      <c r="C1059" t="s">
        <v>549</v>
      </c>
      <c r="D1059" t="s">
        <v>558</v>
      </c>
      <c r="E1059" s="2">
        <v>2.643703703703705E-3</v>
      </c>
      <c r="F1059" s="2">
        <v>1.3299016780139641E-3</v>
      </c>
      <c r="G1059">
        <v>27</v>
      </c>
      <c r="H1059" t="s">
        <v>58</v>
      </c>
      <c r="M1059" s="2">
        <v>5.3035070597316344E-3</v>
      </c>
      <c r="N1059" s="2">
        <v>-1.6099652324223172E-5</v>
      </c>
      <c r="O1059" s="2">
        <v>5.3196067120558563E-3</v>
      </c>
      <c r="P1059" s="2">
        <v>1.9878941033082489</v>
      </c>
      <c r="R1059" t="str">
        <f t="shared" si="48"/>
        <v>yes</v>
      </c>
      <c r="S1059" t="str">
        <f t="shared" si="49"/>
        <v>no</v>
      </c>
      <c r="T10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9" s="2" t="b">
        <f t="shared" si="50"/>
        <v>1</v>
      </c>
      <c r="V1059" s="2">
        <f>IF(Table4[[#This Row],[linear?]],Table4[[#This Row],[av]],10^(Table4[[#This Row],[av]]/10))</f>
        <v>2.643703703703705E-3</v>
      </c>
      <c r="W1059" s="2">
        <f>IF(Table4[[#This Row],[linear?]],Table4[[#This Row],[av]],10^(Table4[[#This Row],[av]]/10))</f>
        <v>2.643703703703705E-3</v>
      </c>
      <c r="X1059" s="2">
        <f>Table4[[#This Row],[av_lin]]-2*Table4[[#This Row],[std_lin]]</f>
        <v>-2.643703703703705E-3</v>
      </c>
      <c r="Y1059" s="2">
        <f>Table4[[#This Row],[av_lin]]+2*Table4[[#This Row],[std_lin]]</f>
        <v>7.9311111111111145E-3</v>
      </c>
    </row>
    <row r="1060" spans="1:25" x14ac:dyDescent="0.35">
      <c r="A1060" s="1">
        <v>1668</v>
      </c>
      <c r="B1060" t="s">
        <v>829</v>
      </c>
      <c r="C1060" t="s">
        <v>549</v>
      </c>
      <c r="D1060" t="s">
        <v>560</v>
      </c>
      <c r="E1060" s="2">
        <v>2.1917654320987651E-2</v>
      </c>
      <c r="F1060" s="2">
        <v>3.9155160672609112E-3</v>
      </c>
      <c r="G1060">
        <v>27</v>
      </c>
      <c r="H1060" t="s">
        <v>58</v>
      </c>
      <c r="M1060" s="2">
        <v>2.974868645550947E-2</v>
      </c>
      <c r="N1060" s="2">
        <v>1.4086622186465831E-2</v>
      </c>
      <c r="O1060" s="2">
        <v>1.5662064269043641E-2</v>
      </c>
      <c r="P1060" s="2">
        <v>5.5976412673285463</v>
      </c>
      <c r="R1060" t="str">
        <f t="shared" si="48"/>
        <v>yes</v>
      </c>
      <c r="S1060" t="str">
        <f t="shared" si="49"/>
        <v>no</v>
      </c>
      <c r="T10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0" s="2" t="b">
        <f t="shared" si="50"/>
        <v>1</v>
      </c>
      <c r="V1060" s="2">
        <f>IF(Table4[[#This Row],[linear?]],Table4[[#This Row],[av]],10^(Table4[[#This Row],[av]]/10))</f>
        <v>2.1917654320987651E-2</v>
      </c>
      <c r="W1060" s="2">
        <f>IF(Table4[[#This Row],[linear?]],Table4[[#This Row],[av]],10^(Table4[[#This Row],[av]]/10))</f>
        <v>2.1917654320987651E-2</v>
      </c>
      <c r="X1060" s="2">
        <f>Table4[[#This Row],[av_lin]]-2*Table4[[#This Row],[std_lin]]</f>
        <v>-2.1917654320987651E-2</v>
      </c>
      <c r="Y1060" s="2">
        <f>Table4[[#This Row],[av_lin]]+2*Table4[[#This Row],[std_lin]]</f>
        <v>6.5752962962962958E-2</v>
      </c>
    </row>
    <row r="1061" spans="1:25" x14ac:dyDescent="0.35">
      <c r="A1061" s="1">
        <v>1670</v>
      </c>
      <c r="B1061" t="s">
        <v>829</v>
      </c>
      <c r="C1061" t="s">
        <v>549</v>
      </c>
      <c r="D1061" t="s">
        <v>562</v>
      </c>
      <c r="E1061" s="2">
        <v>5.8138271604938263E-3</v>
      </c>
      <c r="F1061" s="2">
        <v>3.5205127361423549E-3</v>
      </c>
      <c r="G1061">
        <v>27</v>
      </c>
      <c r="H1061" t="s">
        <v>58</v>
      </c>
      <c r="M1061" s="2">
        <v>1.285485263277854E-2</v>
      </c>
      <c r="N1061" s="2">
        <v>-1.227198311790884E-3</v>
      </c>
      <c r="O1061" s="2">
        <v>1.408205094456942E-2</v>
      </c>
      <c r="P1061" s="2">
        <v>1.6514148921569869</v>
      </c>
      <c r="R1061" t="str">
        <f t="shared" si="48"/>
        <v>yes</v>
      </c>
      <c r="S1061" t="str">
        <f t="shared" si="49"/>
        <v>no</v>
      </c>
      <c r="T10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1" s="2" t="b">
        <f t="shared" si="50"/>
        <v>1</v>
      </c>
      <c r="V1061" s="2">
        <f>IF(Table4[[#This Row],[linear?]],Table4[[#This Row],[av]],10^(Table4[[#This Row],[av]]/10))</f>
        <v>5.8138271604938263E-3</v>
      </c>
      <c r="W1061" s="2">
        <f>IF(Table4[[#This Row],[linear?]],Table4[[#This Row],[av]],10^(Table4[[#This Row],[av]]/10))</f>
        <v>5.8138271604938263E-3</v>
      </c>
      <c r="X1061" s="2">
        <f>Table4[[#This Row],[av_lin]]-2*Table4[[#This Row],[std_lin]]</f>
        <v>-5.8138271604938263E-3</v>
      </c>
      <c r="Y1061" s="2">
        <f>Table4[[#This Row],[av_lin]]+2*Table4[[#This Row],[std_lin]]</f>
        <v>1.7441481481481478E-2</v>
      </c>
    </row>
    <row r="1062" spans="1:25" x14ac:dyDescent="0.35">
      <c r="A1062" s="1">
        <v>1672</v>
      </c>
      <c r="B1062" t="s">
        <v>829</v>
      </c>
      <c r="C1062" t="s">
        <v>549</v>
      </c>
      <c r="D1062" t="s">
        <v>564</v>
      </c>
      <c r="E1062" s="2">
        <v>2.6119753086419769E-3</v>
      </c>
      <c r="F1062" s="2">
        <v>1.6350463303674569E-3</v>
      </c>
      <c r="G1062">
        <v>27</v>
      </c>
      <c r="H1062" t="s">
        <v>58</v>
      </c>
      <c r="M1062" s="2">
        <v>5.8820679693768908E-3</v>
      </c>
      <c r="N1062" s="2">
        <v>-6.58117352092937E-4</v>
      </c>
      <c r="O1062" s="2">
        <v>6.5401853214698278E-3</v>
      </c>
      <c r="P1062" s="2">
        <v>1.5974931475213709</v>
      </c>
      <c r="R1062" t="str">
        <f t="shared" si="48"/>
        <v>yes</v>
      </c>
      <c r="S1062" t="str">
        <f t="shared" si="49"/>
        <v>no</v>
      </c>
      <c r="T10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2" s="2" t="b">
        <f t="shared" si="50"/>
        <v>1</v>
      </c>
      <c r="V1062" s="2">
        <f>IF(Table4[[#This Row],[linear?]],Table4[[#This Row],[av]],10^(Table4[[#This Row],[av]]/10))</f>
        <v>2.6119753086419769E-3</v>
      </c>
      <c r="W1062" s="2">
        <f>IF(Table4[[#This Row],[linear?]],Table4[[#This Row],[av]],10^(Table4[[#This Row],[av]]/10))</f>
        <v>2.6119753086419769E-3</v>
      </c>
      <c r="X1062" s="2">
        <f>Table4[[#This Row],[av_lin]]-2*Table4[[#This Row],[std_lin]]</f>
        <v>-2.6119753086419769E-3</v>
      </c>
      <c r="Y1062" s="2">
        <f>Table4[[#This Row],[av_lin]]+2*Table4[[#This Row],[std_lin]]</f>
        <v>7.8359259259259302E-3</v>
      </c>
    </row>
    <row r="1063" spans="1:25" x14ac:dyDescent="0.35">
      <c r="A1063" s="1">
        <v>1674</v>
      </c>
      <c r="B1063" t="s">
        <v>829</v>
      </c>
      <c r="C1063" t="s">
        <v>549</v>
      </c>
      <c r="D1063" t="s">
        <v>566</v>
      </c>
      <c r="E1063" s="2">
        <v>2.2630123456790129E-2</v>
      </c>
      <c r="F1063" s="2">
        <v>3.513420596591421E-3</v>
      </c>
      <c r="G1063">
        <v>27</v>
      </c>
      <c r="H1063" t="s">
        <v>58</v>
      </c>
      <c r="M1063" s="2">
        <v>2.9656964649972969E-2</v>
      </c>
      <c r="N1063" s="2">
        <v>1.560328226360729E-2</v>
      </c>
      <c r="O1063" s="2">
        <v>1.4053682386365691E-2</v>
      </c>
      <c r="P1063" s="2">
        <v>6.4410516289296416</v>
      </c>
      <c r="R1063" t="str">
        <f t="shared" si="48"/>
        <v>yes</v>
      </c>
      <c r="S1063" t="str">
        <f t="shared" si="49"/>
        <v>no</v>
      </c>
      <c r="T10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3" s="2" t="b">
        <f t="shared" si="50"/>
        <v>1</v>
      </c>
      <c r="V1063" s="2">
        <f>IF(Table4[[#This Row],[linear?]],Table4[[#This Row],[av]],10^(Table4[[#This Row],[av]]/10))</f>
        <v>2.2630123456790129E-2</v>
      </c>
      <c r="W1063" s="2">
        <f>IF(Table4[[#This Row],[linear?]],Table4[[#This Row],[av]],10^(Table4[[#This Row],[av]]/10))</f>
        <v>2.2630123456790129E-2</v>
      </c>
      <c r="X1063" s="2">
        <f>Table4[[#This Row],[av_lin]]-2*Table4[[#This Row],[std_lin]]</f>
        <v>-2.2630123456790129E-2</v>
      </c>
      <c r="Y1063" s="2">
        <f>Table4[[#This Row],[av_lin]]+2*Table4[[#This Row],[std_lin]]</f>
        <v>6.7890370370370379E-2</v>
      </c>
    </row>
    <row r="1064" spans="1:25" x14ac:dyDescent="0.35">
      <c r="A1064" s="1">
        <v>1677</v>
      </c>
      <c r="B1064" t="s">
        <v>829</v>
      </c>
      <c r="C1064" t="s">
        <v>549</v>
      </c>
      <c r="D1064" t="s">
        <v>569</v>
      </c>
      <c r="E1064" s="2">
        <v>3.2916172839506173E-2</v>
      </c>
      <c r="F1064" s="2">
        <v>7.9352712462982516E-3</v>
      </c>
      <c r="G1064">
        <v>27</v>
      </c>
      <c r="H1064" t="s">
        <v>58</v>
      </c>
      <c r="M1064" s="2">
        <v>4.8786715332102673E-2</v>
      </c>
      <c r="N1064" s="2">
        <v>1.704563034690967E-2</v>
      </c>
      <c r="O1064" s="2">
        <v>3.1741084985192999E-2</v>
      </c>
      <c r="P1064" s="2">
        <v>4.1480841445541436</v>
      </c>
      <c r="R1064" t="str">
        <f t="shared" si="48"/>
        <v>yes</v>
      </c>
      <c r="S1064" t="str">
        <f t="shared" si="49"/>
        <v>no</v>
      </c>
      <c r="T10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4" s="2" t="b">
        <f t="shared" si="50"/>
        <v>1</v>
      </c>
      <c r="V1064" s="2">
        <f>IF(Table4[[#This Row],[linear?]],Table4[[#This Row],[av]],10^(Table4[[#This Row],[av]]/10))</f>
        <v>3.2916172839506173E-2</v>
      </c>
      <c r="W1064" s="2">
        <f>IF(Table4[[#This Row],[linear?]],Table4[[#This Row],[av]],10^(Table4[[#This Row],[av]]/10))</f>
        <v>3.2916172839506173E-2</v>
      </c>
      <c r="X1064" s="2">
        <f>Table4[[#This Row],[av_lin]]-2*Table4[[#This Row],[std_lin]]</f>
        <v>-3.2916172839506173E-2</v>
      </c>
      <c r="Y1064" s="2">
        <f>Table4[[#This Row],[av_lin]]+2*Table4[[#This Row],[std_lin]]</f>
        <v>9.8748518518518513E-2</v>
      </c>
    </row>
    <row r="1065" spans="1:25" x14ac:dyDescent="0.35">
      <c r="A1065" s="1">
        <v>1678</v>
      </c>
      <c r="B1065" t="s">
        <v>829</v>
      </c>
      <c r="C1065" t="s">
        <v>549</v>
      </c>
      <c r="D1065" t="s">
        <v>570</v>
      </c>
      <c r="E1065" s="2">
        <v>3.5999506172839507E-2</v>
      </c>
      <c r="F1065" s="2">
        <v>1.0422607635500351E-2</v>
      </c>
      <c r="G1065">
        <v>27</v>
      </c>
      <c r="H1065" t="s">
        <v>58</v>
      </c>
      <c r="M1065" s="2">
        <v>5.6844721443840208E-2</v>
      </c>
      <c r="N1065" s="2">
        <v>1.5154290901838809E-2</v>
      </c>
      <c r="O1065" s="2">
        <v>4.1690430542001403E-2</v>
      </c>
      <c r="P1065" s="2">
        <v>3.4539826722654232</v>
      </c>
      <c r="R1065" t="str">
        <f t="shared" si="48"/>
        <v>yes</v>
      </c>
      <c r="S1065" t="str">
        <f t="shared" si="49"/>
        <v>no</v>
      </c>
      <c r="T10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5" s="2" t="b">
        <f t="shared" si="50"/>
        <v>1</v>
      </c>
      <c r="V1065" s="2">
        <f>IF(Table4[[#This Row],[linear?]],Table4[[#This Row],[av]],10^(Table4[[#This Row],[av]]/10))</f>
        <v>3.5999506172839507E-2</v>
      </c>
      <c r="W1065" s="2">
        <f>IF(Table4[[#This Row],[linear?]],Table4[[#This Row],[av]],10^(Table4[[#This Row],[av]]/10))</f>
        <v>3.5999506172839507E-2</v>
      </c>
      <c r="X1065" s="2">
        <f>Table4[[#This Row],[av_lin]]-2*Table4[[#This Row],[std_lin]]</f>
        <v>-3.5999506172839507E-2</v>
      </c>
      <c r="Y1065" s="2">
        <f>Table4[[#This Row],[av_lin]]+2*Table4[[#This Row],[std_lin]]</f>
        <v>0.10799851851851852</v>
      </c>
    </row>
    <row r="1066" spans="1:25" x14ac:dyDescent="0.35">
      <c r="A1066" s="1">
        <v>1679</v>
      </c>
      <c r="B1066" t="s">
        <v>829</v>
      </c>
      <c r="C1066" t="s">
        <v>549</v>
      </c>
      <c r="D1066" t="s">
        <v>571</v>
      </c>
      <c r="E1066" s="2">
        <v>3.3334691358024693E-2</v>
      </c>
      <c r="F1066" s="2">
        <v>9.0997187580994267E-3</v>
      </c>
      <c r="G1066">
        <v>27</v>
      </c>
      <c r="H1066" t="s">
        <v>58</v>
      </c>
      <c r="M1066" s="2">
        <v>5.1534128874223553E-2</v>
      </c>
      <c r="N1066" s="2">
        <v>1.5135253841825839E-2</v>
      </c>
      <c r="O1066" s="2">
        <v>3.6398875032397707E-2</v>
      </c>
      <c r="P1066" s="2">
        <v>3.6632661123020238</v>
      </c>
      <c r="R1066" t="str">
        <f t="shared" si="48"/>
        <v>yes</v>
      </c>
      <c r="S1066" t="str">
        <f t="shared" si="49"/>
        <v>no</v>
      </c>
      <c r="T10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6" s="2" t="b">
        <f t="shared" si="50"/>
        <v>1</v>
      </c>
      <c r="V1066" s="2">
        <f>IF(Table4[[#This Row],[linear?]],Table4[[#This Row],[av]],10^(Table4[[#This Row],[av]]/10))</f>
        <v>3.3334691358024693E-2</v>
      </c>
      <c r="W1066" s="2">
        <f>IF(Table4[[#This Row],[linear?]],Table4[[#This Row],[av]],10^(Table4[[#This Row],[av]]/10))</f>
        <v>3.3334691358024693E-2</v>
      </c>
      <c r="X1066" s="2">
        <f>Table4[[#This Row],[av_lin]]-2*Table4[[#This Row],[std_lin]]</f>
        <v>-3.3334691358024693E-2</v>
      </c>
      <c r="Y1066" s="2">
        <f>Table4[[#This Row],[av_lin]]+2*Table4[[#This Row],[std_lin]]</f>
        <v>0.10000407407407408</v>
      </c>
    </row>
    <row r="1067" spans="1:25" x14ac:dyDescent="0.35">
      <c r="A1067" s="1">
        <v>1680</v>
      </c>
      <c r="B1067" t="s">
        <v>829</v>
      </c>
      <c r="C1067" t="s">
        <v>549</v>
      </c>
      <c r="D1067" t="s">
        <v>572</v>
      </c>
      <c r="E1067" s="2">
        <v>7.6275308641975306E-2</v>
      </c>
      <c r="F1067" s="2">
        <v>8.0004822248534169E-3</v>
      </c>
      <c r="G1067">
        <v>27</v>
      </c>
      <c r="H1067" t="s">
        <v>58</v>
      </c>
      <c r="M1067" s="2">
        <v>9.227627309168214E-2</v>
      </c>
      <c r="N1067" s="2">
        <v>6.0274344192268473E-2</v>
      </c>
      <c r="O1067" s="2">
        <v>3.2001928899413667E-2</v>
      </c>
      <c r="P1067" s="2">
        <v>9.5338388984887477</v>
      </c>
      <c r="R1067" t="str">
        <f t="shared" si="48"/>
        <v>yes</v>
      </c>
      <c r="S1067" t="str">
        <f t="shared" si="49"/>
        <v>no</v>
      </c>
      <c r="T10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7" s="2" t="b">
        <f t="shared" si="50"/>
        <v>1</v>
      </c>
      <c r="V1067" s="2">
        <f>IF(Table4[[#This Row],[linear?]],Table4[[#This Row],[av]],10^(Table4[[#This Row],[av]]/10))</f>
        <v>7.6275308641975306E-2</v>
      </c>
      <c r="W1067" s="2">
        <f>IF(Table4[[#This Row],[linear?]],Table4[[#This Row],[av]],10^(Table4[[#This Row],[av]]/10))</f>
        <v>7.6275308641975306E-2</v>
      </c>
      <c r="X1067" s="2">
        <f>Table4[[#This Row],[av_lin]]-2*Table4[[#This Row],[std_lin]]</f>
        <v>-7.6275308641975306E-2</v>
      </c>
      <c r="Y1067" s="2">
        <f>Table4[[#This Row],[av_lin]]+2*Table4[[#This Row],[std_lin]]</f>
        <v>0.22882592592592593</v>
      </c>
    </row>
    <row r="1068" spans="1:25" x14ac:dyDescent="0.35">
      <c r="A1068" s="1">
        <v>1682</v>
      </c>
      <c r="B1068" t="s">
        <v>829</v>
      </c>
      <c r="C1068" t="s">
        <v>549</v>
      </c>
      <c r="D1068" t="s">
        <v>574</v>
      </c>
      <c r="E1068" s="2">
        <v>4.2539259259259263E-2</v>
      </c>
      <c r="F1068" s="2">
        <v>1.071307583398415E-2</v>
      </c>
      <c r="G1068">
        <v>27</v>
      </c>
      <c r="H1068" t="s">
        <v>58</v>
      </c>
      <c r="M1068" s="2">
        <v>6.3965410927227559E-2</v>
      </c>
      <c r="N1068" s="2">
        <v>2.111310759129096E-2</v>
      </c>
      <c r="O1068" s="2">
        <v>4.2852303335936592E-2</v>
      </c>
      <c r="P1068" s="2">
        <v>3.9707792531735571</v>
      </c>
      <c r="R1068" t="str">
        <f t="shared" si="48"/>
        <v>yes</v>
      </c>
      <c r="S1068" t="str">
        <f t="shared" si="49"/>
        <v>no</v>
      </c>
      <c r="T10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8" s="2" t="b">
        <f t="shared" si="50"/>
        <v>1</v>
      </c>
      <c r="V1068" s="2">
        <f>IF(Table4[[#This Row],[linear?]],Table4[[#This Row],[av]],10^(Table4[[#This Row],[av]]/10))</f>
        <v>4.2539259259259263E-2</v>
      </c>
      <c r="W1068" s="2">
        <f>IF(Table4[[#This Row],[linear?]],Table4[[#This Row],[av]],10^(Table4[[#This Row],[av]]/10))</f>
        <v>4.2539259259259263E-2</v>
      </c>
      <c r="X1068" s="2">
        <f>Table4[[#This Row],[av_lin]]-2*Table4[[#This Row],[std_lin]]</f>
        <v>-4.2539259259259263E-2</v>
      </c>
      <c r="Y1068" s="2">
        <f>Table4[[#This Row],[av_lin]]+2*Table4[[#This Row],[std_lin]]</f>
        <v>0.12761777777777777</v>
      </c>
    </row>
    <row r="1069" spans="1:25" x14ac:dyDescent="0.35">
      <c r="A1069" s="1">
        <v>1683</v>
      </c>
      <c r="B1069" t="s">
        <v>829</v>
      </c>
      <c r="C1069" t="s">
        <v>549</v>
      </c>
      <c r="D1069" t="s">
        <v>575</v>
      </c>
      <c r="E1069" s="2">
        <v>4.718098765432098E-2</v>
      </c>
      <c r="F1069" s="2">
        <v>7.2231946549665754E-3</v>
      </c>
      <c r="G1069">
        <v>27</v>
      </c>
      <c r="H1069" t="s">
        <v>58</v>
      </c>
      <c r="M1069" s="2">
        <v>6.1627376964254132E-2</v>
      </c>
      <c r="N1069" s="2">
        <v>3.2734598344387827E-2</v>
      </c>
      <c r="O1069" s="2">
        <v>2.8892778619866308E-2</v>
      </c>
      <c r="P1069" s="2">
        <v>6.5318726558033351</v>
      </c>
      <c r="R1069" t="str">
        <f t="shared" si="48"/>
        <v>yes</v>
      </c>
      <c r="S1069" t="str">
        <f t="shared" si="49"/>
        <v>no</v>
      </c>
      <c r="T10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9" s="2" t="b">
        <f t="shared" si="50"/>
        <v>1</v>
      </c>
      <c r="V1069" s="2">
        <f>IF(Table4[[#This Row],[linear?]],Table4[[#This Row],[av]],10^(Table4[[#This Row],[av]]/10))</f>
        <v>4.718098765432098E-2</v>
      </c>
      <c r="W1069" s="2">
        <f>IF(Table4[[#This Row],[linear?]],Table4[[#This Row],[av]],10^(Table4[[#This Row],[av]]/10))</f>
        <v>4.718098765432098E-2</v>
      </c>
      <c r="X1069" s="2">
        <f>Table4[[#This Row],[av_lin]]-2*Table4[[#This Row],[std_lin]]</f>
        <v>-4.718098765432098E-2</v>
      </c>
      <c r="Y1069" s="2">
        <f>Table4[[#This Row],[av_lin]]+2*Table4[[#This Row],[std_lin]]</f>
        <v>0.14154296296296293</v>
      </c>
    </row>
    <row r="1070" spans="1:25" x14ac:dyDescent="0.35">
      <c r="A1070" s="1">
        <v>1684</v>
      </c>
      <c r="B1070" t="s">
        <v>829</v>
      </c>
      <c r="C1070" t="s">
        <v>549</v>
      </c>
      <c r="D1070" t="s">
        <v>576</v>
      </c>
      <c r="E1070" s="2">
        <v>4.69479012345679E-2</v>
      </c>
      <c r="F1070" s="2">
        <v>1.268446751835093E-2</v>
      </c>
      <c r="G1070">
        <v>27</v>
      </c>
      <c r="H1070" t="s">
        <v>58</v>
      </c>
      <c r="M1070" s="2">
        <v>7.2316836271269752E-2</v>
      </c>
      <c r="N1070" s="2">
        <v>2.1578966197866041E-2</v>
      </c>
      <c r="O1070" s="2">
        <v>5.0737870073403711E-2</v>
      </c>
      <c r="P1070" s="2">
        <v>3.7012118298736012</v>
      </c>
      <c r="R1070" t="str">
        <f t="shared" si="48"/>
        <v>yes</v>
      </c>
      <c r="S1070" t="str">
        <f t="shared" si="49"/>
        <v>no</v>
      </c>
      <c r="T10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0" s="2" t="b">
        <f t="shared" si="50"/>
        <v>1</v>
      </c>
      <c r="V1070" s="2">
        <f>IF(Table4[[#This Row],[linear?]],Table4[[#This Row],[av]],10^(Table4[[#This Row],[av]]/10))</f>
        <v>4.69479012345679E-2</v>
      </c>
      <c r="W1070" s="2">
        <f>IF(Table4[[#This Row],[linear?]],Table4[[#This Row],[av]],10^(Table4[[#This Row],[av]]/10))</f>
        <v>4.69479012345679E-2</v>
      </c>
      <c r="X1070" s="2">
        <f>Table4[[#This Row],[av_lin]]-2*Table4[[#This Row],[std_lin]]</f>
        <v>-4.69479012345679E-2</v>
      </c>
      <c r="Y1070" s="2">
        <f>Table4[[#This Row],[av_lin]]+2*Table4[[#This Row],[std_lin]]</f>
        <v>0.14084370370370369</v>
      </c>
    </row>
    <row r="1071" spans="1:25" x14ac:dyDescent="0.35">
      <c r="A1071" s="1">
        <v>1686</v>
      </c>
      <c r="B1071" t="s">
        <v>829</v>
      </c>
      <c r="C1071" t="s">
        <v>549</v>
      </c>
      <c r="D1071" t="s">
        <v>578</v>
      </c>
      <c r="E1071" s="2">
        <v>3.3527901234567913E-2</v>
      </c>
      <c r="F1071" s="2">
        <v>1.24538252054601E-2</v>
      </c>
      <c r="G1071">
        <v>27</v>
      </c>
      <c r="H1071" t="s">
        <v>58</v>
      </c>
      <c r="M1071" s="2">
        <v>5.843555164548811E-2</v>
      </c>
      <c r="N1071" s="2">
        <v>8.620250823647712E-3</v>
      </c>
      <c r="O1071" s="2">
        <v>4.9815300821840387E-2</v>
      </c>
      <c r="P1071" s="2">
        <v>2.692176956190806</v>
      </c>
      <c r="R1071" t="str">
        <f t="shared" si="48"/>
        <v>yes</v>
      </c>
      <c r="S1071" t="str">
        <f t="shared" si="49"/>
        <v>no</v>
      </c>
      <c r="T10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1" s="2" t="b">
        <f t="shared" si="50"/>
        <v>1</v>
      </c>
      <c r="V1071" s="2">
        <f>IF(Table4[[#This Row],[linear?]],Table4[[#This Row],[av]],10^(Table4[[#This Row],[av]]/10))</f>
        <v>3.3527901234567913E-2</v>
      </c>
      <c r="W1071" s="2">
        <f>IF(Table4[[#This Row],[linear?]],Table4[[#This Row],[av]],10^(Table4[[#This Row],[av]]/10))</f>
        <v>3.3527901234567913E-2</v>
      </c>
      <c r="X1071" s="2">
        <f>Table4[[#This Row],[av_lin]]-2*Table4[[#This Row],[std_lin]]</f>
        <v>-3.3527901234567913E-2</v>
      </c>
      <c r="Y1071" s="2">
        <f>Table4[[#This Row],[av_lin]]+2*Table4[[#This Row],[std_lin]]</f>
        <v>0.10058370370370373</v>
      </c>
    </row>
    <row r="1072" spans="1:25" x14ac:dyDescent="0.35">
      <c r="A1072" s="1">
        <v>1687</v>
      </c>
      <c r="B1072" t="s">
        <v>829</v>
      </c>
      <c r="C1072" t="s">
        <v>549</v>
      </c>
      <c r="D1072" t="s">
        <v>579</v>
      </c>
      <c r="E1072" s="2">
        <v>3.1515185185185188E-2</v>
      </c>
      <c r="F1072" s="2">
        <v>1.1393995823694479E-2</v>
      </c>
      <c r="G1072">
        <v>27</v>
      </c>
      <c r="H1072" t="s">
        <v>58</v>
      </c>
      <c r="M1072" s="2">
        <v>5.4303176832574143E-2</v>
      </c>
      <c r="N1072" s="2">
        <v>8.7271935377962288E-3</v>
      </c>
      <c r="O1072" s="2">
        <v>4.5575983294777911E-2</v>
      </c>
      <c r="P1072" s="2">
        <v>2.7659467032318479</v>
      </c>
      <c r="R1072" t="str">
        <f t="shared" si="48"/>
        <v>yes</v>
      </c>
      <c r="S1072" t="str">
        <f t="shared" si="49"/>
        <v>no</v>
      </c>
      <c r="T10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2" s="2" t="b">
        <f t="shared" si="50"/>
        <v>1</v>
      </c>
      <c r="V1072" s="2">
        <f>IF(Table4[[#This Row],[linear?]],Table4[[#This Row],[av]],10^(Table4[[#This Row],[av]]/10))</f>
        <v>3.1515185185185188E-2</v>
      </c>
      <c r="W1072" s="2">
        <f>IF(Table4[[#This Row],[linear?]],Table4[[#This Row],[av]],10^(Table4[[#This Row],[av]]/10))</f>
        <v>3.1515185185185188E-2</v>
      </c>
      <c r="X1072" s="2">
        <f>Table4[[#This Row],[av_lin]]-2*Table4[[#This Row],[std_lin]]</f>
        <v>-3.1515185185185188E-2</v>
      </c>
      <c r="Y1072" s="2">
        <f>Table4[[#This Row],[av_lin]]+2*Table4[[#This Row],[std_lin]]</f>
        <v>9.4545555555555563E-2</v>
      </c>
    </row>
    <row r="1073" spans="1:25" x14ac:dyDescent="0.35">
      <c r="A1073" s="1">
        <v>1688</v>
      </c>
      <c r="B1073" t="s">
        <v>829</v>
      </c>
      <c r="C1073" t="s">
        <v>549</v>
      </c>
      <c r="D1073" t="s">
        <v>580</v>
      </c>
      <c r="E1073" s="2">
        <v>3.0126543209876538E-2</v>
      </c>
      <c r="F1073" s="2">
        <v>9.2910335750879605E-3</v>
      </c>
      <c r="G1073">
        <v>27</v>
      </c>
      <c r="H1073" t="s">
        <v>58</v>
      </c>
      <c r="M1073" s="2">
        <v>4.8708610360052459E-2</v>
      </c>
      <c r="N1073" s="2">
        <v>1.1544476059700619E-2</v>
      </c>
      <c r="O1073" s="2">
        <v>3.7164134300351842E-2</v>
      </c>
      <c r="P1073" s="2">
        <v>3.2425394835139558</v>
      </c>
      <c r="R1073" t="str">
        <f t="shared" si="48"/>
        <v>yes</v>
      </c>
      <c r="S1073" t="str">
        <f t="shared" si="49"/>
        <v>no</v>
      </c>
      <c r="T10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3" s="2" t="b">
        <f t="shared" si="50"/>
        <v>1</v>
      </c>
      <c r="V1073" s="2">
        <f>IF(Table4[[#This Row],[linear?]],Table4[[#This Row],[av]],10^(Table4[[#This Row],[av]]/10))</f>
        <v>3.0126543209876538E-2</v>
      </c>
      <c r="W1073" s="2">
        <f>IF(Table4[[#This Row],[linear?]],Table4[[#This Row],[av]],10^(Table4[[#This Row],[av]]/10))</f>
        <v>3.0126543209876538E-2</v>
      </c>
      <c r="X1073" s="2">
        <f>Table4[[#This Row],[av_lin]]-2*Table4[[#This Row],[std_lin]]</f>
        <v>-3.0126543209876538E-2</v>
      </c>
      <c r="Y1073" s="2">
        <f>Table4[[#This Row],[av_lin]]+2*Table4[[#This Row],[std_lin]]</f>
        <v>9.0379629629629615E-2</v>
      </c>
    </row>
    <row r="1074" spans="1:25" x14ac:dyDescent="0.35">
      <c r="A1074" s="1">
        <v>1689</v>
      </c>
      <c r="B1074" t="s">
        <v>829</v>
      </c>
      <c r="C1074" t="s">
        <v>549</v>
      </c>
      <c r="D1074" t="s">
        <v>581</v>
      </c>
      <c r="E1074" s="2">
        <v>7.5663456790123457E-2</v>
      </c>
      <c r="F1074" s="2">
        <v>5.2286315280903424E-3</v>
      </c>
      <c r="G1074">
        <v>27</v>
      </c>
      <c r="H1074" t="s">
        <v>58</v>
      </c>
      <c r="M1074" s="2">
        <v>8.6120719846304136E-2</v>
      </c>
      <c r="N1074" s="2">
        <v>6.5206193733942777E-2</v>
      </c>
      <c r="O1074" s="2">
        <v>2.0914526112361359E-2</v>
      </c>
      <c r="P1074" s="2">
        <v>14.47098660206375</v>
      </c>
      <c r="R1074" t="str">
        <f t="shared" si="48"/>
        <v>yes</v>
      </c>
      <c r="S1074" t="str">
        <f t="shared" si="49"/>
        <v>no</v>
      </c>
      <c r="T10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4" s="2" t="b">
        <f t="shared" si="50"/>
        <v>1</v>
      </c>
      <c r="V1074" s="2">
        <f>IF(Table4[[#This Row],[linear?]],Table4[[#This Row],[av]],10^(Table4[[#This Row],[av]]/10))</f>
        <v>7.5663456790123457E-2</v>
      </c>
      <c r="W1074" s="2">
        <f>IF(Table4[[#This Row],[linear?]],Table4[[#This Row],[av]],10^(Table4[[#This Row],[av]]/10))</f>
        <v>7.5663456790123457E-2</v>
      </c>
      <c r="X1074" s="2">
        <f>Table4[[#This Row],[av_lin]]-2*Table4[[#This Row],[std_lin]]</f>
        <v>-7.5663456790123457E-2</v>
      </c>
      <c r="Y1074" s="2">
        <f>Table4[[#This Row],[av_lin]]+2*Table4[[#This Row],[std_lin]]</f>
        <v>0.22699037037037037</v>
      </c>
    </row>
    <row r="1075" spans="1:25" x14ac:dyDescent="0.35">
      <c r="A1075" s="1">
        <v>1691</v>
      </c>
      <c r="B1075" t="s">
        <v>829</v>
      </c>
      <c r="C1075" t="s">
        <v>549</v>
      </c>
      <c r="D1075" t="s">
        <v>583</v>
      </c>
      <c r="E1075" s="2">
        <v>4.2634567901234557E-2</v>
      </c>
      <c r="F1075" s="2">
        <v>4.8514371210962217E-3</v>
      </c>
      <c r="G1075">
        <v>27</v>
      </c>
      <c r="H1075" t="s">
        <v>58</v>
      </c>
      <c r="M1075" s="2">
        <v>5.2337442143426997E-2</v>
      </c>
      <c r="N1075" s="2">
        <v>3.2931693659042111E-2</v>
      </c>
      <c r="O1075" s="2">
        <v>1.940574848438489E-2</v>
      </c>
      <c r="P1075" s="2">
        <v>8.7880285443338764</v>
      </c>
      <c r="R1075" t="str">
        <f t="shared" si="48"/>
        <v>yes</v>
      </c>
      <c r="S1075" t="str">
        <f t="shared" si="49"/>
        <v>no</v>
      </c>
      <c r="T10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5" s="2" t="b">
        <f t="shared" si="50"/>
        <v>1</v>
      </c>
      <c r="V1075" s="2">
        <f>IF(Table4[[#This Row],[linear?]],Table4[[#This Row],[av]],10^(Table4[[#This Row],[av]]/10))</f>
        <v>4.2634567901234557E-2</v>
      </c>
      <c r="W1075" s="2">
        <f>IF(Table4[[#This Row],[linear?]],Table4[[#This Row],[av]],10^(Table4[[#This Row],[av]]/10))</f>
        <v>4.2634567901234557E-2</v>
      </c>
      <c r="X1075" s="2">
        <f>Table4[[#This Row],[av_lin]]-2*Table4[[#This Row],[std_lin]]</f>
        <v>-4.2634567901234557E-2</v>
      </c>
      <c r="Y1075" s="2">
        <f>Table4[[#This Row],[av_lin]]+2*Table4[[#This Row],[std_lin]]</f>
        <v>0.12790370370370369</v>
      </c>
    </row>
    <row r="1076" spans="1:25" x14ac:dyDescent="0.35">
      <c r="A1076" s="1">
        <v>1692</v>
      </c>
      <c r="B1076" t="s">
        <v>829</v>
      </c>
      <c r="C1076" t="s">
        <v>549</v>
      </c>
      <c r="D1076" t="s">
        <v>584</v>
      </c>
      <c r="E1076" s="2">
        <v>4.7647654320987658E-2</v>
      </c>
      <c r="F1076" s="2">
        <v>5.466649162595409E-3</v>
      </c>
      <c r="G1076">
        <v>27</v>
      </c>
      <c r="H1076" t="s">
        <v>58</v>
      </c>
      <c r="M1076" s="2">
        <v>5.8580952646178477E-2</v>
      </c>
      <c r="N1076" s="2">
        <v>3.6714355995796838E-2</v>
      </c>
      <c r="O1076" s="2">
        <v>2.1866596650381639E-2</v>
      </c>
      <c r="P1076" s="2">
        <v>8.7160622355296553</v>
      </c>
      <c r="R1076" t="str">
        <f t="shared" si="48"/>
        <v>yes</v>
      </c>
      <c r="S1076" t="str">
        <f t="shared" si="49"/>
        <v>no</v>
      </c>
      <c r="T10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6" s="2" t="b">
        <f t="shared" si="50"/>
        <v>1</v>
      </c>
      <c r="V1076" s="2">
        <f>IF(Table4[[#This Row],[linear?]],Table4[[#This Row],[av]],10^(Table4[[#This Row],[av]]/10))</f>
        <v>4.7647654320987658E-2</v>
      </c>
      <c r="W1076" s="2">
        <f>IF(Table4[[#This Row],[linear?]],Table4[[#This Row],[av]],10^(Table4[[#This Row],[av]]/10))</f>
        <v>4.7647654320987658E-2</v>
      </c>
      <c r="X1076" s="2">
        <f>Table4[[#This Row],[av_lin]]-2*Table4[[#This Row],[std_lin]]</f>
        <v>-4.7647654320987658E-2</v>
      </c>
      <c r="Y1076" s="2">
        <f>Table4[[#This Row],[av_lin]]+2*Table4[[#This Row],[std_lin]]</f>
        <v>0.14294296296296297</v>
      </c>
    </row>
    <row r="1077" spans="1:25" x14ac:dyDescent="0.35">
      <c r="A1077" s="1">
        <v>1693</v>
      </c>
      <c r="B1077" t="s">
        <v>829</v>
      </c>
      <c r="C1077" t="s">
        <v>549</v>
      </c>
      <c r="D1077" t="s">
        <v>585</v>
      </c>
      <c r="E1077" s="2">
        <v>4.2801604938271599E-2</v>
      </c>
      <c r="F1077" s="2">
        <v>6.0145914059739217E-3</v>
      </c>
      <c r="G1077">
        <v>27</v>
      </c>
      <c r="H1077" t="s">
        <v>58</v>
      </c>
      <c r="M1077" s="2">
        <v>5.4830787750219441E-2</v>
      </c>
      <c r="N1077" s="2">
        <v>3.0772422126323761E-2</v>
      </c>
      <c r="O1077" s="2">
        <v>2.405836562389568E-2</v>
      </c>
      <c r="P1077" s="2">
        <v>7.116294698881692</v>
      </c>
      <c r="R1077" t="str">
        <f t="shared" si="48"/>
        <v>yes</v>
      </c>
      <c r="S1077" t="str">
        <f t="shared" si="49"/>
        <v>no</v>
      </c>
      <c r="T10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7" s="2" t="b">
        <f t="shared" si="50"/>
        <v>1</v>
      </c>
      <c r="V1077" s="2">
        <f>IF(Table4[[#This Row],[linear?]],Table4[[#This Row],[av]],10^(Table4[[#This Row],[av]]/10))</f>
        <v>4.2801604938271599E-2</v>
      </c>
      <c r="W1077" s="2">
        <f>IF(Table4[[#This Row],[linear?]],Table4[[#This Row],[av]],10^(Table4[[#This Row],[av]]/10))</f>
        <v>4.2801604938271599E-2</v>
      </c>
      <c r="X1077" s="2">
        <f>Table4[[#This Row],[av_lin]]-2*Table4[[#This Row],[std_lin]]</f>
        <v>-4.2801604938271599E-2</v>
      </c>
      <c r="Y1077" s="2">
        <f>Table4[[#This Row],[av_lin]]+2*Table4[[#This Row],[std_lin]]</f>
        <v>0.1284048148148148</v>
      </c>
    </row>
    <row r="1078" spans="1:25" x14ac:dyDescent="0.35">
      <c r="A1078" s="1">
        <v>1695</v>
      </c>
      <c r="B1078" t="s">
        <v>829</v>
      </c>
      <c r="C1078" t="s">
        <v>549</v>
      </c>
      <c r="D1078" t="s">
        <v>587</v>
      </c>
      <c r="E1078" s="2">
        <v>3.667666666666667E-2</v>
      </c>
      <c r="F1078" s="2">
        <v>8.2122493212115552E-3</v>
      </c>
      <c r="G1078">
        <v>27</v>
      </c>
      <c r="H1078" t="s">
        <v>58</v>
      </c>
      <c r="M1078" s="2">
        <v>5.310116530908978E-2</v>
      </c>
      <c r="N1078" s="2">
        <v>2.0252168024243559E-2</v>
      </c>
      <c r="O1078" s="2">
        <v>3.2848997284846221E-2</v>
      </c>
      <c r="P1078" s="2">
        <v>4.466092690577951</v>
      </c>
      <c r="R1078" t="str">
        <f t="shared" si="48"/>
        <v>yes</v>
      </c>
      <c r="S1078" t="str">
        <f t="shared" si="49"/>
        <v>no</v>
      </c>
      <c r="T10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8" s="2" t="b">
        <f t="shared" si="50"/>
        <v>1</v>
      </c>
      <c r="V1078" s="2">
        <f>IF(Table4[[#This Row],[linear?]],Table4[[#This Row],[av]],10^(Table4[[#This Row],[av]]/10))</f>
        <v>3.667666666666667E-2</v>
      </c>
      <c r="W1078" s="2">
        <f>IF(Table4[[#This Row],[linear?]],Table4[[#This Row],[av]],10^(Table4[[#This Row],[av]]/10))</f>
        <v>3.667666666666667E-2</v>
      </c>
      <c r="X1078" s="2">
        <f>Table4[[#This Row],[av_lin]]-2*Table4[[#This Row],[std_lin]]</f>
        <v>-3.667666666666667E-2</v>
      </c>
      <c r="Y1078" s="2">
        <f>Table4[[#This Row],[av_lin]]+2*Table4[[#This Row],[std_lin]]</f>
        <v>0.11003000000000002</v>
      </c>
    </row>
    <row r="1079" spans="1:25" x14ac:dyDescent="0.35">
      <c r="A1079" s="1">
        <v>1696</v>
      </c>
      <c r="B1079" t="s">
        <v>829</v>
      </c>
      <c r="C1079" t="s">
        <v>549</v>
      </c>
      <c r="D1079" t="s">
        <v>588</v>
      </c>
      <c r="E1079" s="2">
        <v>4.0724938271604942E-2</v>
      </c>
      <c r="F1079" s="2">
        <v>9.0419752243955931E-3</v>
      </c>
      <c r="G1079">
        <v>27</v>
      </c>
      <c r="H1079" t="s">
        <v>58</v>
      </c>
      <c r="M1079" s="2">
        <v>5.8808888720396128E-2</v>
      </c>
      <c r="N1079" s="2">
        <v>2.2640987822813759E-2</v>
      </c>
      <c r="O1079" s="2">
        <v>3.6167900897582372E-2</v>
      </c>
      <c r="P1079" s="2">
        <v>4.5039869343733114</v>
      </c>
      <c r="R1079" t="str">
        <f t="shared" si="48"/>
        <v>yes</v>
      </c>
      <c r="S1079" t="str">
        <f t="shared" si="49"/>
        <v>no</v>
      </c>
      <c r="T10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9" s="2" t="b">
        <f t="shared" si="50"/>
        <v>1</v>
      </c>
      <c r="V1079" s="2">
        <f>IF(Table4[[#This Row],[linear?]],Table4[[#This Row],[av]],10^(Table4[[#This Row],[av]]/10))</f>
        <v>4.0724938271604942E-2</v>
      </c>
      <c r="W1079" s="2">
        <f>IF(Table4[[#This Row],[linear?]],Table4[[#This Row],[av]],10^(Table4[[#This Row],[av]]/10))</f>
        <v>4.0724938271604942E-2</v>
      </c>
      <c r="X1079" s="2">
        <f>Table4[[#This Row],[av_lin]]-2*Table4[[#This Row],[std_lin]]</f>
        <v>-4.0724938271604942E-2</v>
      </c>
      <c r="Y1079" s="2">
        <f>Table4[[#This Row],[av_lin]]+2*Table4[[#This Row],[std_lin]]</f>
        <v>0.12217481481481482</v>
      </c>
    </row>
    <row r="1080" spans="1:25" x14ac:dyDescent="0.35">
      <c r="A1080" s="1">
        <v>1697</v>
      </c>
      <c r="B1080" t="s">
        <v>829</v>
      </c>
      <c r="C1080" t="s">
        <v>549</v>
      </c>
      <c r="D1080" t="s">
        <v>589</v>
      </c>
      <c r="E1080" s="2">
        <v>3.5900987654320989E-2</v>
      </c>
      <c r="F1080" s="2">
        <v>8.110308071633994E-3</v>
      </c>
      <c r="G1080">
        <v>27</v>
      </c>
      <c r="H1080" t="s">
        <v>58</v>
      </c>
      <c r="M1080" s="2">
        <v>5.2121603797588983E-2</v>
      </c>
      <c r="N1080" s="2">
        <v>1.9680371511053001E-2</v>
      </c>
      <c r="O1080" s="2">
        <v>3.2441232286535983E-2</v>
      </c>
      <c r="P1080" s="2">
        <v>4.4265874165601176</v>
      </c>
      <c r="R1080" t="str">
        <f t="shared" si="48"/>
        <v>yes</v>
      </c>
      <c r="S1080" t="str">
        <f t="shared" si="49"/>
        <v>no</v>
      </c>
      <c r="T10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0" s="2" t="b">
        <f t="shared" si="50"/>
        <v>1</v>
      </c>
      <c r="V1080" s="2">
        <f>IF(Table4[[#This Row],[linear?]],Table4[[#This Row],[av]],10^(Table4[[#This Row],[av]]/10))</f>
        <v>3.5900987654320989E-2</v>
      </c>
      <c r="W1080" s="2">
        <f>IF(Table4[[#This Row],[linear?]],Table4[[#This Row],[av]],10^(Table4[[#This Row],[av]]/10))</f>
        <v>3.5900987654320989E-2</v>
      </c>
      <c r="X1080" s="2">
        <f>Table4[[#This Row],[av_lin]]-2*Table4[[#This Row],[std_lin]]</f>
        <v>-3.5900987654320989E-2</v>
      </c>
      <c r="Y1080" s="2">
        <f>Table4[[#This Row],[av_lin]]+2*Table4[[#This Row],[std_lin]]</f>
        <v>0.10770296296296297</v>
      </c>
    </row>
    <row r="1081" spans="1:25" x14ac:dyDescent="0.35">
      <c r="A1081" s="1">
        <v>1698</v>
      </c>
      <c r="B1081" t="s">
        <v>829</v>
      </c>
      <c r="C1081" t="s">
        <v>549</v>
      </c>
      <c r="D1081" t="s">
        <v>590</v>
      </c>
      <c r="E1081" s="2">
        <v>7.4074320987654332E-2</v>
      </c>
      <c r="F1081" s="2">
        <v>6.6692044092886349E-3</v>
      </c>
      <c r="G1081">
        <v>27</v>
      </c>
      <c r="H1081" t="s">
        <v>58</v>
      </c>
      <c r="M1081" s="2">
        <v>8.7412729806231604E-2</v>
      </c>
      <c r="N1081" s="2">
        <v>6.0735912169077061E-2</v>
      </c>
      <c r="O1081" s="2">
        <v>2.6676817637154539E-2</v>
      </c>
      <c r="P1081" s="2">
        <v>11.106920172440089</v>
      </c>
      <c r="R1081" t="str">
        <f t="shared" si="48"/>
        <v>yes</v>
      </c>
      <c r="S1081" t="str">
        <f t="shared" si="49"/>
        <v>no</v>
      </c>
      <c r="T10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1" s="2" t="b">
        <f t="shared" si="50"/>
        <v>1</v>
      </c>
      <c r="V1081" s="2">
        <f>IF(Table4[[#This Row],[linear?]],Table4[[#This Row],[av]],10^(Table4[[#This Row],[av]]/10))</f>
        <v>7.4074320987654332E-2</v>
      </c>
      <c r="W1081" s="2">
        <f>IF(Table4[[#This Row],[linear?]],Table4[[#This Row],[av]],10^(Table4[[#This Row],[av]]/10))</f>
        <v>7.4074320987654332E-2</v>
      </c>
      <c r="X1081" s="2">
        <f>Table4[[#This Row],[av_lin]]-2*Table4[[#This Row],[std_lin]]</f>
        <v>-7.4074320987654332E-2</v>
      </c>
      <c r="Y1081" s="2">
        <f>Table4[[#This Row],[av_lin]]+2*Table4[[#This Row],[std_lin]]</f>
        <v>0.22222296296296301</v>
      </c>
    </row>
    <row r="1082" spans="1:25" x14ac:dyDescent="0.35">
      <c r="A1082" s="1">
        <v>1700</v>
      </c>
      <c r="B1082" t="s">
        <v>829</v>
      </c>
      <c r="C1082" t="s">
        <v>549</v>
      </c>
      <c r="D1082" t="s">
        <v>592</v>
      </c>
      <c r="E1082" s="2">
        <v>4.0876419753086417E-2</v>
      </c>
      <c r="F1082" s="2">
        <v>6.0567917665836054E-3</v>
      </c>
      <c r="G1082">
        <v>27</v>
      </c>
      <c r="H1082" t="s">
        <v>58</v>
      </c>
      <c r="M1082" s="2">
        <v>5.2990003286253633E-2</v>
      </c>
      <c r="N1082" s="2">
        <v>2.8762836219919211E-2</v>
      </c>
      <c r="O1082" s="2">
        <v>2.4227167066334421E-2</v>
      </c>
      <c r="P1082" s="2">
        <v>6.748856709687276</v>
      </c>
      <c r="R1082" t="str">
        <f t="shared" si="48"/>
        <v>yes</v>
      </c>
      <c r="S1082" t="str">
        <f t="shared" si="49"/>
        <v>no</v>
      </c>
      <c r="T10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2" s="2" t="b">
        <f t="shared" si="50"/>
        <v>1</v>
      </c>
      <c r="V1082" s="2">
        <f>IF(Table4[[#This Row],[linear?]],Table4[[#This Row],[av]],10^(Table4[[#This Row],[av]]/10))</f>
        <v>4.0876419753086417E-2</v>
      </c>
      <c r="W1082" s="2">
        <f>IF(Table4[[#This Row],[linear?]],Table4[[#This Row],[av]],10^(Table4[[#This Row],[av]]/10))</f>
        <v>4.0876419753086417E-2</v>
      </c>
      <c r="X1082" s="2">
        <f>Table4[[#This Row],[av_lin]]-2*Table4[[#This Row],[std_lin]]</f>
        <v>-4.0876419753086417E-2</v>
      </c>
      <c r="Y1082" s="2">
        <f>Table4[[#This Row],[av_lin]]+2*Table4[[#This Row],[std_lin]]</f>
        <v>0.12262925925925924</v>
      </c>
    </row>
    <row r="1083" spans="1:25" x14ac:dyDescent="0.35">
      <c r="A1083" s="1">
        <v>1701</v>
      </c>
      <c r="B1083" t="s">
        <v>829</v>
      </c>
      <c r="C1083" t="s">
        <v>549</v>
      </c>
      <c r="D1083" t="s">
        <v>593</v>
      </c>
      <c r="E1083" s="2">
        <v>4.1708641975308637E-2</v>
      </c>
      <c r="F1083" s="2">
        <v>7.0838247147738641E-3</v>
      </c>
      <c r="G1083">
        <v>27</v>
      </c>
      <c r="H1083" t="s">
        <v>58</v>
      </c>
      <c r="M1083" s="2">
        <v>5.5876291404856372E-2</v>
      </c>
      <c r="N1083" s="2">
        <v>2.7540992545760909E-2</v>
      </c>
      <c r="O1083" s="2">
        <v>2.833529885909546E-2</v>
      </c>
      <c r="P1083" s="2">
        <v>5.8878704167145806</v>
      </c>
      <c r="R1083" t="str">
        <f t="shared" si="48"/>
        <v>yes</v>
      </c>
      <c r="S1083" t="str">
        <f t="shared" si="49"/>
        <v>no</v>
      </c>
      <c r="T10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3" s="2" t="b">
        <f t="shared" si="50"/>
        <v>1</v>
      </c>
      <c r="V1083" s="2">
        <f>IF(Table4[[#This Row],[linear?]],Table4[[#This Row],[av]],10^(Table4[[#This Row],[av]]/10))</f>
        <v>4.1708641975308637E-2</v>
      </c>
      <c r="W1083" s="2">
        <f>IF(Table4[[#This Row],[linear?]],Table4[[#This Row],[av]],10^(Table4[[#This Row],[av]]/10))</f>
        <v>4.1708641975308637E-2</v>
      </c>
      <c r="X1083" s="2">
        <f>Table4[[#This Row],[av_lin]]-2*Table4[[#This Row],[std_lin]]</f>
        <v>-4.1708641975308637E-2</v>
      </c>
      <c r="Y1083" s="2">
        <f>Table4[[#This Row],[av_lin]]+2*Table4[[#This Row],[std_lin]]</f>
        <v>0.12512592592592592</v>
      </c>
    </row>
    <row r="1084" spans="1:25" x14ac:dyDescent="0.35">
      <c r="A1084" s="1">
        <v>1702</v>
      </c>
      <c r="B1084" t="s">
        <v>829</v>
      </c>
      <c r="C1084" t="s">
        <v>549</v>
      </c>
      <c r="D1084" t="s">
        <v>594</v>
      </c>
      <c r="E1084" s="2">
        <v>3.8595555555555557E-2</v>
      </c>
      <c r="F1084" s="2">
        <v>8.5576322690981751E-3</v>
      </c>
      <c r="G1084">
        <v>27</v>
      </c>
      <c r="H1084" t="s">
        <v>58</v>
      </c>
      <c r="M1084" s="2">
        <v>5.5710820093751903E-2</v>
      </c>
      <c r="N1084" s="2">
        <v>2.148029101735921E-2</v>
      </c>
      <c r="O1084" s="2">
        <v>3.4230529076392693E-2</v>
      </c>
      <c r="P1084" s="2">
        <v>4.5100740884748083</v>
      </c>
      <c r="R1084" t="str">
        <f t="shared" si="48"/>
        <v>yes</v>
      </c>
      <c r="S1084" t="str">
        <f t="shared" si="49"/>
        <v>no</v>
      </c>
      <c r="T10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4" s="2" t="b">
        <f t="shared" si="50"/>
        <v>1</v>
      </c>
      <c r="V1084" s="2">
        <f>IF(Table4[[#This Row],[linear?]],Table4[[#This Row],[av]],10^(Table4[[#This Row],[av]]/10))</f>
        <v>3.8595555555555557E-2</v>
      </c>
      <c r="W1084" s="2">
        <f>IF(Table4[[#This Row],[linear?]],Table4[[#This Row],[av]],10^(Table4[[#This Row],[av]]/10))</f>
        <v>3.8595555555555557E-2</v>
      </c>
      <c r="X1084" s="2">
        <f>Table4[[#This Row],[av_lin]]-2*Table4[[#This Row],[std_lin]]</f>
        <v>-3.8595555555555557E-2</v>
      </c>
      <c r="Y1084" s="2">
        <f>Table4[[#This Row],[av_lin]]+2*Table4[[#This Row],[std_lin]]</f>
        <v>0.11578666666666668</v>
      </c>
    </row>
    <row r="1085" spans="1:25" x14ac:dyDescent="0.35">
      <c r="A1085" s="1">
        <v>1703</v>
      </c>
      <c r="B1085" t="s">
        <v>829</v>
      </c>
      <c r="C1085" t="s">
        <v>549</v>
      </c>
      <c r="D1085" t="s">
        <v>595</v>
      </c>
      <c r="E1085" s="2">
        <v>4.0469135802469148E-3</v>
      </c>
      <c r="F1085" s="2">
        <v>1.8223572305863501E-3</v>
      </c>
      <c r="G1085">
        <v>27</v>
      </c>
      <c r="H1085" t="s">
        <v>58</v>
      </c>
      <c r="M1085" s="2">
        <v>7.691628041419615E-3</v>
      </c>
      <c r="N1085" s="2">
        <v>4.0219911907421468E-4</v>
      </c>
      <c r="O1085" s="2">
        <v>7.2894289223454003E-3</v>
      </c>
      <c r="P1085" s="2">
        <v>2.220702676908636</v>
      </c>
      <c r="R1085" t="str">
        <f t="shared" si="48"/>
        <v>yes</v>
      </c>
      <c r="S1085" t="str">
        <f t="shared" si="49"/>
        <v>no</v>
      </c>
      <c r="T10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5" s="2" t="b">
        <f t="shared" si="50"/>
        <v>1</v>
      </c>
      <c r="V1085" s="2">
        <f>IF(Table4[[#This Row],[linear?]],Table4[[#This Row],[av]],10^(Table4[[#This Row],[av]]/10))</f>
        <v>4.0469135802469148E-3</v>
      </c>
      <c r="W1085" s="2">
        <f>IF(Table4[[#This Row],[linear?]],Table4[[#This Row],[av]],10^(Table4[[#This Row],[av]]/10))</f>
        <v>4.0469135802469148E-3</v>
      </c>
      <c r="X1085" s="2">
        <f>Table4[[#This Row],[av_lin]]-2*Table4[[#This Row],[std_lin]]</f>
        <v>-4.0469135802469148E-3</v>
      </c>
      <c r="Y1085" s="2">
        <f>Table4[[#This Row],[av_lin]]+2*Table4[[#This Row],[std_lin]]</f>
        <v>1.2140740740740744E-2</v>
      </c>
    </row>
    <row r="1086" spans="1:25" x14ac:dyDescent="0.35">
      <c r="A1086" s="1">
        <v>1705</v>
      </c>
      <c r="B1086" t="s">
        <v>829</v>
      </c>
      <c r="C1086" t="s">
        <v>549</v>
      </c>
      <c r="D1086" t="s">
        <v>597</v>
      </c>
      <c r="E1086" s="2">
        <v>2.6583950617283959E-3</v>
      </c>
      <c r="F1086" s="2">
        <v>1.5968625331720381E-3</v>
      </c>
      <c r="G1086">
        <v>27</v>
      </c>
      <c r="H1086" t="s">
        <v>58</v>
      </c>
      <c r="M1086" s="2">
        <v>5.8521201280724716E-3</v>
      </c>
      <c r="N1086" s="2">
        <v>-5.3533000461568033E-4</v>
      </c>
      <c r="O1086" s="2">
        <v>6.3874501326881524E-3</v>
      </c>
      <c r="P1086" s="2">
        <v>1.664761372068583</v>
      </c>
      <c r="R1086" t="str">
        <f t="shared" si="48"/>
        <v>yes</v>
      </c>
      <c r="S1086" t="str">
        <f t="shared" si="49"/>
        <v>no</v>
      </c>
      <c r="T10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6" s="2" t="b">
        <f t="shared" si="50"/>
        <v>1</v>
      </c>
      <c r="V1086" s="2">
        <f>IF(Table4[[#This Row],[linear?]],Table4[[#This Row],[av]],10^(Table4[[#This Row],[av]]/10))</f>
        <v>2.6583950617283959E-3</v>
      </c>
      <c r="W1086" s="2">
        <f>IF(Table4[[#This Row],[linear?]],Table4[[#This Row],[av]],10^(Table4[[#This Row],[av]]/10))</f>
        <v>2.6583950617283959E-3</v>
      </c>
      <c r="X1086" s="2">
        <f>Table4[[#This Row],[av_lin]]-2*Table4[[#This Row],[std_lin]]</f>
        <v>-2.6583950617283959E-3</v>
      </c>
      <c r="Y1086" s="2">
        <f>Table4[[#This Row],[av_lin]]+2*Table4[[#This Row],[std_lin]]</f>
        <v>7.9751851851851876E-3</v>
      </c>
    </row>
    <row r="1087" spans="1:25" x14ac:dyDescent="0.35">
      <c r="A1087" s="1">
        <v>1707</v>
      </c>
      <c r="B1087" t="s">
        <v>829</v>
      </c>
      <c r="C1087" t="s">
        <v>549</v>
      </c>
      <c r="D1087" t="s">
        <v>599</v>
      </c>
      <c r="E1087" s="2">
        <v>2.0639876543209871E-2</v>
      </c>
      <c r="F1087" s="2">
        <v>3.598848100880118E-3</v>
      </c>
      <c r="G1087">
        <v>27</v>
      </c>
      <c r="H1087" t="s">
        <v>58</v>
      </c>
      <c r="M1087" s="2">
        <v>2.7837572744970111E-2</v>
      </c>
      <c r="N1087" s="2">
        <v>1.344218034144963E-2</v>
      </c>
      <c r="O1087" s="2">
        <v>1.439539240352047E-2</v>
      </c>
      <c r="P1087" s="2">
        <v>5.7351341219881649</v>
      </c>
      <c r="R1087" t="str">
        <f t="shared" si="48"/>
        <v>yes</v>
      </c>
      <c r="S1087" t="str">
        <f t="shared" si="49"/>
        <v>no</v>
      </c>
      <c r="T10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7" s="2" t="b">
        <f t="shared" si="50"/>
        <v>1</v>
      </c>
      <c r="V1087" s="2">
        <f>IF(Table4[[#This Row],[linear?]],Table4[[#This Row],[av]],10^(Table4[[#This Row],[av]]/10))</f>
        <v>2.0639876543209871E-2</v>
      </c>
      <c r="W1087" s="2">
        <f>IF(Table4[[#This Row],[linear?]],Table4[[#This Row],[av]],10^(Table4[[#This Row],[av]]/10))</f>
        <v>2.0639876543209871E-2</v>
      </c>
      <c r="X1087" s="2">
        <f>Table4[[#This Row],[av_lin]]-2*Table4[[#This Row],[std_lin]]</f>
        <v>-2.0639876543209871E-2</v>
      </c>
      <c r="Y1087" s="2">
        <f>Table4[[#This Row],[av_lin]]+2*Table4[[#This Row],[std_lin]]</f>
        <v>6.1919629629629616E-2</v>
      </c>
    </row>
    <row r="1088" spans="1:25" x14ac:dyDescent="0.35">
      <c r="A1088" s="1">
        <v>1709</v>
      </c>
      <c r="B1088" t="s">
        <v>829</v>
      </c>
      <c r="C1088" t="s">
        <v>549</v>
      </c>
      <c r="D1088" t="s">
        <v>601</v>
      </c>
      <c r="E1088" s="2">
        <v>3.6408641975308651E-3</v>
      </c>
      <c r="F1088" s="2">
        <v>1.2424291702844671E-3</v>
      </c>
      <c r="G1088">
        <v>27</v>
      </c>
      <c r="H1088" t="s">
        <v>58</v>
      </c>
      <c r="M1088" s="2">
        <v>6.1257225380997992E-3</v>
      </c>
      <c r="N1088" s="2">
        <v>1.156005856961931E-3</v>
      </c>
      <c r="O1088" s="2">
        <v>4.9697166811378682E-3</v>
      </c>
      <c r="P1088" s="2">
        <v>2.930440048101294</v>
      </c>
      <c r="R1088" t="str">
        <f t="shared" si="48"/>
        <v>yes</v>
      </c>
      <c r="S1088" t="str">
        <f t="shared" si="49"/>
        <v>no</v>
      </c>
      <c r="T10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8" s="2" t="b">
        <f t="shared" si="50"/>
        <v>1</v>
      </c>
      <c r="V1088" s="2">
        <f>IF(Table4[[#This Row],[linear?]],Table4[[#This Row],[av]],10^(Table4[[#This Row],[av]]/10))</f>
        <v>3.6408641975308651E-3</v>
      </c>
      <c r="W1088" s="2">
        <f>IF(Table4[[#This Row],[linear?]],Table4[[#This Row],[av]],10^(Table4[[#This Row],[av]]/10))</f>
        <v>3.6408641975308651E-3</v>
      </c>
      <c r="X1088" s="2">
        <f>Table4[[#This Row],[av_lin]]-2*Table4[[#This Row],[std_lin]]</f>
        <v>-3.6408641975308651E-3</v>
      </c>
      <c r="Y1088" s="2">
        <f>Table4[[#This Row],[av_lin]]+2*Table4[[#This Row],[std_lin]]</f>
        <v>1.0922592592592595E-2</v>
      </c>
    </row>
    <row r="1089" spans="1:25" x14ac:dyDescent="0.35">
      <c r="A1089" s="1">
        <v>1711</v>
      </c>
      <c r="B1089" t="s">
        <v>829</v>
      </c>
      <c r="C1089" t="s">
        <v>549</v>
      </c>
      <c r="D1089" t="s">
        <v>603</v>
      </c>
      <c r="E1089" s="2">
        <v>2.6862962962962969E-3</v>
      </c>
      <c r="F1089" s="2">
        <v>1.9987284302047281E-3</v>
      </c>
      <c r="G1089">
        <v>27</v>
      </c>
      <c r="H1089" t="s">
        <v>58</v>
      </c>
      <c r="M1089" s="2">
        <v>6.6837531567057532E-3</v>
      </c>
      <c r="N1089" s="2">
        <v>-1.311160564113159E-3</v>
      </c>
      <c r="O1089" s="2">
        <v>7.9949137208189126E-3</v>
      </c>
      <c r="P1089" s="2">
        <v>1.3440026447320521</v>
      </c>
      <c r="R1089" t="str">
        <f t="shared" si="48"/>
        <v>yes</v>
      </c>
      <c r="S1089" t="str">
        <f t="shared" si="49"/>
        <v>no</v>
      </c>
      <c r="T10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9" s="2" t="b">
        <f t="shared" si="50"/>
        <v>1</v>
      </c>
      <c r="V1089" s="2">
        <f>IF(Table4[[#This Row],[linear?]],Table4[[#This Row],[av]],10^(Table4[[#This Row],[av]]/10))</f>
        <v>2.6862962962962969E-3</v>
      </c>
      <c r="W1089" s="2">
        <f>IF(Table4[[#This Row],[linear?]],Table4[[#This Row],[av]],10^(Table4[[#This Row],[av]]/10))</f>
        <v>2.6862962962962969E-3</v>
      </c>
      <c r="X1089" s="2">
        <f>Table4[[#This Row],[av_lin]]-2*Table4[[#This Row],[std_lin]]</f>
        <v>-2.6862962962962969E-3</v>
      </c>
      <c r="Y1089" s="2">
        <f>Table4[[#This Row],[av_lin]]+2*Table4[[#This Row],[std_lin]]</f>
        <v>8.0588888888888897E-3</v>
      </c>
    </row>
    <row r="1090" spans="1:25" x14ac:dyDescent="0.35">
      <c r="A1090" s="1">
        <v>1713</v>
      </c>
      <c r="B1090" t="s">
        <v>829</v>
      </c>
      <c r="C1090" t="s">
        <v>549</v>
      </c>
      <c r="D1090" t="s">
        <v>605</v>
      </c>
      <c r="E1090" s="2">
        <v>2.0771481481481481E-2</v>
      </c>
      <c r="F1090" s="2">
        <v>2.914616110418902E-3</v>
      </c>
      <c r="G1090">
        <v>27</v>
      </c>
      <c r="H1090" t="s">
        <v>58</v>
      </c>
      <c r="M1090" s="2">
        <v>2.6600713702319281E-2</v>
      </c>
      <c r="N1090" s="2">
        <v>1.494224926064368E-2</v>
      </c>
      <c r="O1090" s="2">
        <v>1.165846444167561E-2</v>
      </c>
      <c r="P1090" s="2">
        <v>7.1266611775147668</v>
      </c>
      <c r="R1090" t="str">
        <f t="shared" ref="R1090:R1153" si="51">IF(H1090="yes","yes","no")</f>
        <v>yes</v>
      </c>
      <c r="S1090" t="str">
        <f t="shared" ref="S1090:S1153" si="52">IF(I1090,"yes","no")</f>
        <v>no</v>
      </c>
      <c r="T10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0" s="2" t="b">
        <f t="shared" ref="U1090:U1153" si="53">NOT(ISNUMBER(SEARCH("RFIC*POWER", D1090)))</f>
        <v>1</v>
      </c>
      <c r="V1090" s="2">
        <f>IF(Table4[[#This Row],[linear?]],Table4[[#This Row],[av]],10^(Table4[[#This Row],[av]]/10))</f>
        <v>2.0771481481481481E-2</v>
      </c>
      <c r="W1090" s="2">
        <f>IF(Table4[[#This Row],[linear?]],Table4[[#This Row],[av]],10^(Table4[[#This Row],[av]]/10))</f>
        <v>2.0771481481481481E-2</v>
      </c>
      <c r="X1090" s="2">
        <f>Table4[[#This Row],[av_lin]]-2*Table4[[#This Row],[std_lin]]</f>
        <v>-2.0771481481481481E-2</v>
      </c>
      <c r="Y1090" s="2">
        <f>Table4[[#This Row],[av_lin]]+2*Table4[[#This Row],[std_lin]]</f>
        <v>6.2314444444444443E-2</v>
      </c>
    </row>
    <row r="1091" spans="1:25" x14ac:dyDescent="0.35">
      <c r="A1091" s="1">
        <v>1715</v>
      </c>
      <c r="B1091" t="s">
        <v>829</v>
      </c>
      <c r="C1091" t="s">
        <v>549</v>
      </c>
      <c r="D1091" t="s">
        <v>607</v>
      </c>
      <c r="E1091" s="2">
        <v>2.948024691358026E-3</v>
      </c>
      <c r="F1091" s="2">
        <v>1.2296666248018181E-3</v>
      </c>
      <c r="G1091">
        <v>27</v>
      </c>
      <c r="H1091" t="s">
        <v>58</v>
      </c>
      <c r="M1091" s="2">
        <v>5.4073579409616634E-3</v>
      </c>
      <c r="N1091" s="2">
        <v>4.8869144175438988E-4</v>
      </c>
      <c r="O1091" s="2">
        <v>4.9186664992072731E-3</v>
      </c>
      <c r="P1091" s="2">
        <v>2.3974178300831341</v>
      </c>
      <c r="R1091" t="str">
        <f t="shared" si="51"/>
        <v>yes</v>
      </c>
      <c r="S1091" t="str">
        <f t="shared" si="52"/>
        <v>no</v>
      </c>
      <c r="T10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1" s="2" t="b">
        <f t="shared" si="53"/>
        <v>1</v>
      </c>
      <c r="V1091" s="2">
        <f>IF(Table4[[#This Row],[linear?]],Table4[[#This Row],[av]],10^(Table4[[#This Row],[av]]/10))</f>
        <v>2.948024691358026E-3</v>
      </c>
      <c r="W1091" s="2">
        <f>IF(Table4[[#This Row],[linear?]],Table4[[#This Row],[av]],10^(Table4[[#This Row],[av]]/10))</f>
        <v>2.948024691358026E-3</v>
      </c>
      <c r="X1091" s="2">
        <f>Table4[[#This Row],[av_lin]]-2*Table4[[#This Row],[std_lin]]</f>
        <v>-2.948024691358026E-3</v>
      </c>
      <c r="Y1091" s="2">
        <f>Table4[[#This Row],[av_lin]]+2*Table4[[#This Row],[std_lin]]</f>
        <v>8.8440740740740771E-3</v>
      </c>
    </row>
    <row r="1092" spans="1:25" x14ac:dyDescent="0.35">
      <c r="A1092" s="1">
        <v>1717</v>
      </c>
      <c r="B1092" t="s">
        <v>829</v>
      </c>
      <c r="C1092" t="s">
        <v>549</v>
      </c>
      <c r="D1092" t="s">
        <v>609</v>
      </c>
      <c r="E1092" s="2">
        <v>2.3750617283950629E-3</v>
      </c>
      <c r="F1092" s="2">
        <v>1.188681209045802E-3</v>
      </c>
      <c r="G1092">
        <v>27</v>
      </c>
      <c r="H1092" t="s">
        <v>58</v>
      </c>
      <c r="M1092" s="2">
        <v>4.7524241464866664E-3</v>
      </c>
      <c r="N1092" s="2">
        <v>-2.3006896965409832E-6</v>
      </c>
      <c r="O1092" s="2">
        <v>4.7547248361832078E-3</v>
      </c>
      <c r="P1092" s="2">
        <v>1.9980645023417269</v>
      </c>
      <c r="R1092" t="str">
        <f t="shared" si="51"/>
        <v>yes</v>
      </c>
      <c r="S1092" t="str">
        <f t="shared" si="52"/>
        <v>no</v>
      </c>
      <c r="T10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2" s="2" t="b">
        <f t="shared" si="53"/>
        <v>1</v>
      </c>
      <c r="V1092" s="2">
        <f>IF(Table4[[#This Row],[linear?]],Table4[[#This Row],[av]],10^(Table4[[#This Row],[av]]/10))</f>
        <v>2.3750617283950629E-3</v>
      </c>
      <c r="W1092" s="2">
        <f>IF(Table4[[#This Row],[linear?]],Table4[[#This Row],[av]],10^(Table4[[#This Row],[av]]/10))</f>
        <v>2.3750617283950629E-3</v>
      </c>
      <c r="X1092" s="2">
        <f>Table4[[#This Row],[av_lin]]-2*Table4[[#This Row],[std_lin]]</f>
        <v>-2.3750617283950629E-3</v>
      </c>
      <c r="Y1092" s="2">
        <f>Table4[[#This Row],[av_lin]]+2*Table4[[#This Row],[std_lin]]</f>
        <v>7.1251851851851893E-3</v>
      </c>
    </row>
    <row r="1093" spans="1:25" x14ac:dyDescent="0.35">
      <c r="A1093" s="1">
        <v>1719</v>
      </c>
      <c r="B1093" t="s">
        <v>829</v>
      </c>
      <c r="C1093" t="s">
        <v>549</v>
      </c>
      <c r="D1093" t="s">
        <v>611</v>
      </c>
      <c r="E1093" s="2">
        <v>2.1942469135802469E-2</v>
      </c>
      <c r="F1093" s="2">
        <v>3.1136241085679291E-3</v>
      </c>
      <c r="G1093">
        <v>27</v>
      </c>
      <c r="H1093" t="s">
        <v>58</v>
      </c>
      <c r="M1093" s="2">
        <v>2.8169717352938332E-2</v>
      </c>
      <c r="N1093" s="2">
        <v>1.571522091866661E-2</v>
      </c>
      <c r="O1093" s="2">
        <v>1.245449643427172E-2</v>
      </c>
      <c r="P1093" s="2">
        <v>7.0472441022736758</v>
      </c>
      <c r="R1093" t="str">
        <f t="shared" si="51"/>
        <v>yes</v>
      </c>
      <c r="S1093" t="str">
        <f t="shared" si="52"/>
        <v>no</v>
      </c>
      <c r="T10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3" s="2" t="b">
        <f t="shared" si="53"/>
        <v>1</v>
      </c>
      <c r="V1093" s="2">
        <f>IF(Table4[[#This Row],[linear?]],Table4[[#This Row],[av]],10^(Table4[[#This Row],[av]]/10))</f>
        <v>2.1942469135802469E-2</v>
      </c>
      <c r="W1093" s="2">
        <f>IF(Table4[[#This Row],[linear?]],Table4[[#This Row],[av]],10^(Table4[[#This Row],[av]]/10))</f>
        <v>2.1942469135802469E-2</v>
      </c>
      <c r="X1093" s="2">
        <f>Table4[[#This Row],[av_lin]]-2*Table4[[#This Row],[std_lin]]</f>
        <v>-2.1942469135802469E-2</v>
      </c>
      <c r="Y1093" s="2">
        <f>Table4[[#This Row],[av_lin]]+2*Table4[[#This Row],[std_lin]]</f>
        <v>6.5827407407407404E-2</v>
      </c>
    </row>
    <row r="1094" spans="1:25" x14ac:dyDescent="0.35">
      <c r="A1094" s="1">
        <v>1722</v>
      </c>
      <c r="B1094" t="s">
        <v>829</v>
      </c>
      <c r="C1094" t="s">
        <v>549</v>
      </c>
      <c r="D1094" t="s">
        <v>614</v>
      </c>
      <c r="E1094" s="2">
        <v>3.0390617283950611E-2</v>
      </c>
      <c r="F1094" s="2">
        <v>6.8893267664819078E-3</v>
      </c>
      <c r="G1094">
        <v>27</v>
      </c>
      <c r="H1094" t="s">
        <v>58</v>
      </c>
      <c r="M1094" s="2">
        <v>4.4169270816914429E-2</v>
      </c>
      <c r="N1094" s="2">
        <v>1.6611963750986791E-2</v>
      </c>
      <c r="O1094" s="2">
        <v>2.7557307065927631E-2</v>
      </c>
      <c r="P1094" s="2">
        <v>4.4112608262113007</v>
      </c>
      <c r="R1094" t="str">
        <f t="shared" si="51"/>
        <v>yes</v>
      </c>
      <c r="S1094" t="str">
        <f t="shared" si="52"/>
        <v>no</v>
      </c>
      <c r="T10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4" s="2" t="b">
        <f t="shared" si="53"/>
        <v>1</v>
      </c>
      <c r="V1094" s="2">
        <f>IF(Table4[[#This Row],[linear?]],Table4[[#This Row],[av]],10^(Table4[[#This Row],[av]]/10))</f>
        <v>3.0390617283950611E-2</v>
      </c>
      <c r="W1094" s="2">
        <f>IF(Table4[[#This Row],[linear?]],Table4[[#This Row],[av]],10^(Table4[[#This Row],[av]]/10))</f>
        <v>3.0390617283950611E-2</v>
      </c>
      <c r="X1094" s="2">
        <f>Table4[[#This Row],[av_lin]]-2*Table4[[#This Row],[std_lin]]</f>
        <v>-3.0390617283950611E-2</v>
      </c>
      <c r="Y1094" s="2">
        <f>Table4[[#This Row],[av_lin]]+2*Table4[[#This Row],[std_lin]]</f>
        <v>9.1171851851851837E-2</v>
      </c>
    </row>
    <row r="1095" spans="1:25" x14ac:dyDescent="0.35">
      <c r="A1095" s="1">
        <v>1723</v>
      </c>
      <c r="B1095" t="s">
        <v>829</v>
      </c>
      <c r="C1095" t="s">
        <v>549</v>
      </c>
      <c r="D1095" t="s">
        <v>615</v>
      </c>
      <c r="E1095" s="2">
        <v>3.4752962962962958E-2</v>
      </c>
      <c r="F1095" s="2">
        <v>9.4855255433589115E-3</v>
      </c>
      <c r="G1095">
        <v>27</v>
      </c>
      <c r="H1095" t="s">
        <v>58</v>
      </c>
      <c r="M1095" s="2">
        <v>5.3724014049680781E-2</v>
      </c>
      <c r="N1095" s="2">
        <v>1.5781911876245131E-2</v>
      </c>
      <c r="O1095" s="2">
        <v>3.7942102173435653E-2</v>
      </c>
      <c r="P1095" s="2">
        <v>3.663788875387564</v>
      </c>
      <c r="R1095" t="str">
        <f t="shared" si="51"/>
        <v>yes</v>
      </c>
      <c r="S1095" t="str">
        <f t="shared" si="52"/>
        <v>no</v>
      </c>
      <c r="T10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5" s="2" t="b">
        <f t="shared" si="53"/>
        <v>1</v>
      </c>
      <c r="V1095" s="2">
        <f>IF(Table4[[#This Row],[linear?]],Table4[[#This Row],[av]],10^(Table4[[#This Row],[av]]/10))</f>
        <v>3.4752962962962958E-2</v>
      </c>
      <c r="W1095" s="2">
        <f>IF(Table4[[#This Row],[linear?]],Table4[[#This Row],[av]],10^(Table4[[#This Row],[av]]/10))</f>
        <v>3.4752962962962958E-2</v>
      </c>
      <c r="X1095" s="2">
        <f>Table4[[#This Row],[av_lin]]-2*Table4[[#This Row],[std_lin]]</f>
        <v>-3.4752962962962958E-2</v>
      </c>
      <c r="Y1095" s="2">
        <f>Table4[[#This Row],[av_lin]]+2*Table4[[#This Row],[std_lin]]</f>
        <v>0.10425888888888887</v>
      </c>
    </row>
    <row r="1096" spans="1:25" x14ac:dyDescent="0.35">
      <c r="A1096" s="1">
        <v>1724</v>
      </c>
      <c r="B1096" t="s">
        <v>829</v>
      </c>
      <c r="C1096" t="s">
        <v>549</v>
      </c>
      <c r="D1096" t="s">
        <v>616</v>
      </c>
      <c r="E1096" s="2">
        <v>3.131493827160494E-2</v>
      </c>
      <c r="F1096" s="2">
        <v>8.7140761365570845E-3</v>
      </c>
      <c r="G1096">
        <v>27</v>
      </c>
      <c r="H1096" t="s">
        <v>58</v>
      </c>
      <c r="M1096" s="2">
        <v>4.8743090544719113E-2</v>
      </c>
      <c r="N1096" s="2">
        <v>1.388678599849077E-2</v>
      </c>
      <c r="O1096" s="2">
        <v>3.4856304546228331E-2</v>
      </c>
      <c r="P1096" s="2">
        <v>3.593603932404636</v>
      </c>
      <c r="R1096" t="str">
        <f t="shared" si="51"/>
        <v>yes</v>
      </c>
      <c r="S1096" t="str">
        <f t="shared" si="52"/>
        <v>no</v>
      </c>
      <c r="T10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6" s="2" t="b">
        <f t="shared" si="53"/>
        <v>1</v>
      </c>
      <c r="V1096" s="2">
        <f>IF(Table4[[#This Row],[linear?]],Table4[[#This Row],[av]],10^(Table4[[#This Row],[av]]/10))</f>
        <v>3.131493827160494E-2</v>
      </c>
      <c r="W1096" s="2">
        <f>IF(Table4[[#This Row],[linear?]],Table4[[#This Row],[av]],10^(Table4[[#This Row],[av]]/10))</f>
        <v>3.131493827160494E-2</v>
      </c>
      <c r="X1096" s="2">
        <f>Table4[[#This Row],[av_lin]]-2*Table4[[#This Row],[std_lin]]</f>
        <v>-3.131493827160494E-2</v>
      </c>
      <c r="Y1096" s="2">
        <f>Table4[[#This Row],[av_lin]]+2*Table4[[#This Row],[std_lin]]</f>
        <v>9.3944814814814814E-2</v>
      </c>
    </row>
    <row r="1097" spans="1:25" x14ac:dyDescent="0.35">
      <c r="A1097" s="1">
        <v>1725</v>
      </c>
      <c r="B1097" t="s">
        <v>829</v>
      </c>
      <c r="C1097" t="s">
        <v>549</v>
      </c>
      <c r="D1097" t="s">
        <v>617</v>
      </c>
      <c r="E1097" s="2">
        <v>7.4118518518518514E-2</v>
      </c>
      <c r="F1097" s="2">
        <v>5.5317024092300321E-3</v>
      </c>
      <c r="G1097">
        <v>27</v>
      </c>
      <c r="H1097" t="s">
        <v>58</v>
      </c>
      <c r="M1097" s="2">
        <v>8.5181923336978577E-2</v>
      </c>
      <c r="N1097" s="2">
        <v>6.3055113700058452E-2</v>
      </c>
      <c r="O1097" s="2">
        <v>2.2126809636920129E-2</v>
      </c>
      <c r="P1097" s="2">
        <v>13.39886223721048</v>
      </c>
      <c r="R1097" t="str">
        <f t="shared" si="51"/>
        <v>yes</v>
      </c>
      <c r="S1097" t="str">
        <f t="shared" si="52"/>
        <v>no</v>
      </c>
      <c r="T10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7" s="2" t="b">
        <f t="shared" si="53"/>
        <v>1</v>
      </c>
      <c r="V1097" s="2">
        <f>IF(Table4[[#This Row],[linear?]],Table4[[#This Row],[av]],10^(Table4[[#This Row],[av]]/10))</f>
        <v>7.4118518518518514E-2</v>
      </c>
      <c r="W1097" s="2">
        <f>IF(Table4[[#This Row],[linear?]],Table4[[#This Row],[av]],10^(Table4[[#This Row],[av]]/10))</f>
        <v>7.4118518518518514E-2</v>
      </c>
      <c r="X1097" s="2">
        <f>Table4[[#This Row],[av_lin]]-2*Table4[[#This Row],[std_lin]]</f>
        <v>-7.4118518518518514E-2</v>
      </c>
      <c r="Y1097" s="2">
        <f>Table4[[#This Row],[av_lin]]+2*Table4[[#This Row],[std_lin]]</f>
        <v>0.22235555555555553</v>
      </c>
    </row>
    <row r="1098" spans="1:25" x14ac:dyDescent="0.35">
      <c r="A1098" s="1">
        <v>1727</v>
      </c>
      <c r="B1098" t="s">
        <v>829</v>
      </c>
      <c r="C1098" t="s">
        <v>549</v>
      </c>
      <c r="D1098" t="s">
        <v>619</v>
      </c>
      <c r="E1098" s="2">
        <v>4.0701975308641967E-2</v>
      </c>
      <c r="F1098" s="2">
        <v>5.1643713398811988E-3</v>
      </c>
      <c r="G1098">
        <v>27</v>
      </c>
      <c r="H1098" t="s">
        <v>58</v>
      </c>
      <c r="M1098" s="2">
        <v>5.1030717988404362E-2</v>
      </c>
      <c r="N1098" s="2">
        <v>3.037323262887957E-2</v>
      </c>
      <c r="O1098" s="2">
        <v>2.0657485359524792E-2</v>
      </c>
      <c r="P1098" s="2">
        <v>7.8813029950666316</v>
      </c>
      <c r="R1098" t="str">
        <f t="shared" si="51"/>
        <v>yes</v>
      </c>
      <c r="S1098" t="str">
        <f t="shared" si="52"/>
        <v>no</v>
      </c>
      <c r="T10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8" s="2" t="b">
        <f t="shared" si="53"/>
        <v>1</v>
      </c>
      <c r="V1098" s="2">
        <f>IF(Table4[[#This Row],[linear?]],Table4[[#This Row],[av]],10^(Table4[[#This Row],[av]]/10))</f>
        <v>4.0701975308641967E-2</v>
      </c>
      <c r="W1098" s="2">
        <f>IF(Table4[[#This Row],[linear?]],Table4[[#This Row],[av]],10^(Table4[[#This Row],[av]]/10))</f>
        <v>4.0701975308641967E-2</v>
      </c>
      <c r="X1098" s="2">
        <f>Table4[[#This Row],[av_lin]]-2*Table4[[#This Row],[std_lin]]</f>
        <v>-4.0701975308641967E-2</v>
      </c>
      <c r="Y1098" s="2">
        <f>Table4[[#This Row],[av_lin]]+2*Table4[[#This Row],[std_lin]]</f>
        <v>0.1221059259259259</v>
      </c>
    </row>
    <row r="1099" spans="1:25" x14ac:dyDescent="0.35">
      <c r="A1099" s="1">
        <v>1728</v>
      </c>
      <c r="B1099" t="s">
        <v>829</v>
      </c>
      <c r="C1099" t="s">
        <v>549</v>
      </c>
      <c r="D1099" t="s">
        <v>620</v>
      </c>
      <c r="E1099" s="2">
        <v>4.2556913580246908E-2</v>
      </c>
      <c r="F1099" s="2">
        <v>6.0487718360555161E-3</v>
      </c>
      <c r="G1099">
        <v>27</v>
      </c>
      <c r="H1099" t="s">
        <v>58</v>
      </c>
      <c r="M1099" s="2">
        <v>5.4654457252357937E-2</v>
      </c>
      <c r="N1099" s="2">
        <v>3.0459369908135879E-2</v>
      </c>
      <c r="O1099" s="2">
        <v>2.4195087344222072E-2</v>
      </c>
      <c r="P1099" s="2">
        <v>7.0356288406472336</v>
      </c>
      <c r="R1099" t="str">
        <f t="shared" si="51"/>
        <v>yes</v>
      </c>
      <c r="S1099" t="str">
        <f t="shared" si="52"/>
        <v>no</v>
      </c>
      <c r="T10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9" s="2" t="b">
        <f t="shared" si="53"/>
        <v>1</v>
      </c>
      <c r="V1099" s="2">
        <f>IF(Table4[[#This Row],[linear?]],Table4[[#This Row],[av]],10^(Table4[[#This Row],[av]]/10))</f>
        <v>4.2556913580246908E-2</v>
      </c>
      <c r="W1099" s="2">
        <f>IF(Table4[[#This Row],[linear?]],Table4[[#This Row],[av]],10^(Table4[[#This Row],[av]]/10))</f>
        <v>4.2556913580246908E-2</v>
      </c>
      <c r="X1099" s="2">
        <f>Table4[[#This Row],[av_lin]]-2*Table4[[#This Row],[std_lin]]</f>
        <v>-4.2556913580246908E-2</v>
      </c>
      <c r="Y1099" s="2">
        <f>Table4[[#This Row],[av_lin]]+2*Table4[[#This Row],[std_lin]]</f>
        <v>0.12767074074074072</v>
      </c>
    </row>
    <row r="1100" spans="1:25" x14ac:dyDescent="0.35">
      <c r="A1100" s="1">
        <v>1729</v>
      </c>
      <c r="B1100" t="s">
        <v>829</v>
      </c>
      <c r="C1100" t="s">
        <v>549</v>
      </c>
      <c r="D1100" t="s">
        <v>621</v>
      </c>
      <c r="E1100" s="2">
        <v>4.2071975308641971E-2</v>
      </c>
      <c r="F1100" s="2">
        <v>7.883371223462771E-3</v>
      </c>
      <c r="G1100">
        <v>27</v>
      </c>
      <c r="H1100" t="s">
        <v>58</v>
      </c>
      <c r="M1100" s="2">
        <v>5.7838717755567509E-2</v>
      </c>
      <c r="N1100" s="2">
        <v>2.6305232861716429E-2</v>
      </c>
      <c r="O1100" s="2">
        <v>3.1533484893851077E-2</v>
      </c>
      <c r="P1100" s="2">
        <v>5.3367999699704427</v>
      </c>
      <c r="R1100" t="str">
        <f t="shared" si="51"/>
        <v>yes</v>
      </c>
      <c r="S1100" t="str">
        <f t="shared" si="52"/>
        <v>no</v>
      </c>
      <c r="T11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0" s="2" t="b">
        <f t="shared" si="53"/>
        <v>1</v>
      </c>
      <c r="V1100" s="2">
        <f>IF(Table4[[#This Row],[linear?]],Table4[[#This Row],[av]],10^(Table4[[#This Row],[av]]/10))</f>
        <v>4.2071975308641971E-2</v>
      </c>
      <c r="W1100" s="2">
        <f>IF(Table4[[#This Row],[linear?]],Table4[[#This Row],[av]],10^(Table4[[#This Row],[av]]/10))</f>
        <v>4.2071975308641971E-2</v>
      </c>
      <c r="X1100" s="2">
        <f>Table4[[#This Row],[av_lin]]-2*Table4[[#This Row],[std_lin]]</f>
        <v>-4.2071975308641971E-2</v>
      </c>
      <c r="Y1100" s="2">
        <f>Table4[[#This Row],[av_lin]]+2*Table4[[#This Row],[std_lin]]</f>
        <v>0.1262159259259259</v>
      </c>
    </row>
    <row r="1101" spans="1:25" x14ac:dyDescent="0.35">
      <c r="A1101" s="1">
        <v>1731</v>
      </c>
      <c r="B1101" t="s">
        <v>829</v>
      </c>
      <c r="C1101" t="s">
        <v>549</v>
      </c>
      <c r="D1101" t="s">
        <v>623</v>
      </c>
      <c r="E1101" s="2">
        <v>3.5857407407407407E-2</v>
      </c>
      <c r="F1101" s="2">
        <v>8.1104659757255011E-3</v>
      </c>
      <c r="G1101">
        <v>27</v>
      </c>
      <c r="H1101" t="s">
        <v>58</v>
      </c>
      <c r="M1101" s="2">
        <v>5.207833935885841E-2</v>
      </c>
      <c r="N1101" s="2">
        <v>1.9636475455956409E-2</v>
      </c>
      <c r="O1101" s="2">
        <v>3.2441863902901998E-2</v>
      </c>
      <c r="P1101" s="2">
        <v>4.4211279000156178</v>
      </c>
      <c r="R1101" t="str">
        <f t="shared" si="51"/>
        <v>yes</v>
      </c>
      <c r="S1101" t="str">
        <f t="shared" si="52"/>
        <v>no</v>
      </c>
      <c r="T11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1" s="2" t="b">
        <f t="shared" si="53"/>
        <v>1</v>
      </c>
      <c r="V1101" s="2">
        <f>IF(Table4[[#This Row],[linear?]],Table4[[#This Row],[av]],10^(Table4[[#This Row],[av]]/10))</f>
        <v>3.5857407407407407E-2</v>
      </c>
      <c r="W1101" s="2">
        <f>IF(Table4[[#This Row],[linear?]],Table4[[#This Row],[av]],10^(Table4[[#This Row],[av]]/10))</f>
        <v>3.5857407407407407E-2</v>
      </c>
      <c r="X1101" s="2">
        <f>Table4[[#This Row],[av_lin]]-2*Table4[[#This Row],[std_lin]]</f>
        <v>-3.5857407407407407E-2</v>
      </c>
      <c r="Y1101" s="2">
        <f>Table4[[#This Row],[av_lin]]+2*Table4[[#This Row],[std_lin]]</f>
        <v>0.10757222222222222</v>
      </c>
    </row>
    <row r="1102" spans="1:25" x14ac:dyDescent="0.35">
      <c r="A1102" s="1">
        <v>1732</v>
      </c>
      <c r="B1102" t="s">
        <v>829</v>
      </c>
      <c r="C1102" t="s">
        <v>549</v>
      </c>
      <c r="D1102" t="s">
        <v>624</v>
      </c>
      <c r="E1102" s="2">
        <v>3.8006296296296288E-2</v>
      </c>
      <c r="F1102" s="2">
        <v>1.3958936317903641E-2</v>
      </c>
      <c r="G1102">
        <v>27</v>
      </c>
      <c r="H1102" t="s">
        <v>58</v>
      </c>
      <c r="M1102" s="2">
        <v>6.5924168932103566E-2</v>
      </c>
      <c r="N1102" s="2">
        <v>1.008842366048901E-2</v>
      </c>
      <c r="O1102" s="2">
        <v>5.5835745271614563E-2</v>
      </c>
      <c r="P1102" s="2">
        <v>2.722721519085209</v>
      </c>
      <c r="R1102" t="str">
        <f t="shared" si="51"/>
        <v>yes</v>
      </c>
      <c r="S1102" t="str">
        <f t="shared" si="52"/>
        <v>no</v>
      </c>
      <c r="T11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2" s="2" t="b">
        <f t="shared" si="53"/>
        <v>1</v>
      </c>
      <c r="V1102" s="2">
        <f>IF(Table4[[#This Row],[linear?]],Table4[[#This Row],[av]],10^(Table4[[#This Row],[av]]/10))</f>
        <v>3.8006296296296288E-2</v>
      </c>
      <c r="W1102" s="2">
        <f>IF(Table4[[#This Row],[linear?]],Table4[[#This Row],[av]],10^(Table4[[#This Row],[av]]/10))</f>
        <v>3.8006296296296288E-2</v>
      </c>
      <c r="X1102" s="2">
        <f>Table4[[#This Row],[av_lin]]-2*Table4[[#This Row],[std_lin]]</f>
        <v>-3.8006296296296288E-2</v>
      </c>
      <c r="Y1102" s="2">
        <f>Table4[[#This Row],[av_lin]]+2*Table4[[#This Row],[std_lin]]</f>
        <v>0.11401888888888886</v>
      </c>
    </row>
    <row r="1103" spans="1:25" x14ac:dyDescent="0.35">
      <c r="A1103" s="1">
        <v>1733</v>
      </c>
      <c r="B1103" t="s">
        <v>829</v>
      </c>
      <c r="C1103" t="s">
        <v>549</v>
      </c>
      <c r="D1103" t="s">
        <v>625</v>
      </c>
      <c r="E1103" s="2">
        <v>3.5210493827160488E-2</v>
      </c>
      <c r="F1103" s="2">
        <v>1.135474243457847E-2</v>
      </c>
      <c r="G1103">
        <v>27</v>
      </c>
      <c r="H1103" t="s">
        <v>58</v>
      </c>
      <c r="M1103" s="2">
        <v>5.7919978696317431E-2</v>
      </c>
      <c r="N1103" s="2">
        <v>1.2501008958003551E-2</v>
      </c>
      <c r="O1103" s="2">
        <v>4.5418969738313893E-2</v>
      </c>
      <c r="P1103" s="2">
        <v>3.10095046453316</v>
      </c>
      <c r="R1103" t="str">
        <f t="shared" si="51"/>
        <v>yes</v>
      </c>
      <c r="S1103" t="str">
        <f t="shared" si="52"/>
        <v>no</v>
      </c>
      <c r="T11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3" s="2" t="b">
        <f t="shared" si="53"/>
        <v>1</v>
      </c>
      <c r="V1103" s="2">
        <f>IF(Table4[[#This Row],[linear?]],Table4[[#This Row],[av]],10^(Table4[[#This Row],[av]]/10))</f>
        <v>3.5210493827160488E-2</v>
      </c>
      <c r="W1103" s="2">
        <f>IF(Table4[[#This Row],[linear?]],Table4[[#This Row],[av]],10^(Table4[[#This Row],[av]]/10))</f>
        <v>3.5210493827160488E-2</v>
      </c>
      <c r="X1103" s="2">
        <f>Table4[[#This Row],[av_lin]]-2*Table4[[#This Row],[std_lin]]</f>
        <v>-3.5210493827160488E-2</v>
      </c>
      <c r="Y1103" s="2">
        <f>Table4[[#This Row],[av_lin]]+2*Table4[[#This Row],[std_lin]]</f>
        <v>0.10563148148148147</v>
      </c>
    </row>
    <row r="1104" spans="1:25" x14ac:dyDescent="0.35">
      <c r="A1104" s="1">
        <v>1734</v>
      </c>
      <c r="B1104" t="s">
        <v>829</v>
      </c>
      <c r="C1104" t="s">
        <v>549</v>
      </c>
      <c r="D1104" t="s">
        <v>626</v>
      </c>
      <c r="E1104" s="2">
        <v>7.7334197530864193E-2</v>
      </c>
      <c r="F1104" s="2">
        <v>6.8799598174537901E-3</v>
      </c>
      <c r="G1104">
        <v>27</v>
      </c>
      <c r="H1104" t="s">
        <v>58</v>
      </c>
      <c r="M1104" s="2">
        <v>9.1094117165771774E-2</v>
      </c>
      <c r="N1104" s="2">
        <v>6.3574277895956613E-2</v>
      </c>
      <c r="O1104" s="2">
        <v>2.7519839269815161E-2</v>
      </c>
      <c r="P1104" s="2">
        <v>11.24050133762044</v>
      </c>
      <c r="R1104" t="str">
        <f t="shared" si="51"/>
        <v>yes</v>
      </c>
      <c r="S1104" t="str">
        <f t="shared" si="52"/>
        <v>no</v>
      </c>
      <c r="T11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4" s="2" t="b">
        <f t="shared" si="53"/>
        <v>1</v>
      </c>
      <c r="V1104" s="2">
        <f>IF(Table4[[#This Row],[linear?]],Table4[[#This Row],[av]],10^(Table4[[#This Row],[av]]/10))</f>
        <v>7.7334197530864193E-2</v>
      </c>
      <c r="W1104" s="2">
        <f>IF(Table4[[#This Row],[linear?]],Table4[[#This Row],[av]],10^(Table4[[#This Row],[av]]/10))</f>
        <v>7.7334197530864193E-2</v>
      </c>
      <c r="X1104" s="2">
        <f>Table4[[#This Row],[av_lin]]-2*Table4[[#This Row],[std_lin]]</f>
        <v>-7.7334197530864193E-2</v>
      </c>
      <c r="Y1104" s="2">
        <f>Table4[[#This Row],[av_lin]]+2*Table4[[#This Row],[std_lin]]</f>
        <v>0.23200259259259259</v>
      </c>
    </row>
    <row r="1105" spans="1:25" x14ac:dyDescent="0.35">
      <c r="A1105" s="1">
        <v>1736</v>
      </c>
      <c r="B1105" t="s">
        <v>829</v>
      </c>
      <c r="C1105" t="s">
        <v>549</v>
      </c>
      <c r="D1105" t="s">
        <v>628</v>
      </c>
      <c r="E1105" s="2">
        <v>4.3471234567901237E-2</v>
      </c>
      <c r="F1105" s="2">
        <v>7.5330383405706799E-3</v>
      </c>
      <c r="G1105">
        <v>27</v>
      </c>
      <c r="H1105" t="s">
        <v>58</v>
      </c>
      <c r="M1105" s="2">
        <v>5.8537311249042601E-2</v>
      </c>
      <c r="N1105" s="2">
        <v>2.8405157886759881E-2</v>
      </c>
      <c r="O1105" s="2">
        <v>3.013215336228272E-2</v>
      </c>
      <c r="P1105" s="2">
        <v>5.7707438356948533</v>
      </c>
      <c r="R1105" t="str">
        <f t="shared" si="51"/>
        <v>yes</v>
      </c>
      <c r="S1105" t="str">
        <f t="shared" si="52"/>
        <v>no</v>
      </c>
      <c r="T11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5" s="2" t="b">
        <f t="shared" si="53"/>
        <v>1</v>
      </c>
      <c r="V1105" s="2">
        <f>IF(Table4[[#This Row],[linear?]],Table4[[#This Row],[av]],10^(Table4[[#This Row],[av]]/10))</f>
        <v>4.3471234567901237E-2</v>
      </c>
      <c r="W1105" s="2">
        <f>IF(Table4[[#This Row],[linear?]],Table4[[#This Row],[av]],10^(Table4[[#This Row],[av]]/10))</f>
        <v>4.3471234567901237E-2</v>
      </c>
      <c r="X1105" s="2">
        <f>Table4[[#This Row],[av_lin]]-2*Table4[[#This Row],[std_lin]]</f>
        <v>-4.3471234567901237E-2</v>
      </c>
      <c r="Y1105" s="2">
        <f>Table4[[#This Row],[av_lin]]+2*Table4[[#This Row],[std_lin]]</f>
        <v>0.1304137037037037</v>
      </c>
    </row>
    <row r="1106" spans="1:25" x14ac:dyDescent="0.35">
      <c r="A1106" s="1">
        <v>1737</v>
      </c>
      <c r="B1106" t="s">
        <v>829</v>
      </c>
      <c r="C1106" t="s">
        <v>549</v>
      </c>
      <c r="D1106" t="s">
        <v>629</v>
      </c>
      <c r="E1106" s="2">
        <v>4.6341728395061732E-2</v>
      </c>
      <c r="F1106" s="2">
        <v>6.7606316018905049E-3</v>
      </c>
      <c r="G1106">
        <v>27</v>
      </c>
      <c r="H1106" t="s">
        <v>58</v>
      </c>
      <c r="M1106" s="2">
        <v>5.9862991598842737E-2</v>
      </c>
      <c r="N1106" s="2">
        <v>3.282046519128072E-2</v>
      </c>
      <c r="O1106" s="2">
        <v>2.704252640756202E-2</v>
      </c>
      <c r="P1106" s="2">
        <v>6.8546448207742889</v>
      </c>
      <c r="R1106" t="str">
        <f t="shared" si="51"/>
        <v>yes</v>
      </c>
      <c r="S1106" t="str">
        <f t="shared" si="52"/>
        <v>no</v>
      </c>
      <c r="T11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6" s="2" t="b">
        <f t="shared" si="53"/>
        <v>1</v>
      </c>
      <c r="V1106" s="2">
        <f>IF(Table4[[#This Row],[linear?]],Table4[[#This Row],[av]],10^(Table4[[#This Row],[av]]/10))</f>
        <v>4.6341728395061732E-2</v>
      </c>
      <c r="W1106" s="2">
        <f>IF(Table4[[#This Row],[linear?]],Table4[[#This Row],[av]],10^(Table4[[#This Row],[av]]/10))</f>
        <v>4.6341728395061732E-2</v>
      </c>
      <c r="X1106" s="2">
        <f>Table4[[#This Row],[av_lin]]-2*Table4[[#This Row],[std_lin]]</f>
        <v>-4.6341728395061732E-2</v>
      </c>
      <c r="Y1106" s="2">
        <f>Table4[[#This Row],[av_lin]]+2*Table4[[#This Row],[std_lin]]</f>
        <v>0.1390251851851852</v>
      </c>
    </row>
    <row r="1107" spans="1:25" x14ac:dyDescent="0.35">
      <c r="A1107" s="1">
        <v>1738</v>
      </c>
      <c r="B1107" t="s">
        <v>829</v>
      </c>
      <c r="C1107" t="s">
        <v>549</v>
      </c>
      <c r="D1107" t="s">
        <v>630</v>
      </c>
      <c r="E1107" s="2">
        <v>4.5855432098765428E-2</v>
      </c>
      <c r="F1107" s="2">
        <v>7.6665599200959793E-3</v>
      </c>
      <c r="G1107">
        <v>27</v>
      </c>
      <c r="H1107" t="s">
        <v>58</v>
      </c>
      <c r="M1107" s="2">
        <v>6.1188551938957378E-2</v>
      </c>
      <c r="N1107" s="2">
        <v>3.0522312258573471E-2</v>
      </c>
      <c r="O1107" s="2">
        <v>3.066623968038391E-2</v>
      </c>
      <c r="P1107" s="2">
        <v>5.9812265966338858</v>
      </c>
      <c r="R1107" t="str">
        <f t="shared" si="51"/>
        <v>yes</v>
      </c>
      <c r="S1107" t="str">
        <f t="shared" si="52"/>
        <v>no</v>
      </c>
      <c r="T11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7" s="2" t="b">
        <f t="shared" si="53"/>
        <v>1</v>
      </c>
      <c r="V1107" s="2">
        <f>IF(Table4[[#This Row],[linear?]],Table4[[#This Row],[av]],10^(Table4[[#This Row],[av]]/10))</f>
        <v>4.5855432098765428E-2</v>
      </c>
      <c r="W1107" s="2">
        <f>IF(Table4[[#This Row],[linear?]],Table4[[#This Row],[av]],10^(Table4[[#This Row],[av]]/10))</f>
        <v>4.5855432098765428E-2</v>
      </c>
      <c r="X1107" s="2">
        <f>Table4[[#This Row],[av_lin]]-2*Table4[[#This Row],[std_lin]]</f>
        <v>-4.5855432098765428E-2</v>
      </c>
      <c r="Y1107" s="2">
        <f>Table4[[#This Row],[av_lin]]+2*Table4[[#This Row],[std_lin]]</f>
        <v>0.1375662962962963</v>
      </c>
    </row>
    <row r="1108" spans="1:25" x14ac:dyDescent="0.35">
      <c r="A1108" s="1">
        <v>1740</v>
      </c>
      <c r="B1108" t="s">
        <v>829</v>
      </c>
      <c r="C1108" t="s">
        <v>549</v>
      </c>
      <c r="D1108" t="s">
        <v>632</v>
      </c>
      <c r="E1108" s="2">
        <v>3.3891851851851847E-2</v>
      </c>
      <c r="F1108" s="2">
        <v>7.4338145140249532E-3</v>
      </c>
      <c r="G1108">
        <v>27</v>
      </c>
      <c r="H1108" t="s">
        <v>58</v>
      </c>
      <c r="M1108" s="2">
        <v>4.8759480879901763E-2</v>
      </c>
      <c r="N1108" s="2">
        <v>1.902422282380194E-2</v>
      </c>
      <c r="O1108" s="2">
        <v>2.973525805609982E-2</v>
      </c>
      <c r="P1108" s="2">
        <v>4.5591468266944277</v>
      </c>
      <c r="R1108" t="str">
        <f t="shared" si="51"/>
        <v>yes</v>
      </c>
      <c r="S1108" t="str">
        <f t="shared" si="52"/>
        <v>no</v>
      </c>
      <c r="T11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8" s="2" t="b">
        <f t="shared" si="53"/>
        <v>1</v>
      </c>
      <c r="V1108" s="2">
        <f>IF(Table4[[#This Row],[linear?]],Table4[[#This Row],[av]],10^(Table4[[#This Row],[av]]/10))</f>
        <v>3.3891851851851847E-2</v>
      </c>
      <c r="W1108" s="2">
        <f>IF(Table4[[#This Row],[linear?]],Table4[[#This Row],[av]],10^(Table4[[#This Row],[av]]/10))</f>
        <v>3.3891851851851847E-2</v>
      </c>
      <c r="X1108" s="2">
        <f>Table4[[#This Row],[av_lin]]-2*Table4[[#This Row],[std_lin]]</f>
        <v>-3.3891851851851847E-2</v>
      </c>
      <c r="Y1108" s="2">
        <f>Table4[[#This Row],[av_lin]]+2*Table4[[#This Row],[std_lin]]</f>
        <v>0.10167555555555555</v>
      </c>
    </row>
    <row r="1109" spans="1:25" x14ac:dyDescent="0.35">
      <c r="A1109" s="1">
        <v>1741</v>
      </c>
      <c r="B1109" t="s">
        <v>829</v>
      </c>
      <c r="C1109" t="s">
        <v>549</v>
      </c>
      <c r="D1109" t="s">
        <v>633</v>
      </c>
      <c r="E1109" s="2">
        <v>3.85037037037037E-2</v>
      </c>
      <c r="F1109" s="2">
        <v>1.3453932863592911E-2</v>
      </c>
      <c r="G1109">
        <v>27</v>
      </c>
      <c r="H1109" t="s">
        <v>58</v>
      </c>
      <c r="M1109" s="2">
        <v>6.5411569430889521E-2</v>
      </c>
      <c r="N1109" s="2">
        <v>1.159583797651788E-2</v>
      </c>
      <c r="O1109" s="2">
        <v>5.3815731454371643E-2</v>
      </c>
      <c r="P1109" s="2">
        <v>2.8618920648769448</v>
      </c>
      <c r="R1109" t="str">
        <f t="shared" si="51"/>
        <v>yes</v>
      </c>
      <c r="S1109" t="str">
        <f t="shared" si="52"/>
        <v>no</v>
      </c>
      <c r="T11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9" s="2" t="b">
        <f t="shared" si="53"/>
        <v>1</v>
      </c>
      <c r="V1109" s="2">
        <f>IF(Table4[[#This Row],[linear?]],Table4[[#This Row],[av]],10^(Table4[[#This Row],[av]]/10))</f>
        <v>3.85037037037037E-2</v>
      </c>
      <c r="W1109" s="2">
        <f>IF(Table4[[#This Row],[linear?]],Table4[[#This Row],[av]],10^(Table4[[#This Row],[av]]/10))</f>
        <v>3.85037037037037E-2</v>
      </c>
      <c r="X1109" s="2">
        <f>Table4[[#This Row],[av_lin]]-2*Table4[[#This Row],[std_lin]]</f>
        <v>-3.85037037037037E-2</v>
      </c>
      <c r="Y1109" s="2">
        <f>Table4[[#This Row],[av_lin]]+2*Table4[[#This Row],[std_lin]]</f>
        <v>0.11551111111111109</v>
      </c>
    </row>
    <row r="1110" spans="1:25" x14ac:dyDescent="0.35">
      <c r="A1110" s="1">
        <v>1742</v>
      </c>
      <c r="B1110" t="s">
        <v>829</v>
      </c>
      <c r="C1110" t="s">
        <v>549</v>
      </c>
      <c r="D1110" t="s">
        <v>634</v>
      </c>
      <c r="E1110" s="2">
        <v>3.3242345679012339E-2</v>
      </c>
      <c r="F1110" s="2">
        <v>1.078382232405614E-2</v>
      </c>
      <c r="G1110">
        <v>27</v>
      </c>
      <c r="H1110" t="s">
        <v>58</v>
      </c>
      <c r="M1110" s="2">
        <v>5.4809990327124622E-2</v>
      </c>
      <c r="N1110" s="2">
        <v>1.1674701030900059E-2</v>
      </c>
      <c r="O1110" s="2">
        <v>4.3135289296224573E-2</v>
      </c>
      <c r="P1110" s="2">
        <v>3.082612517164399</v>
      </c>
      <c r="R1110" t="str">
        <f t="shared" si="51"/>
        <v>yes</v>
      </c>
      <c r="S1110" t="str">
        <f t="shared" si="52"/>
        <v>no</v>
      </c>
      <c r="T11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0" s="2" t="b">
        <f t="shared" si="53"/>
        <v>1</v>
      </c>
      <c r="V1110" s="2">
        <f>IF(Table4[[#This Row],[linear?]],Table4[[#This Row],[av]],10^(Table4[[#This Row],[av]]/10))</f>
        <v>3.3242345679012339E-2</v>
      </c>
      <c r="W1110" s="2">
        <f>IF(Table4[[#This Row],[linear?]],Table4[[#This Row],[av]],10^(Table4[[#This Row],[av]]/10))</f>
        <v>3.3242345679012339E-2</v>
      </c>
      <c r="X1110" s="2">
        <f>Table4[[#This Row],[av_lin]]-2*Table4[[#This Row],[std_lin]]</f>
        <v>-3.3242345679012339E-2</v>
      </c>
      <c r="Y1110" s="2">
        <f>Table4[[#This Row],[av_lin]]+2*Table4[[#This Row],[std_lin]]</f>
        <v>9.9727037037037017E-2</v>
      </c>
    </row>
    <row r="1111" spans="1:25" x14ac:dyDescent="0.35">
      <c r="A1111" s="1">
        <v>1743</v>
      </c>
      <c r="B1111" t="s">
        <v>829</v>
      </c>
      <c r="C1111" t="s">
        <v>549</v>
      </c>
      <c r="D1111" t="s">
        <v>635</v>
      </c>
      <c r="E1111" s="2">
        <v>7.325098765432099E-2</v>
      </c>
      <c r="F1111" s="2">
        <v>5.4360236300414573E-3</v>
      </c>
      <c r="G1111">
        <v>27</v>
      </c>
      <c r="H1111" t="s">
        <v>58</v>
      </c>
      <c r="M1111" s="2">
        <v>8.4123034914403899E-2</v>
      </c>
      <c r="N1111" s="2">
        <v>6.2378940394238067E-2</v>
      </c>
      <c r="O1111" s="2">
        <v>2.1744094520165829E-2</v>
      </c>
      <c r="P1111" s="2">
        <v>13.475104716158549</v>
      </c>
      <c r="R1111" t="str">
        <f t="shared" si="51"/>
        <v>yes</v>
      </c>
      <c r="S1111" t="str">
        <f t="shared" si="52"/>
        <v>no</v>
      </c>
      <c r="T11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1" s="2" t="b">
        <f t="shared" si="53"/>
        <v>1</v>
      </c>
      <c r="V1111" s="2">
        <f>IF(Table4[[#This Row],[linear?]],Table4[[#This Row],[av]],10^(Table4[[#This Row],[av]]/10))</f>
        <v>7.325098765432099E-2</v>
      </c>
      <c r="W1111" s="2">
        <f>IF(Table4[[#This Row],[linear?]],Table4[[#This Row],[av]],10^(Table4[[#This Row],[av]]/10))</f>
        <v>7.325098765432099E-2</v>
      </c>
      <c r="X1111" s="2">
        <f>Table4[[#This Row],[av_lin]]-2*Table4[[#This Row],[std_lin]]</f>
        <v>-7.325098765432099E-2</v>
      </c>
      <c r="Y1111" s="2">
        <f>Table4[[#This Row],[av_lin]]+2*Table4[[#This Row],[std_lin]]</f>
        <v>0.21975296296296298</v>
      </c>
    </row>
    <row r="1112" spans="1:25" x14ac:dyDescent="0.35">
      <c r="A1112" s="1">
        <v>1745</v>
      </c>
      <c r="B1112" t="s">
        <v>829</v>
      </c>
      <c r="C1112" t="s">
        <v>549</v>
      </c>
      <c r="D1112" t="s">
        <v>637</v>
      </c>
      <c r="E1112" s="2">
        <v>3.7637530864197542E-2</v>
      </c>
      <c r="F1112" s="2">
        <v>2.4542840529136328E-3</v>
      </c>
      <c r="G1112">
        <v>27</v>
      </c>
      <c r="H1112" t="s">
        <v>58</v>
      </c>
      <c r="M1112" s="2">
        <v>4.2546098970024808E-2</v>
      </c>
      <c r="N1112" s="2">
        <v>3.2728962758370277E-2</v>
      </c>
      <c r="O1112" s="2">
        <v>9.8171362116545313E-3</v>
      </c>
      <c r="P1112" s="2">
        <v>15.335442048574491</v>
      </c>
      <c r="R1112" t="str">
        <f t="shared" si="51"/>
        <v>yes</v>
      </c>
      <c r="S1112" t="str">
        <f t="shared" si="52"/>
        <v>no</v>
      </c>
      <c r="T11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2" s="2" t="b">
        <f t="shared" si="53"/>
        <v>1</v>
      </c>
      <c r="V1112" s="2">
        <f>IF(Table4[[#This Row],[linear?]],Table4[[#This Row],[av]],10^(Table4[[#This Row],[av]]/10))</f>
        <v>3.7637530864197542E-2</v>
      </c>
      <c r="W1112" s="2">
        <f>IF(Table4[[#This Row],[linear?]],Table4[[#This Row],[av]],10^(Table4[[#This Row],[av]]/10))</f>
        <v>3.7637530864197542E-2</v>
      </c>
      <c r="X1112" s="2">
        <f>Table4[[#This Row],[av_lin]]-2*Table4[[#This Row],[std_lin]]</f>
        <v>-3.7637530864197542E-2</v>
      </c>
      <c r="Y1112" s="2">
        <f>Table4[[#This Row],[av_lin]]+2*Table4[[#This Row],[std_lin]]</f>
        <v>0.11291259259259262</v>
      </c>
    </row>
    <row r="1113" spans="1:25" x14ac:dyDescent="0.35">
      <c r="A1113" s="1">
        <v>1746</v>
      </c>
      <c r="B1113" t="s">
        <v>829</v>
      </c>
      <c r="C1113" t="s">
        <v>549</v>
      </c>
      <c r="D1113" t="s">
        <v>638</v>
      </c>
      <c r="E1113" s="2">
        <v>4.258864197530865E-2</v>
      </c>
      <c r="F1113" s="2">
        <v>6.3624864309529006E-3</v>
      </c>
      <c r="G1113">
        <v>27</v>
      </c>
      <c r="H1113" t="s">
        <v>58</v>
      </c>
      <c r="M1113" s="2">
        <v>5.5313614837214448E-2</v>
      </c>
      <c r="N1113" s="2">
        <v>2.9863669113402849E-2</v>
      </c>
      <c r="O1113" s="2">
        <v>2.5449945723811599E-2</v>
      </c>
      <c r="P1113" s="2">
        <v>6.6937104601306334</v>
      </c>
      <c r="R1113" t="str">
        <f t="shared" si="51"/>
        <v>yes</v>
      </c>
      <c r="S1113" t="str">
        <f t="shared" si="52"/>
        <v>no</v>
      </c>
      <c r="T11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3" s="2" t="b">
        <f t="shared" si="53"/>
        <v>1</v>
      </c>
      <c r="V1113" s="2">
        <f>IF(Table4[[#This Row],[linear?]],Table4[[#This Row],[av]],10^(Table4[[#This Row],[av]]/10))</f>
        <v>4.258864197530865E-2</v>
      </c>
      <c r="W1113" s="2">
        <f>IF(Table4[[#This Row],[linear?]],Table4[[#This Row],[av]],10^(Table4[[#This Row],[av]]/10))</f>
        <v>4.258864197530865E-2</v>
      </c>
      <c r="X1113" s="2">
        <f>Table4[[#This Row],[av_lin]]-2*Table4[[#This Row],[std_lin]]</f>
        <v>-4.258864197530865E-2</v>
      </c>
      <c r="Y1113" s="2">
        <f>Table4[[#This Row],[av_lin]]+2*Table4[[#This Row],[std_lin]]</f>
        <v>0.12776592592592595</v>
      </c>
    </row>
    <row r="1114" spans="1:25" x14ac:dyDescent="0.35">
      <c r="A1114" s="1">
        <v>1747</v>
      </c>
      <c r="B1114" t="s">
        <v>829</v>
      </c>
      <c r="C1114" t="s">
        <v>549</v>
      </c>
      <c r="D1114" t="s">
        <v>639</v>
      </c>
      <c r="E1114" s="2">
        <v>3.759666666666666E-2</v>
      </c>
      <c r="F1114" s="2">
        <v>5.2276907615672408E-3</v>
      </c>
      <c r="G1114">
        <v>27</v>
      </c>
      <c r="H1114" t="s">
        <v>58</v>
      </c>
      <c r="M1114" s="2">
        <v>4.805204818980114E-2</v>
      </c>
      <c r="N1114" s="2">
        <v>2.714128514353218E-2</v>
      </c>
      <c r="O1114" s="2">
        <v>2.091076304626896E-2</v>
      </c>
      <c r="P1114" s="2">
        <v>7.1918306536164218</v>
      </c>
      <c r="R1114" t="str">
        <f t="shared" si="51"/>
        <v>yes</v>
      </c>
      <c r="S1114" t="str">
        <f t="shared" si="52"/>
        <v>no</v>
      </c>
      <c r="T11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4" s="2" t="b">
        <f t="shared" si="53"/>
        <v>1</v>
      </c>
      <c r="V1114" s="2">
        <f>IF(Table4[[#This Row],[linear?]],Table4[[#This Row],[av]],10^(Table4[[#This Row],[av]]/10))</f>
        <v>3.759666666666666E-2</v>
      </c>
      <c r="W1114" s="2">
        <f>IF(Table4[[#This Row],[linear?]],Table4[[#This Row],[av]],10^(Table4[[#This Row],[av]]/10))</f>
        <v>3.759666666666666E-2</v>
      </c>
      <c r="X1114" s="2">
        <f>Table4[[#This Row],[av_lin]]-2*Table4[[#This Row],[std_lin]]</f>
        <v>-3.759666666666666E-2</v>
      </c>
      <c r="Y1114" s="2">
        <f>Table4[[#This Row],[av_lin]]+2*Table4[[#This Row],[std_lin]]</f>
        <v>0.11278999999999997</v>
      </c>
    </row>
    <row r="1115" spans="1:25" x14ac:dyDescent="0.35">
      <c r="A1115" s="1">
        <v>1748</v>
      </c>
      <c r="B1115" t="s">
        <v>829</v>
      </c>
      <c r="C1115" t="s">
        <v>549</v>
      </c>
      <c r="D1115" t="s">
        <v>640</v>
      </c>
      <c r="E1115" s="2">
        <v>3.6374074074074082E-3</v>
      </c>
      <c r="F1115" s="2">
        <v>1.702360276821634E-3</v>
      </c>
      <c r="G1115">
        <v>27</v>
      </c>
      <c r="H1115" t="s">
        <v>58</v>
      </c>
      <c r="M1115" s="2">
        <v>7.0421279610506761E-3</v>
      </c>
      <c r="N1115" s="2">
        <v>2.3268685376414029E-4</v>
      </c>
      <c r="O1115" s="2">
        <v>6.8094411072865358E-3</v>
      </c>
      <c r="P1115" s="2">
        <v>2.1366848468754069</v>
      </c>
      <c r="R1115" t="str">
        <f t="shared" si="51"/>
        <v>yes</v>
      </c>
      <c r="S1115" t="str">
        <f t="shared" si="52"/>
        <v>no</v>
      </c>
      <c r="T11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5" s="2" t="b">
        <f t="shared" si="53"/>
        <v>1</v>
      </c>
      <c r="V1115" s="2">
        <f>IF(Table4[[#This Row],[linear?]],Table4[[#This Row],[av]],10^(Table4[[#This Row],[av]]/10))</f>
        <v>3.6374074074074082E-3</v>
      </c>
      <c r="W1115" s="2">
        <f>IF(Table4[[#This Row],[linear?]],Table4[[#This Row],[av]],10^(Table4[[#This Row],[av]]/10))</f>
        <v>3.6374074074074082E-3</v>
      </c>
      <c r="X1115" s="2">
        <f>Table4[[#This Row],[av_lin]]-2*Table4[[#This Row],[std_lin]]</f>
        <v>-3.6374074074074082E-3</v>
      </c>
      <c r="Y1115" s="2">
        <f>Table4[[#This Row],[av_lin]]+2*Table4[[#This Row],[std_lin]]</f>
        <v>1.0912222222222224E-2</v>
      </c>
    </row>
    <row r="1116" spans="1:25" x14ac:dyDescent="0.35">
      <c r="A1116" s="1">
        <v>1750</v>
      </c>
      <c r="B1116" t="s">
        <v>829</v>
      </c>
      <c r="C1116" t="s">
        <v>549</v>
      </c>
      <c r="D1116" t="s">
        <v>642</v>
      </c>
      <c r="E1116" s="2">
        <v>2.1462962962962981E-3</v>
      </c>
      <c r="F1116" s="2">
        <v>1.3384703474967031E-3</v>
      </c>
      <c r="G1116">
        <v>27</v>
      </c>
      <c r="H1116" t="s">
        <v>58</v>
      </c>
      <c r="M1116" s="2">
        <v>4.8232369912897047E-3</v>
      </c>
      <c r="N1116" s="2">
        <v>-5.3064439869710813E-4</v>
      </c>
      <c r="O1116" s="2">
        <v>5.3538813899868132E-3</v>
      </c>
      <c r="P1116" s="2">
        <v>1.603544150462836</v>
      </c>
      <c r="R1116" t="str">
        <f t="shared" si="51"/>
        <v>yes</v>
      </c>
      <c r="S1116" t="str">
        <f t="shared" si="52"/>
        <v>no</v>
      </c>
      <c r="T11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6" s="2" t="b">
        <f t="shared" si="53"/>
        <v>1</v>
      </c>
      <c r="V1116" s="2">
        <f>IF(Table4[[#This Row],[linear?]],Table4[[#This Row],[av]],10^(Table4[[#This Row],[av]]/10))</f>
        <v>2.1462962962962981E-3</v>
      </c>
      <c r="W1116" s="2">
        <f>IF(Table4[[#This Row],[linear?]],Table4[[#This Row],[av]],10^(Table4[[#This Row],[av]]/10))</f>
        <v>2.1462962962962981E-3</v>
      </c>
      <c r="X1116" s="2">
        <f>Table4[[#This Row],[av_lin]]-2*Table4[[#This Row],[std_lin]]</f>
        <v>-2.1462962962962981E-3</v>
      </c>
      <c r="Y1116" s="2">
        <f>Table4[[#This Row],[av_lin]]+2*Table4[[#This Row],[std_lin]]</f>
        <v>6.4388888888888942E-3</v>
      </c>
    </row>
    <row r="1117" spans="1:25" x14ac:dyDescent="0.35">
      <c r="A1117" s="1">
        <v>1752</v>
      </c>
      <c r="B1117" t="s">
        <v>829</v>
      </c>
      <c r="C1117" t="s">
        <v>549</v>
      </c>
      <c r="D1117" t="s">
        <v>644</v>
      </c>
      <c r="E1117" s="2">
        <v>2.1674074074074071E-2</v>
      </c>
      <c r="F1117" s="2">
        <v>3.513417674383811E-3</v>
      </c>
      <c r="G1117">
        <v>27</v>
      </c>
      <c r="H1117" t="s">
        <v>58</v>
      </c>
      <c r="M1117" s="2">
        <v>2.8700909422841689E-2</v>
      </c>
      <c r="N1117" s="2">
        <v>1.464723872530645E-2</v>
      </c>
      <c r="O1117" s="2">
        <v>1.405367069753524E-2</v>
      </c>
      <c r="P1117" s="2">
        <v>6.1689432008323086</v>
      </c>
      <c r="R1117" t="str">
        <f t="shared" si="51"/>
        <v>yes</v>
      </c>
      <c r="S1117" t="str">
        <f t="shared" si="52"/>
        <v>no</v>
      </c>
      <c r="T11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7" s="2" t="b">
        <f t="shared" si="53"/>
        <v>1</v>
      </c>
      <c r="V1117" s="2">
        <f>IF(Table4[[#This Row],[linear?]],Table4[[#This Row],[av]],10^(Table4[[#This Row],[av]]/10))</f>
        <v>2.1674074074074071E-2</v>
      </c>
      <c r="W1117" s="2">
        <f>IF(Table4[[#This Row],[linear?]],Table4[[#This Row],[av]],10^(Table4[[#This Row],[av]]/10))</f>
        <v>2.1674074074074071E-2</v>
      </c>
      <c r="X1117" s="2">
        <f>Table4[[#This Row],[av_lin]]-2*Table4[[#This Row],[std_lin]]</f>
        <v>-2.1674074074074071E-2</v>
      </c>
      <c r="Y1117" s="2">
        <f>Table4[[#This Row],[av_lin]]+2*Table4[[#This Row],[std_lin]]</f>
        <v>6.5022222222222217E-2</v>
      </c>
    </row>
    <row r="1118" spans="1:25" x14ac:dyDescent="0.35">
      <c r="A1118" s="1">
        <v>1754</v>
      </c>
      <c r="B1118" t="s">
        <v>829</v>
      </c>
      <c r="C1118" t="s">
        <v>549</v>
      </c>
      <c r="D1118" t="s">
        <v>646</v>
      </c>
      <c r="E1118" s="2">
        <v>3.2253086419753081E-3</v>
      </c>
      <c r="F1118" s="2">
        <v>1.7998535259884231E-3</v>
      </c>
      <c r="G1118">
        <v>27</v>
      </c>
      <c r="H1118" t="s">
        <v>58</v>
      </c>
      <c r="M1118" s="2">
        <v>6.8250156939521547E-3</v>
      </c>
      <c r="N1118" s="2">
        <v>-3.7439841000153811E-4</v>
      </c>
      <c r="O1118" s="2">
        <v>7.1994141039536923E-3</v>
      </c>
      <c r="P1118" s="2">
        <v>1.7919839561411359</v>
      </c>
      <c r="R1118" t="str">
        <f t="shared" si="51"/>
        <v>yes</v>
      </c>
      <c r="S1118" t="str">
        <f t="shared" si="52"/>
        <v>no</v>
      </c>
      <c r="T11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8" s="2" t="b">
        <f t="shared" si="53"/>
        <v>1</v>
      </c>
      <c r="V1118" s="2">
        <f>IF(Table4[[#This Row],[linear?]],Table4[[#This Row],[av]],10^(Table4[[#This Row],[av]]/10))</f>
        <v>3.2253086419753081E-3</v>
      </c>
      <c r="W1118" s="2">
        <f>IF(Table4[[#This Row],[linear?]],Table4[[#This Row],[av]],10^(Table4[[#This Row],[av]]/10))</f>
        <v>3.2253086419753081E-3</v>
      </c>
      <c r="X1118" s="2">
        <f>Table4[[#This Row],[av_lin]]-2*Table4[[#This Row],[std_lin]]</f>
        <v>-3.2253086419753081E-3</v>
      </c>
      <c r="Y1118" s="2">
        <f>Table4[[#This Row],[av_lin]]+2*Table4[[#This Row],[std_lin]]</f>
        <v>9.6759259259259246E-3</v>
      </c>
    </row>
    <row r="1119" spans="1:25" x14ac:dyDescent="0.35">
      <c r="A1119" s="1">
        <v>1756</v>
      </c>
      <c r="B1119" t="s">
        <v>829</v>
      </c>
      <c r="C1119" t="s">
        <v>549</v>
      </c>
      <c r="D1119" t="s">
        <v>648</v>
      </c>
      <c r="E1119" s="2">
        <v>1.944814814814815E-3</v>
      </c>
      <c r="F1119" s="2">
        <v>1.3204654586688621E-3</v>
      </c>
      <c r="G1119">
        <v>27</v>
      </c>
      <c r="H1119" t="s">
        <v>58</v>
      </c>
      <c r="M1119" s="2">
        <v>4.5857457321525387E-3</v>
      </c>
      <c r="N1119" s="2">
        <v>-6.9611610252290909E-4</v>
      </c>
      <c r="O1119" s="2">
        <v>5.2818618346754474E-3</v>
      </c>
      <c r="P1119" s="2">
        <v>1.47282520875279</v>
      </c>
      <c r="R1119" t="str">
        <f t="shared" si="51"/>
        <v>yes</v>
      </c>
      <c r="S1119" t="str">
        <f t="shared" si="52"/>
        <v>no</v>
      </c>
      <c r="T11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9" s="2" t="b">
        <f t="shared" si="53"/>
        <v>1</v>
      </c>
      <c r="V1119" s="2">
        <f>IF(Table4[[#This Row],[linear?]],Table4[[#This Row],[av]],10^(Table4[[#This Row],[av]]/10))</f>
        <v>1.944814814814815E-3</v>
      </c>
      <c r="W1119" s="2">
        <f>IF(Table4[[#This Row],[linear?]],Table4[[#This Row],[av]],10^(Table4[[#This Row],[av]]/10))</f>
        <v>1.944814814814815E-3</v>
      </c>
      <c r="X1119" s="2">
        <f>Table4[[#This Row],[av_lin]]-2*Table4[[#This Row],[std_lin]]</f>
        <v>-1.944814814814815E-3</v>
      </c>
      <c r="Y1119" s="2">
        <f>Table4[[#This Row],[av_lin]]+2*Table4[[#This Row],[std_lin]]</f>
        <v>5.8344444444444451E-3</v>
      </c>
    </row>
    <row r="1120" spans="1:25" x14ac:dyDescent="0.35">
      <c r="A1120" s="1">
        <v>1758</v>
      </c>
      <c r="B1120" t="s">
        <v>829</v>
      </c>
      <c r="C1120" t="s">
        <v>549</v>
      </c>
      <c r="D1120" t="s">
        <v>650</v>
      </c>
      <c r="E1120" s="2">
        <v>2.2871975308641979E-2</v>
      </c>
      <c r="F1120" s="2">
        <v>2.526346695812589E-3</v>
      </c>
      <c r="G1120">
        <v>27</v>
      </c>
      <c r="H1120" t="s">
        <v>58</v>
      </c>
      <c r="M1120" s="2">
        <v>2.792466870026716E-2</v>
      </c>
      <c r="N1120" s="2">
        <v>1.7819281917016799E-2</v>
      </c>
      <c r="O1120" s="2">
        <v>1.0105386783250349E-2</v>
      </c>
      <c r="P1120" s="2">
        <v>9.0533794694735281</v>
      </c>
      <c r="R1120" t="str">
        <f t="shared" si="51"/>
        <v>yes</v>
      </c>
      <c r="S1120" t="str">
        <f t="shared" si="52"/>
        <v>no</v>
      </c>
      <c r="T11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0" s="2" t="b">
        <f t="shared" si="53"/>
        <v>1</v>
      </c>
      <c r="V1120" s="2">
        <f>IF(Table4[[#This Row],[linear?]],Table4[[#This Row],[av]],10^(Table4[[#This Row],[av]]/10))</f>
        <v>2.2871975308641979E-2</v>
      </c>
      <c r="W1120" s="2">
        <f>IF(Table4[[#This Row],[linear?]],Table4[[#This Row],[av]],10^(Table4[[#This Row],[av]]/10))</f>
        <v>2.2871975308641979E-2</v>
      </c>
      <c r="X1120" s="2">
        <f>Table4[[#This Row],[av_lin]]-2*Table4[[#This Row],[std_lin]]</f>
        <v>-2.2871975308641979E-2</v>
      </c>
      <c r="Y1120" s="2">
        <f>Table4[[#This Row],[av_lin]]+2*Table4[[#This Row],[std_lin]]</f>
        <v>6.8615925925925941E-2</v>
      </c>
    </row>
    <row r="1121" spans="1:25" x14ac:dyDescent="0.35">
      <c r="A1121" s="1">
        <v>1760</v>
      </c>
      <c r="B1121" t="s">
        <v>829</v>
      </c>
      <c r="C1121" t="s">
        <v>549</v>
      </c>
      <c r="D1121" t="s">
        <v>652</v>
      </c>
      <c r="E1121" s="2">
        <v>3.289382716049383E-3</v>
      </c>
      <c r="F1121" s="2">
        <v>1.9462562013364581E-3</v>
      </c>
      <c r="G1121">
        <v>27</v>
      </c>
      <c r="H1121" t="s">
        <v>58</v>
      </c>
      <c r="M1121" s="2">
        <v>7.1818951187222991E-3</v>
      </c>
      <c r="N1121" s="2">
        <v>-6.031296866235332E-4</v>
      </c>
      <c r="O1121" s="2">
        <v>7.7850248053458323E-3</v>
      </c>
      <c r="P1121" s="2">
        <v>1.6901077637109769</v>
      </c>
      <c r="R1121" t="str">
        <f t="shared" si="51"/>
        <v>yes</v>
      </c>
      <c r="S1121" t="str">
        <f t="shared" si="52"/>
        <v>no</v>
      </c>
      <c r="T11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1" s="2" t="b">
        <f t="shared" si="53"/>
        <v>1</v>
      </c>
      <c r="V1121" s="2">
        <f>IF(Table4[[#This Row],[linear?]],Table4[[#This Row],[av]],10^(Table4[[#This Row],[av]]/10))</f>
        <v>3.289382716049383E-3</v>
      </c>
      <c r="W1121" s="2">
        <f>IF(Table4[[#This Row],[linear?]],Table4[[#This Row],[av]],10^(Table4[[#This Row],[av]]/10))</f>
        <v>3.289382716049383E-3</v>
      </c>
      <c r="X1121" s="2">
        <f>Table4[[#This Row],[av_lin]]-2*Table4[[#This Row],[std_lin]]</f>
        <v>-3.289382716049383E-3</v>
      </c>
      <c r="Y1121" s="2">
        <f>Table4[[#This Row],[av_lin]]+2*Table4[[#This Row],[std_lin]]</f>
        <v>9.8681481481481485E-3</v>
      </c>
    </row>
    <row r="1122" spans="1:25" x14ac:dyDescent="0.35">
      <c r="A1122" s="1">
        <v>1762</v>
      </c>
      <c r="B1122" t="s">
        <v>829</v>
      </c>
      <c r="C1122" t="s">
        <v>549</v>
      </c>
      <c r="D1122" t="s">
        <v>654</v>
      </c>
      <c r="E1122" s="2">
        <v>3.0592592592592598E-3</v>
      </c>
      <c r="F1122" s="2">
        <v>1.3458925423131211E-3</v>
      </c>
      <c r="G1122">
        <v>27</v>
      </c>
      <c r="H1122" t="s">
        <v>58</v>
      </c>
      <c r="M1122" s="2">
        <v>5.751044343885502E-3</v>
      </c>
      <c r="N1122" s="2">
        <v>3.6747417463301769E-4</v>
      </c>
      <c r="O1122" s="2">
        <v>5.3835701692524843E-3</v>
      </c>
      <c r="P1122" s="2">
        <v>2.2730338144243349</v>
      </c>
      <c r="R1122" t="str">
        <f t="shared" si="51"/>
        <v>yes</v>
      </c>
      <c r="S1122" t="str">
        <f t="shared" si="52"/>
        <v>no</v>
      </c>
      <c r="T11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2" s="2" t="b">
        <f t="shared" si="53"/>
        <v>1</v>
      </c>
      <c r="V1122" s="2">
        <f>IF(Table4[[#This Row],[linear?]],Table4[[#This Row],[av]],10^(Table4[[#This Row],[av]]/10))</f>
        <v>3.0592592592592598E-3</v>
      </c>
      <c r="W1122" s="2">
        <f>IF(Table4[[#This Row],[linear?]],Table4[[#This Row],[av]],10^(Table4[[#This Row],[av]]/10))</f>
        <v>3.0592592592592598E-3</v>
      </c>
      <c r="X1122" s="2">
        <f>Table4[[#This Row],[av_lin]]-2*Table4[[#This Row],[std_lin]]</f>
        <v>-3.0592592592592598E-3</v>
      </c>
      <c r="Y1122" s="2">
        <f>Table4[[#This Row],[av_lin]]+2*Table4[[#This Row],[std_lin]]</f>
        <v>9.1777777777777795E-3</v>
      </c>
    </row>
    <row r="1123" spans="1:25" x14ac:dyDescent="0.35">
      <c r="A1123" s="1">
        <v>1764</v>
      </c>
      <c r="B1123" t="s">
        <v>829</v>
      </c>
      <c r="C1123" t="s">
        <v>549</v>
      </c>
      <c r="D1123" t="s">
        <v>656</v>
      </c>
      <c r="E1123" s="2">
        <v>2.2525925925925921E-2</v>
      </c>
      <c r="F1123" s="2">
        <v>3.3311514503996378E-3</v>
      </c>
      <c r="G1123">
        <v>27</v>
      </c>
      <c r="H1123" t="s">
        <v>58</v>
      </c>
      <c r="M1123" s="2">
        <v>2.9188228826725199E-2</v>
      </c>
      <c r="N1123" s="2">
        <v>1.5863623025126641E-2</v>
      </c>
      <c r="O1123" s="2">
        <v>1.3324605801598549E-2</v>
      </c>
      <c r="P1123" s="2">
        <v>6.7622040790800702</v>
      </c>
      <c r="R1123" t="str">
        <f t="shared" si="51"/>
        <v>yes</v>
      </c>
      <c r="S1123" t="str">
        <f t="shared" si="52"/>
        <v>no</v>
      </c>
      <c r="T11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3" s="2" t="b">
        <f t="shared" si="53"/>
        <v>1</v>
      </c>
      <c r="V1123" s="2">
        <f>IF(Table4[[#This Row],[linear?]],Table4[[#This Row],[av]],10^(Table4[[#This Row],[av]]/10))</f>
        <v>2.2525925925925921E-2</v>
      </c>
      <c r="W1123" s="2">
        <f>IF(Table4[[#This Row],[linear?]],Table4[[#This Row],[av]],10^(Table4[[#This Row],[av]]/10))</f>
        <v>2.2525925925925921E-2</v>
      </c>
      <c r="X1123" s="2">
        <f>Table4[[#This Row],[av_lin]]-2*Table4[[#This Row],[std_lin]]</f>
        <v>-2.2525925925925921E-2</v>
      </c>
      <c r="Y1123" s="2">
        <f>Table4[[#This Row],[av_lin]]+2*Table4[[#This Row],[std_lin]]</f>
        <v>6.7577777777777764E-2</v>
      </c>
    </row>
    <row r="1124" spans="1:25" x14ac:dyDescent="0.35">
      <c r="A1124" s="1">
        <v>1767</v>
      </c>
      <c r="B1124" t="s">
        <v>829</v>
      </c>
      <c r="C1124" t="s">
        <v>549</v>
      </c>
      <c r="D1124" t="s">
        <v>659</v>
      </c>
      <c r="E1124" s="2">
        <v>3.5189135802469143E-2</v>
      </c>
      <c r="F1124" s="2">
        <v>5.4453695417449903E-3</v>
      </c>
      <c r="G1124">
        <v>27</v>
      </c>
      <c r="H1124" t="s">
        <v>58</v>
      </c>
      <c r="M1124" s="2">
        <v>4.6079874885959132E-2</v>
      </c>
      <c r="N1124" s="2">
        <v>2.4298396718979161E-2</v>
      </c>
      <c r="O1124" s="2">
        <v>2.1781478166979961E-2</v>
      </c>
      <c r="P1124" s="2">
        <v>6.4622126253698928</v>
      </c>
      <c r="R1124" t="str">
        <f t="shared" si="51"/>
        <v>yes</v>
      </c>
      <c r="S1124" t="str">
        <f t="shared" si="52"/>
        <v>no</v>
      </c>
      <c r="T11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4" s="2" t="b">
        <f t="shared" si="53"/>
        <v>1</v>
      </c>
      <c r="V1124" s="2">
        <f>IF(Table4[[#This Row],[linear?]],Table4[[#This Row],[av]],10^(Table4[[#This Row],[av]]/10))</f>
        <v>3.5189135802469143E-2</v>
      </c>
      <c r="W1124" s="2">
        <f>IF(Table4[[#This Row],[linear?]],Table4[[#This Row],[av]],10^(Table4[[#This Row],[av]]/10))</f>
        <v>3.5189135802469143E-2</v>
      </c>
      <c r="X1124" s="2">
        <f>Table4[[#This Row],[av_lin]]-2*Table4[[#This Row],[std_lin]]</f>
        <v>-3.5189135802469143E-2</v>
      </c>
      <c r="Y1124" s="2">
        <f>Table4[[#This Row],[av_lin]]+2*Table4[[#This Row],[std_lin]]</f>
        <v>0.10556740740740743</v>
      </c>
    </row>
    <row r="1125" spans="1:25" x14ac:dyDescent="0.35">
      <c r="A1125" s="1">
        <v>1768</v>
      </c>
      <c r="B1125" t="s">
        <v>829</v>
      </c>
      <c r="C1125" t="s">
        <v>549</v>
      </c>
      <c r="D1125" t="s">
        <v>660</v>
      </c>
      <c r="E1125" s="2">
        <v>3.4660246913580252E-2</v>
      </c>
      <c r="F1125" s="2">
        <v>5.5669053813910581E-3</v>
      </c>
      <c r="G1125">
        <v>27</v>
      </c>
      <c r="H1125" t="s">
        <v>58</v>
      </c>
      <c r="M1125" s="2">
        <v>4.5794057676362368E-2</v>
      </c>
      <c r="N1125" s="2">
        <v>2.3526436150798139E-2</v>
      </c>
      <c r="O1125" s="2">
        <v>2.2267621525564229E-2</v>
      </c>
      <c r="P1125" s="2">
        <v>6.2261246669364718</v>
      </c>
      <c r="R1125" t="str">
        <f t="shared" si="51"/>
        <v>yes</v>
      </c>
      <c r="S1125" t="str">
        <f t="shared" si="52"/>
        <v>no</v>
      </c>
      <c r="T11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5" s="2" t="b">
        <f t="shared" si="53"/>
        <v>1</v>
      </c>
      <c r="V1125" s="2">
        <f>IF(Table4[[#This Row],[linear?]],Table4[[#This Row],[av]],10^(Table4[[#This Row],[av]]/10))</f>
        <v>3.4660246913580252E-2</v>
      </c>
      <c r="W1125" s="2">
        <f>IF(Table4[[#This Row],[linear?]],Table4[[#This Row],[av]],10^(Table4[[#This Row],[av]]/10))</f>
        <v>3.4660246913580252E-2</v>
      </c>
      <c r="X1125" s="2">
        <f>Table4[[#This Row],[av_lin]]-2*Table4[[#This Row],[std_lin]]</f>
        <v>-3.4660246913580252E-2</v>
      </c>
      <c r="Y1125" s="2">
        <f>Table4[[#This Row],[av_lin]]+2*Table4[[#This Row],[std_lin]]</f>
        <v>0.10398074074074076</v>
      </c>
    </row>
    <row r="1126" spans="1:25" x14ac:dyDescent="0.35">
      <c r="A1126" s="1">
        <v>1769</v>
      </c>
      <c r="B1126" t="s">
        <v>829</v>
      </c>
      <c r="C1126" t="s">
        <v>549</v>
      </c>
      <c r="D1126" t="s">
        <v>661</v>
      </c>
      <c r="E1126" s="2">
        <v>3.5852592592592603E-2</v>
      </c>
      <c r="F1126" s="2">
        <v>5.6081918190691686E-3</v>
      </c>
      <c r="G1126">
        <v>27</v>
      </c>
      <c r="H1126" t="s">
        <v>58</v>
      </c>
      <c r="M1126" s="2">
        <v>4.706897623073094E-2</v>
      </c>
      <c r="N1126" s="2">
        <v>2.4636208954454269E-2</v>
      </c>
      <c r="O1126" s="2">
        <v>2.2432767276276671E-2</v>
      </c>
      <c r="P1126" s="2">
        <v>6.3928969887737024</v>
      </c>
      <c r="R1126" t="str">
        <f t="shared" si="51"/>
        <v>yes</v>
      </c>
      <c r="S1126" t="str">
        <f t="shared" si="52"/>
        <v>no</v>
      </c>
      <c r="T11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6" s="2" t="b">
        <f t="shared" si="53"/>
        <v>1</v>
      </c>
      <c r="V1126" s="2">
        <f>IF(Table4[[#This Row],[linear?]],Table4[[#This Row],[av]],10^(Table4[[#This Row],[av]]/10))</f>
        <v>3.5852592592592603E-2</v>
      </c>
      <c r="W1126" s="2">
        <f>IF(Table4[[#This Row],[linear?]],Table4[[#This Row],[av]],10^(Table4[[#This Row],[av]]/10))</f>
        <v>3.5852592592592603E-2</v>
      </c>
      <c r="X1126" s="2">
        <f>Table4[[#This Row],[av_lin]]-2*Table4[[#This Row],[std_lin]]</f>
        <v>-3.5852592592592603E-2</v>
      </c>
      <c r="Y1126" s="2">
        <f>Table4[[#This Row],[av_lin]]+2*Table4[[#This Row],[std_lin]]</f>
        <v>0.10755777777777781</v>
      </c>
    </row>
    <row r="1127" spans="1:25" x14ac:dyDescent="0.35">
      <c r="A1127" s="1">
        <v>1770</v>
      </c>
      <c r="B1127" t="s">
        <v>829</v>
      </c>
      <c r="C1127" t="s">
        <v>549</v>
      </c>
      <c r="D1127" t="s">
        <v>662</v>
      </c>
      <c r="E1127" s="2">
        <v>7.5230987654320985E-2</v>
      </c>
      <c r="F1127" s="2">
        <v>5.8511610726408826E-3</v>
      </c>
      <c r="G1127">
        <v>27</v>
      </c>
      <c r="H1127" t="s">
        <v>58</v>
      </c>
      <c r="M1127" s="2">
        <v>8.6933309799602745E-2</v>
      </c>
      <c r="N1127" s="2">
        <v>6.3528665509039225E-2</v>
      </c>
      <c r="O1127" s="2">
        <v>2.340464429056352E-2</v>
      </c>
      <c r="P1127" s="2">
        <v>12.85744602145536</v>
      </c>
      <c r="R1127" t="str">
        <f t="shared" si="51"/>
        <v>yes</v>
      </c>
      <c r="S1127" t="str">
        <f t="shared" si="52"/>
        <v>no</v>
      </c>
      <c r="T11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7" s="2" t="b">
        <f t="shared" si="53"/>
        <v>1</v>
      </c>
      <c r="V1127" s="2">
        <f>IF(Table4[[#This Row],[linear?]],Table4[[#This Row],[av]],10^(Table4[[#This Row],[av]]/10))</f>
        <v>7.5230987654320985E-2</v>
      </c>
      <c r="W1127" s="2">
        <f>IF(Table4[[#This Row],[linear?]],Table4[[#This Row],[av]],10^(Table4[[#This Row],[av]]/10))</f>
        <v>7.5230987654320985E-2</v>
      </c>
      <c r="X1127" s="2">
        <f>Table4[[#This Row],[av_lin]]-2*Table4[[#This Row],[std_lin]]</f>
        <v>-7.5230987654320985E-2</v>
      </c>
      <c r="Y1127" s="2">
        <f>Table4[[#This Row],[av_lin]]+2*Table4[[#This Row],[std_lin]]</f>
        <v>0.22569296296296296</v>
      </c>
    </row>
    <row r="1128" spans="1:25" x14ac:dyDescent="0.35">
      <c r="A1128" s="1">
        <v>1772</v>
      </c>
      <c r="B1128" t="s">
        <v>829</v>
      </c>
      <c r="C1128" t="s">
        <v>549</v>
      </c>
      <c r="D1128" t="s">
        <v>664</v>
      </c>
      <c r="E1128" s="2">
        <v>4.0143827160493827E-2</v>
      </c>
      <c r="F1128" s="2">
        <v>6.5877669342178976E-3</v>
      </c>
      <c r="G1128">
        <v>27</v>
      </c>
      <c r="H1128" t="s">
        <v>58</v>
      </c>
      <c r="M1128" s="2">
        <v>5.3319361028929618E-2</v>
      </c>
      <c r="N1128" s="2">
        <v>2.6968293292058031E-2</v>
      </c>
      <c r="O1128" s="2">
        <v>2.635106773687159E-2</v>
      </c>
      <c r="P1128" s="2">
        <v>6.0936926824141997</v>
      </c>
      <c r="R1128" t="str">
        <f t="shared" si="51"/>
        <v>yes</v>
      </c>
      <c r="S1128" t="str">
        <f t="shared" si="52"/>
        <v>no</v>
      </c>
      <c r="T11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8" s="2" t="b">
        <f t="shared" si="53"/>
        <v>1</v>
      </c>
      <c r="V1128" s="2">
        <f>IF(Table4[[#This Row],[linear?]],Table4[[#This Row],[av]],10^(Table4[[#This Row],[av]]/10))</f>
        <v>4.0143827160493827E-2</v>
      </c>
      <c r="W1128" s="2">
        <f>IF(Table4[[#This Row],[linear?]],Table4[[#This Row],[av]],10^(Table4[[#This Row],[av]]/10))</f>
        <v>4.0143827160493827E-2</v>
      </c>
      <c r="X1128" s="2">
        <f>Table4[[#This Row],[av_lin]]-2*Table4[[#This Row],[std_lin]]</f>
        <v>-4.0143827160493827E-2</v>
      </c>
      <c r="Y1128" s="2">
        <f>Table4[[#This Row],[av_lin]]+2*Table4[[#This Row],[std_lin]]</f>
        <v>0.12043148148148147</v>
      </c>
    </row>
    <row r="1129" spans="1:25" x14ac:dyDescent="0.35">
      <c r="A1129" s="1">
        <v>1773</v>
      </c>
      <c r="B1129" t="s">
        <v>829</v>
      </c>
      <c r="C1129" t="s">
        <v>549</v>
      </c>
      <c r="D1129" t="s">
        <v>665</v>
      </c>
      <c r="E1129" s="2">
        <v>4.4425432098765441E-2</v>
      </c>
      <c r="F1129" s="2">
        <v>5.5400531102547607E-3</v>
      </c>
      <c r="G1129">
        <v>27</v>
      </c>
      <c r="H1129" t="s">
        <v>58</v>
      </c>
      <c r="M1129" s="2">
        <v>5.5505538319274961E-2</v>
      </c>
      <c r="N1129" s="2">
        <v>3.3345325878255921E-2</v>
      </c>
      <c r="O1129" s="2">
        <v>2.2160212441019039E-2</v>
      </c>
      <c r="P1129" s="2">
        <v>8.0189541895425123</v>
      </c>
      <c r="R1129" t="str">
        <f t="shared" si="51"/>
        <v>yes</v>
      </c>
      <c r="S1129" t="str">
        <f t="shared" si="52"/>
        <v>no</v>
      </c>
      <c r="T11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9" s="2" t="b">
        <f t="shared" si="53"/>
        <v>1</v>
      </c>
      <c r="V1129" s="2">
        <f>IF(Table4[[#This Row],[linear?]],Table4[[#This Row],[av]],10^(Table4[[#This Row],[av]]/10))</f>
        <v>4.4425432098765441E-2</v>
      </c>
      <c r="W1129" s="2">
        <f>IF(Table4[[#This Row],[linear?]],Table4[[#This Row],[av]],10^(Table4[[#This Row],[av]]/10))</f>
        <v>4.4425432098765441E-2</v>
      </c>
      <c r="X1129" s="2">
        <f>Table4[[#This Row],[av_lin]]-2*Table4[[#This Row],[std_lin]]</f>
        <v>-4.4425432098765441E-2</v>
      </c>
      <c r="Y1129" s="2">
        <f>Table4[[#This Row],[av_lin]]+2*Table4[[#This Row],[std_lin]]</f>
        <v>0.13327629629629634</v>
      </c>
    </row>
    <row r="1130" spans="1:25" x14ac:dyDescent="0.35">
      <c r="A1130" s="1">
        <v>1774</v>
      </c>
      <c r="B1130" t="s">
        <v>829</v>
      </c>
      <c r="C1130" t="s">
        <v>549</v>
      </c>
      <c r="D1130" t="s">
        <v>666</v>
      </c>
      <c r="E1130" s="2">
        <v>4.1670123456790123E-2</v>
      </c>
      <c r="F1130" s="2">
        <v>6.3893553571869131E-3</v>
      </c>
      <c r="G1130">
        <v>27</v>
      </c>
      <c r="H1130" t="s">
        <v>58</v>
      </c>
      <c r="M1130" s="2">
        <v>5.4448834171163953E-2</v>
      </c>
      <c r="N1130" s="2">
        <v>2.88914127424163E-2</v>
      </c>
      <c r="O1130" s="2">
        <v>2.5557421428747649E-2</v>
      </c>
      <c r="P1130" s="2">
        <v>6.5218040204820484</v>
      </c>
      <c r="R1130" t="str">
        <f t="shared" si="51"/>
        <v>yes</v>
      </c>
      <c r="S1130" t="str">
        <f t="shared" si="52"/>
        <v>no</v>
      </c>
      <c r="T11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0" s="2" t="b">
        <f t="shared" si="53"/>
        <v>1</v>
      </c>
      <c r="V1130" s="2">
        <f>IF(Table4[[#This Row],[linear?]],Table4[[#This Row],[av]],10^(Table4[[#This Row],[av]]/10))</f>
        <v>4.1670123456790123E-2</v>
      </c>
      <c r="W1130" s="2">
        <f>IF(Table4[[#This Row],[linear?]],Table4[[#This Row],[av]],10^(Table4[[#This Row],[av]]/10))</f>
        <v>4.1670123456790123E-2</v>
      </c>
      <c r="X1130" s="2">
        <f>Table4[[#This Row],[av_lin]]-2*Table4[[#This Row],[std_lin]]</f>
        <v>-4.1670123456790123E-2</v>
      </c>
      <c r="Y1130" s="2">
        <f>Table4[[#This Row],[av_lin]]+2*Table4[[#This Row],[std_lin]]</f>
        <v>0.12501037037037038</v>
      </c>
    </row>
    <row r="1131" spans="1:25" x14ac:dyDescent="0.35">
      <c r="A1131" s="1">
        <v>1776</v>
      </c>
      <c r="B1131" t="s">
        <v>829</v>
      </c>
      <c r="C1131" t="s">
        <v>549</v>
      </c>
      <c r="D1131" t="s">
        <v>668</v>
      </c>
      <c r="E1131" s="2">
        <v>3.9235432098765427E-2</v>
      </c>
      <c r="F1131" s="2">
        <v>8.8094775679420523E-3</v>
      </c>
      <c r="G1131">
        <v>27</v>
      </c>
      <c r="H1131" t="s">
        <v>58</v>
      </c>
      <c r="M1131" s="2">
        <v>5.6854387234649528E-2</v>
      </c>
      <c r="N1131" s="2">
        <v>2.1616476962881319E-2</v>
      </c>
      <c r="O1131" s="2">
        <v>3.5237910271768202E-2</v>
      </c>
      <c r="P1131" s="2">
        <v>4.4537751298152246</v>
      </c>
      <c r="R1131" t="str">
        <f t="shared" si="51"/>
        <v>yes</v>
      </c>
      <c r="S1131" t="str">
        <f t="shared" si="52"/>
        <v>no</v>
      </c>
      <c r="T11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1" s="2" t="b">
        <f t="shared" si="53"/>
        <v>1</v>
      </c>
      <c r="V1131" s="2">
        <f>IF(Table4[[#This Row],[linear?]],Table4[[#This Row],[av]],10^(Table4[[#This Row],[av]]/10))</f>
        <v>3.9235432098765427E-2</v>
      </c>
      <c r="W1131" s="2">
        <f>IF(Table4[[#This Row],[linear?]],Table4[[#This Row],[av]],10^(Table4[[#This Row],[av]]/10))</f>
        <v>3.9235432098765427E-2</v>
      </c>
      <c r="X1131" s="2">
        <f>Table4[[#This Row],[av_lin]]-2*Table4[[#This Row],[std_lin]]</f>
        <v>-3.9235432098765427E-2</v>
      </c>
      <c r="Y1131" s="2">
        <f>Table4[[#This Row],[av_lin]]+2*Table4[[#This Row],[std_lin]]</f>
        <v>0.11770629629629628</v>
      </c>
    </row>
    <row r="1132" spans="1:25" x14ac:dyDescent="0.35">
      <c r="A1132" s="1">
        <v>1777</v>
      </c>
      <c r="B1132" t="s">
        <v>829</v>
      </c>
      <c r="C1132" t="s">
        <v>549</v>
      </c>
      <c r="D1132" t="s">
        <v>669</v>
      </c>
      <c r="E1132" s="2">
        <v>3.8480246913580249E-2</v>
      </c>
      <c r="F1132" s="2">
        <v>9.0921823190708764E-3</v>
      </c>
      <c r="G1132">
        <v>27</v>
      </c>
      <c r="H1132" t="s">
        <v>58</v>
      </c>
      <c r="M1132" s="2">
        <v>5.6664611551722012E-2</v>
      </c>
      <c r="N1132" s="2">
        <v>2.02958822754385E-2</v>
      </c>
      <c r="O1132" s="2">
        <v>3.6368729276283512E-2</v>
      </c>
      <c r="P1132" s="2">
        <v>4.2322344144890094</v>
      </c>
      <c r="R1132" t="str">
        <f t="shared" si="51"/>
        <v>yes</v>
      </c>
      <c r="S1132" t="str">
        <f t="shared" si="52"/>
        <v>no</v>
      </c>
      <c r="T11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2" s="2" t="b">
        <f t="shared" si="53"/>
        <v>1</v>
      </c>
      <c r="V1132" s="2">
        <f>IF(Table4[[#This Row],[linear?]],Table4[[#This Row],[av]],10^(Table4[[#This Row],[av]]/10))</f>
        <v>3.8480246913580249E-2</v>
      </c>
      <c r="W1132" s="2">
        <f>IF(Table4[[#This Row],[linear?]],Table4[[#This Row],[av]],10^(Table4[[#This Row],[av]]/10))</f>
        <v>3.8480246913580249E-2</v>
      </c>
      <c r="X1132" s="2">
        <f>Table4[[#This Row],[av_lin]]-2*Table4[[#This Row],[std_lin]]</f>
        <v>-3.8480246913580249E-2</v>
      </c>
      <c r="Y1132" s="2">
        <f>Table4[[#This Row],[av_lin]]+2*Table4[[#This Row],[std_lin]]</f>
        <v>0.11544074074074075</v>
      </c>
    </row>
    <row r="1133" spans="1:25" x14ac:dyDescent="0.35">
      <c r="A1133" s="1">
        <v>1778</v>
      </c>
      <c r="B1133" t="s">
        <v>829</v>
      </c>
      <c r="C1133" t="s">
        <v>549</v>
      </c>
      <c r="D1133" t="s">
        <v>670</v>
      </c>
      <c r="E1133" s="2">
        <v>3.4513456790123458E-2</v>
      </c>
      <c r="F1133" s="2">
        <v>1.2276012979763549E-2</v>
      </c>
      <c r="G1133">
        <v>27</v>
      </c>
      <c r="H1133" t="s">
        <v>58</v>
      </c>
      <c r="M1133" s="2">
        <v>5.9065482749650552E-2</v>
      </c>
      <c r="N1133" s="2">
        <v>9.9614308305963593E-3</v>
      </c>
      <c r="O1133" s="2">
        <v>4.910405191905419E-2</v>
      </c>
      <c r="P1133" s="2">
        <v>2.8114548955770351</v>
      </c>
      <c r="R1133" t="str">
        <f t="shared" si="51"/>
        <v>yes</v>
      </c>
      <c r="S1133" t="str">
        <f t="shared" si="52"/>
        <v>no</v>
      </c>
      <c r="T11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3" s="2" t="b">
        <f t="shared" si="53"/>
        <v>1</v>
      </c>
      <c r="V1133" s="2">
        <f>IF(Table4[[#This Row],[linear?]],Table4[[#This Row],[av]],10^(Table4[[#This Row],[av]]/10))</f>
        <v>3.4513456790123458E-2</v>
      </c>
      <c r="W1133" s="2">
        <f>IF(Table4[[#This Row],[linear?]],Table4[[#This Row],[av]],10^(Table4[[#This Row],[av]]/10))</f>
        <v>3.4513456790123458E-2</v>
      </c>
      <c r="X1133" s="2">
        <f>Table4[[#This Row],[av_lin]]-2*Table4[[#This Row],[std_lin]]</f>
        <v>-3.4513456790123458E-2</v>
      </c>
      <c r="Y1133" s="2">
        <f>Table4[[#This Row],[av_lin]]+2*Table4[[#This Row],[std_lin]]</f>
        <v>0.10354037037037037</v>
      </c>
    </row>
    <row r="1134" spans="1:25" x14ac:dyDescent="0.35">
      <c r="A1134" s="1">
        <v>1779</v>
      </c>
      <c r="B1134" t="s">
        <v>829</v>
      </c>
      <c r="C1134" t="s">
        <v>549</v>
      </c>
      <c r="D1134" t="s">
        <v>671</v>
      </c>
      <c r="E1134" s="2">
        <v>7.5673580246913577E-2</v>
      </c>
      <c r="F1134" s="2">
        <v>5.7492927718309928E-3</v>
      </c>
      <c r="G1134">
        <v>27</v>
      </c>
      <c r="H1134" t="s">
        <v>58</v>
      </c>
      <c r="M1134" s="2">
        <v>8.7172165790575559E-2</v>
      </c>
      <c r="N1134" s="2">
        <v>6.4174994703251595E-2</v>
      </c>
      <c r="O1134" s="2">
        <v>2.2997171087323961E-2</v>
      </c>
      <c r="P1134" s="2">
        <v>13.16224155737569</v>
      </c>
      <c r="R1134" t="str">
        <f t="shared" si="51"/>
        <v>yes</v>
      </c>
      <c r="S1134" t="str">
        <f t="shared" si="52"/>
        <v>no</v>
      </c>
      <c r="T11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4" s="2" t="b">
        <f t="shared" si="53"/>
        <v>1</v>
      </c>
      <c r="V1134" s="2">
        <f>IF(Table4[[#This Row],[linear?]],Table4[[#This Row],[av]],10^(Table4[[#This Row],[av]]/10))</f>
        <v>7.5673580246913577E-2</v>
      </c>
      <c r="W1134" s="2">
        <f>IF(Table4[[#This Row],[linear?]],Table4[[#This Row],[av]],10^(Table4[[#This Row],[av]]/10))</f>
        <v>7.5673580246913577E-2</v>
      </c>
      <c r="X1134" s="2">
        <f>Table4[[#This Row],[av_lin]]-2*Table4[[#This Row],[std_lin]]</f>
        <v>-7.5673580246913577E-2</v>
      </c>
      <c r="Y1134" s="2">
        <f>Table4[[#This Row],[av_lin]]+2*Table4[[#This Row],[std_lin]]</f>
        <v>0.22702074074074075</v>
      </c>
    </row>
    <row r="1135" spans="1:25" x14ac:dyDescent="0.35">
      <c r="A1135" s="1">
        <v>1781</v>
      </c>
      <c r="B1135" t="s">
        <v>829</v>
      </c>
      <c r="C1135" t="s">
        <v>549</v>
      </c>
      <c r="D1135" t="s">
        <v>673</v>
      </c>
      <c r="E1135" s="2">
        <v>4.1895432098765437E-2</v>
      </c>
      <c r="F1135" s="2">
        <v>3.4767125226853272E-3</v>
      </c>
      <c r="G1135">
        <v>27</v>
      </c>
      <c r="H1135" t="s">
        <v>58</v>
      </c>
      <c r="M1135" s="2">
        <v>4.8848857144136087E-2</v>
      </c>
      <c r="N1135" s="2">
        <v>3.4942007053394793E-2</v>
      </c>
      <c r="O1135" s="2">
        <v>1.39068500907413E-2</v>
      </c>
      <c r="P1135" s="2">
        <v>12.050300916570009</v>
      </c>
      <c r="R1135" t="str">
        <f t="shared" si="51"/>
        <v>yes</v>
      </c>
      <c r="S1135" t="str">
        <f t="shared" si="52"/>
        <v>no</v>
      </c>
      <c r="T11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5" s="2" t="b">
        <f t="shared" si="53"/>
        <v>1</v>
      </c>
      <c r="V1135" s="2">
        <f>IF(Table4[[#This Row],[linear?]],Table4[[#This Row],[av]],10^(Table4[[#This Row],[av]]/10))</f>
        <v>4.1895432098765437E-2</v>
      </c>
      <c r="W1135" s="2">
        <f>IF(Table4[[#This Row],[linear?]],Table4[[#This Row],[av]],10^(Table4[[#This Row],[av]]/10))</f>
        <v>4.1895432098765437E-2</v>
      </c>
      <c r="X1135" s="2">
        <f>Table4[[#This Row],[av_lin]]-2*Table4[[#This Row],[std_lin]]</f>
        <v>-4.1895432098765437E-2</v>
      </c>
      <c r="Y1135" s="2">
        <f>Table4[[#This Row],[av_lin]]+2*Table4[[#This Row],[std_lin]]</f>
        <v>0.1256862962962963</v>
      </c>
    </row>
    <row r="1136" spans="1:25" x14ac:dyDescent="0.35">
      <c r="A1136" s="1">
        <v>1782</v>
      </c>
      <c r="B1136" t="s">
        <v>829</v>
      </c>
      <c r="C1136" t="s">
        <v>549</v>
      </c>
      <c r="D1136" t="s">
        <v>674</v>
      </c>
      <c r="E1136" s="2">
        <v>4.3353580246913583E-2</v>
      </c>
      <c r="F1136" s="2">
        <v>8.1030830369622567E-3</v>
      </c>
      <c r="G1136">
        <v>27</v>
      </c>
      <c r="H1136" t="s">
        <v>58</v>
      </c>
      <c r="M1136" s="2">
        <v>5.9559746320838103E-2</v>
      </c>
      <c r="N1136" s="2">
        <v>2.7147414172989069E-2</v>
      </c>
      <c r="O1136" s="2">
        <v>3.2412332147849027E-2</v>
      </c>
      <c r="P1136" s="2">
        <v>5.350257432776635</v>
      </c>
      <c r="R1136" t="str">
        <f t="shared" si="51"/>
        <v>yes</v>
      </c>
      <c r="S1136" t="str">
        <f t="shared" si="52"/>
        <v>no</v>
      </c>
      <c r="T11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6" s="2" t="b">
        <f t="shared" si="53"/>
        <v>1</v>
      </c>
      <c r="V1136" s="2">
        <f>IF(Table4[[#This Row],[linear?]],Table4[[#This Row],[av]],10^(Table4[[#This Row],[av]]/10))</f>
        <v>4.3353580246913583E-2</v>
      </c>
      <c r="W1136" s="2">
        <f>IF(Table4[[#This Row],[linear?]],Table4[[#This Row],[av]],10^(Table4[[#This Row],[av]]/10))</f>
        <v>4.3353580246913583E-2</v>
      </c>
      <c r="X1136" s="2">
        <f>Table4[[#This Row],[av_lin]]-2*Table4[[#This Row],[std_lin]]</f>
        <v>-4.3353580246913583E-2</v>
      </c>
      <c r="Y1136" s="2">
        <f>Table4[[#This Row],[av_lin]]+2*Table4[[#This Row],[std_lin]]</f>
        <v>0.13006074074074075</v>
      </c>
    </row>
    <row r="1137" spans="1:25" x14ac:dyDescent="0.35">
      <c r="A1137" s="1">
        <v>1783</v>
      </c>
      <c r="B1137" t="s">
        <v>829</v>
      </c>
      <c r="C1137" t="s">
        <v>549</v>
      </c>
      <c r="D1137" t="s">
        <v>675</v>
      </c>
      <c r="E1137" s="2">
        <v>4.2378518518518517E-2</v>
      </c>
      <c r="F1137" s="2">
        <v>7.3898619626726709E-3</v>
      </c>
      <c r="G1137">
        <v>27</v>
      </c>
      <c r="H1137" t="s">
        <v>58</v>
      </c>
      <c r="M1137" s="2">
        <v>5.715824244386386E-2</v>
      </c>
      <c r="N1137" s="2">
        <v>2.759879459317317E-2</v>
      </c>
      <c r="O1137" s="2">
        <v>2.9559447850690691E-2</v>
      </c>
      <c r="P1137" s="2">
        <v>5.7346833719735129</v>
      </c>
      <c r="R1137" t="str">
        <f t="shared" si="51"/>
        <v>yes</v>
      </c>
      <c r="S1137" t="str">
        <f t="shared" si="52"/>
        <v>no</v>
      </c>
      <c r="T11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7" s="2" t="b">
        <f t="shared" si="53"/>
        <v>1</v>
      </c>
      <c r="V1137" s="2">
        <f>IF(Table4[[#This Row],[linear?]],Table4[[#This Row],[av]],10^(Table4[[#This Row],[av]]/10))</f>
        <v>4.2378518518518517E-2</v>
      </c>
      <c r="W1137" s="2">
        <f>IF(Table4[[#This Row],[linear?]],Table4[[#This Row],[av]],10^(Table4[[#This Row],[av]]/10))</f>
        <v>4.2378518518518517E-2</v>
      </c>
      <c r="X1137" s="2">
        <f>Table4[[#This Row],[av_lin]]-2*Table4[[#This Row],[std_lin]]</f>
        <v>-4.2378518518518517E-2</v>
      </c>
      <c r="Y1137" s="2">
        <f>Table4[[#This Row],[av_lin]]+2*Table4[[#This Row],[std_lin]]</f>
        <v>0.12713555555555556</v>
      </c>
    </row>
    <row r="1138" spans="1:25" x14ac:dyDescent="0.35">
      <c r="A1138" s="1">
        <v>1785</v>
      </c>
      <c r="B1138" t="s">
        <v>829</v>
      </c>
      <c r="C1138" t="s">
        <v>549</v>
      </c>
      <c r="D1138" t="s">
        <v>677</v>
      </c>
      <c r="E1138" s="2">
        <v>3.6676543209876553E-2</v>
      </c>
      <c r="F1138" s="2">
        <v>6.928925507550034E-3</v>
      </c>
      <c r="G1138">
        <v>27</v>
      </c>
      <c r="H1138" t="s">
        <v>58</v>
      </c>
      <c r="M1138" s="2">
        <v>5.0534394224976617E-2</v>
      </c>
      <c r="N1138" s="2">
        <v>2.2818692194776481E-2</v>
      </c>
      <c r="O1138" s="2">
        <v>2.7715702030200129E-2</v>
      </c>
      <c r="P1138" s="2">
        <v>5.2932511931196728</v>
      </c>
      <c r="R1138" t="str">
        <f t="shared" si="51"/>
        <v>yes</v>
      </c>
      <c r="S1138" t="str">
        <f t="shared" si="52"/>
        <v>no</v>
      </c>
      <c r="T11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8" s="2" t="b">
        <f t="shared" si="53"/>
        <v>1</v>
      </c>
      <c r="V1138" s="2">
        <f>IF(Table4[[#This Row],[linear?]],Table4[[#This Row],[av]],10^(Table4[[#This Row],[av]]/10))</f>
        <v>3.6676543209876553E-2</v>
      </c>
      <c r="W1138" s="2">
        <f>IF(Table4[[#This Row],[linear?]],Table4[[#This Row],[av]],10^(Table4[[#This Row],[av]]/10))</f>
        <v>3.6676543209876553E-2</v>
      </c>
      <c r="X1138" s="2">
        <f>Table4[[#This Row],[av_lin]]-2*Table4[[#This Row],[std_lin]]</f>
        <v>-3.6676543209876553E-2</v>
      </c>
      <c r="Y1138" s="2">
        <f>Table4[[#This Row],[av_lin]]+2*Table4[[#This Row],[std_lin]]</f>
        <v>0.11002962962962966</v>
      </c>
    </row>
    <row r="1139" spans="1:25" x14ac:dyDescent="0.35">
      <c r="A1139" s="1">
        <v>1786</v>
      </c>
      <c r="B1139" t="s">
        <v>829</v>
      </c>
      <c r="C1139" t="s">
        <v>549</v>
      </c>
      <c r="D1139" t="s">
        <v>678</v>
      </c>
      <c r="E1139" s="2">
        <v>3.0221481481481471E-2</v>
      </c>
      <c r="F1139" s="2">
        <v>6.2069519665217086E-3</v>
      </c>
      <c r="G1139">
        <v>27</v>
      </c>
      <c r="H1139" t="s">
        <v>58</v>
      </c>
      <c r="M1139" s="2">
        <v>4.2635385414524878E-2</v>
      </c>
      <c r="N1139" s="2">
        <v>1.780757754843805E-2</v>
      </c>
      <c r="O1139" s="2">
        <v>2.4827807866086831E-2</v>
      </c>
      <c r="P1139" s="2">
        <v>4.868972991008528</v>
      </c>
      <c r="R1139" t="str">
        <f t="shared" si="51"/>
        <v>yes</v>
      </c>
      <c r="S1139" t="str">
        <f t="shared" si="52"/>
        <v>no</v>
      </c>
      <c r="T11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9" s="2" t="b">
        <f t="shared" si="53"/>
        <v>1</v>
      </c>
      <c r="V1139" s="2">
        <f>IF(Table4[[#This Row],[linear?]],Table4[[#This Row],[av]],10^(Table4[[#This Row],[av]]/10))</f>
        <v>3.0221481481481471E-2</v>
      </c>
      <c r="W1139" s="2">
        <f>IF(Table4[[#This Row],[linear?]],Table4[[#This Row],[av]],10^(Table4[[#This Row],[av]]/10))</f>
        <v>3.0221481481481471E-2</v>
      </c>
      <c r="X1139" s="2">
        <f>Table4[[#This Row],[av_lin]]-2*Table4[[#This Row],[std_lin]]</f>
        <v>-3.0221481481481471E-2</v>
      </c>
      <c r="Y1139" s="2">
        <f>Table4[[#This Row],[av_lin]]+2*Table4[[#This Row],[std_lin]]</f>
        <v>9.0664444444444409E-2</v>
      </c>
    </row>
    <row r="1140" spans="1:25" x14ac:dyDescent="0.35">
      <c r="A1140" s="1">
        <v>1787</v>
      </c>
      <c r="B1140" t="s">
        <v>829</v>
      </c>
      <c r="C1140" t="s">
        <v>549</v>
      </c>
      <c r="D1140" t="s">
        <v>679</v>
      </c>
      <c r="E1140" s="2">
        <v>3.16941975308642E-2</v>
      </c>
      <c r="F1140" s="2">
        <v>7.564449158785202E-3</v>
      </c>
      <c r="G1140">
        <v>27</v>
      </c>
      <c r="H1140" t="s">
        <v>58</v>
      </c>
      <c r="M1140" s="2">
        <v>4.6823095848434602E-2</v>
      </c>
      <c r="N1140" s="2">
        <v>1.6565299213293801E-2</v>
      </c>
      <c r="O1140" s="2">
        <v>3.0257796635140801E-2</v>
      </c>
      <c r="P1140" s="2">
        <v>4.1898883666968896</v>
      </c>
      <c r="R1140" t="str">
        <f t="shared" si="51"/>
        <v>yes</v>
      </c>
      <c r="S1140" t="str">
        <f t="shared" si="52"/>
        <v>no</v>
      </c>
      <c r="T11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0" s="2" t="b">
        <f t="shared" si="53"/>
        <v>1</v>
      </c>
      <c r="V1140" s="2">
        <f>IF(Table4[[#This Row],[linear?]],Table4[[#This Row],[av]],10^(Table4[[#This Row],[av]]/10))</f>
        <v>3.16941975308642E-2</v>
      </c>
      <c r="W1140" s="2">
        <f>IF(Table4[[#This Row],[linear?]],Table4[[#This Row],[av]],10^(Table4[[#This Row],[av]]/10))</f>
        <v>3.16941975308642E-2</v>
      </c>
      <c r="X1140" s="2">
        <f>Table4[[#This Row],[av_lin]]-2*Table4[[#This Row],[std_lin]]</f>
        <v>-3.16941975308642E-2</v>
      </c>
      <c r="Y1140" s="2">
        <f>Table4[[#This Row],[av_lin]]+2*Table4[[#This Row],[std_lin]]</f>
        <v>9.5082592592592607E-2</v>
      </c>
    </row>
    <row r="1141" spans="1:25" x14ac:dyDescent="0.35">
      <c r="A1141" s="1">
        <v>1788</v>
      </c>
      <c r="B1141" t="s">
        <v>829</v>
      </c>
      <c r="C1141" t="s">
        <v>549</v>
      </c>
      <c r="D1141" t="s">
        <v>680</v>
      </c>
      <c r="E1141" s="2">
        <v>7.6740000000000003E-2</v>
      </c>
      <c r="F1141" s="2">
        <v>6.1425409091012432E-3</v>
      </c>
      <c r="G1141">
        <v>27</v>
      </c>
      <c r="H1141" t="s">
        <v>58</v>
      </c>
      <c r="M1141" s="2">
        <v>8.9025081818202484E-2</v>
      </c>
      <c r="N1141" s="2">
        <v>6.4454918181797521E-2</v>
      </c>
      <c r="O1141" s="2">
        <v>2.4570163636404959E-2</v>
      </c>
      <c r="P1141" s="2">
        <v>12.493201288459691</v>
      </c>
      <c r="R1141" t="str">
        <f t="shared" si="51"/>
        <v>yes</v>
      </c>
      <c r="S1141" t="str">
        <f t="shared" si="52"/>
        <v>no</v>
      </c>
      <c r="T11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1" s="2" t="b">
        <f t="shared" si="53"/>
        <v>1</v>
      </c>
      <c r="V1141" s="2">
        <f>IF(Table4[[#This Row],[linear?]],Table4[[#This Row],[av]],10^(Table4[[#This Row],[av]]/10))</f>
        <v>7.6740000000000003E-2</v>
      </c>
      <c r="W1141" s="2">
        <f>IF(Table4[[#This Row],[linear?]],Table4[[#This Row],[av]],10^(Table4[[#This Row],[av]]/10))</f>
        <v>7.6740000000000003E-2</v>
      </c>
      <c r="X1141" s="2">
        <f>Table4[[#This Row],[av_lin]]-2*Table4[[#This Row],[std_lin]]</f>
        <v>-7.6740000000000003E-2</v>
      </c>
      <c r="Y1141" s="2">
        <f>Table4[[#This Row],[av_lin]]+2*Table4[[#This Row],[std_lin]]</f>
        <v>0.23022000000000001</v>
      </c>
    </row>
    <row r="1142" spans="1:25" x14ac:dyDescent="0.35">
      <c r="A1142" s="1">
        <v>1790</v>
      </c>
      <c r="B1142" t="s">
        <v>829</v>
      </c>
      <c r="C1142" t="s">
        <v>549</v>
      </c>
      <c r="D1142" t="s">
        <v>682</v>
      </c>
      <c r="E1142" s="2">
        <v>4.5996296296296299E-2</v>
      </c>
      <c r="F1142" s="2">
        <v>1.4652867089416729E-2</v>
      </c>
      <c r="G1142">
        <v>27</v>
      </c>
      <c r="H1142" t="s">
        <v>58</v>
      </c>
      <c r="M1142" s="2">
        <v>7.5302030475129761E-2</v>
      </c>
      <c r="N1142" s="2">
        <v>1.6690562117462841E-2</v>
      </c>
      <c r="O1142" s="2">
        <v>5.8611468357666917E-2</v>
      </c>
      <c r="P1142" s="2">
        <v>3.1390645950455571</v>
      </c>
      <c r="R1142" t="str">
        <f t="shared" si="51"/>
        <v>yes</v>
      </c>
      <c r="S1142" t="str">
        <f t="shared" si="52"/>
        <v>no</v>
      </c>
      <c r="T11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2" s="2" t="b">
        <f t="shared" si="53"/>
        <v>1</v>
      </c>
      <c r="V1142" s="2">
        <f>IF(Table4[[#This Row],[linear?]],Table4[[#This Row],[av]],10^(Table4[[#This Row],[av]]/10))</f>
        <v>4.5996296296296299E-2</v>
      </c>
      <c r="W1142" s="2">
        <f>IF(Table4[[#This Row],[linear?]],Table4[[#This Row],[av]],10^(Table4[[#This Row],[av]]/10))</f>
        <v>4.5996296296296299E-2</v>
      </c>
      <c r="X1142" s="2">
        <f>Table4[[#This Row],[av_lin]]-2*Table4[[#This Row],[std_lin]]</f>
        <v>-4.5996296296296299E-2</v>
      </c>
      <c r="Y1142" s="2">
        <f>Table4[[#This Row],[av_lin]]+2*Table4[[#This Row],[std_lin]]</f>
        <v>0.13798888888888888</v>
      </c>
    </row>
    <row r="1143" spans="1:25" x14ac:dyDescent="0.35">
      <c r="A1143" s="1">
        <v>1791</v>
      </c>
      <c r="B1143" t="s">
        <v>829</v>
      </c>
      <c r="C1143" t="s">
        <v>549</v>
      </c>
      <c r="D1143" t="s">
        <v>683</v>
      </c>
      <c r="E1143" s="2">
        <v>4.5701358024691358E-2</v>
      </c>
      <c r="F1143" s="2">
        <v>8.313547449516949E-3</v>
      </c>
      <c r="G1143">
        <v>27</v>
      </c>
      <c r="H1143" t="s">
        <v>58</v>
      </c>
      <c r="M1143" s="2">
        <v>6.2328452923725262E-2</v>
      </c>
      <c r="N1143" s="2">
        <v>2.907426312565746E-2</v>
      </c>
      <c r="O1143" s="2">
        <v>3.3254189798067803E-2</v>
      </c>
      <c r="P1143" s="2">
        <v>5.4972150339199413</v>
      </c>
      <c r="R1143" t="str">
        <f t="shared" si="51"/>
        <v>yes</v>
      </c>
      <c r="S1143" t="str">
        <f t="shared" si="52"/>
        <v>no</v>
      </c>
      <c r="T11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3" s="2" t="b">
        <f t="shared" si="53"/>
        <v>1</v>
      </c>
      <c r="V1143" s="2">
        <f>IF(Table4[[#This Row],[linear?]],Table4[[#This Row],[av]],10^(Table4[[#This Row],[av]]/10))</f>
        <v>4.5701358024691358E-2</v>
      </c>
      <c r="W1143" s="2">
        <f>IF(Table4[[#This Row],[linear?]],Table4[[#This Row],[av]],10^(Table4[[#This Row],[av]]/10))</f>
        <v>4.5701358024691358E-2</v>
      </c>
      <c r="X1143" s="2">
        <f>Table4[[#This Row],[av_lin]]-2*Table4[[#This Row],[std_lin]]</f>
        <v>-4.5701358024691358E-2</v>
      </c>
      <c r="Y1143" s="2">
        <f>Table4[[#This Row],[av_lin]]+2*Table4[[#This Row],[std_lin]]</f>
        <v>0.13710407407407407</v>
      </c>
    </row>
    <row r="1144" spans="1:25" x14ac:dyDescent="0.35">
      <c r="A1144" s="1">
        <v>1792</v>
      </c>
      <c r="B1144" t="s">
        <v>829</v>
      </c>
      <c r="C1144" t="s">
        <v>549</v>
      </c>
      <c r="D1144" t="s">
        <v>684</v>
      </c>
      <c r="E1144" s="2">
        <v>4.4570000000000012E-2</v>
      </c>
      <c r="F1144" s="2">
        <v>9.1494608245514027E-3</v>
      </c>
      <c r="G1144">
        <v>27</v>
      </c>
      <c r="H1144" t="s">
        <v>58</v>
      </c>
      <c r="M1144" s="2">
        <v>6.2868921649102821E-2</v>
      </c>
      <c r="N1144" s="2">
        <v>2.627107835089721E-2</v>
      </c>
      <c r="O1144" s="2">
        <v>3.6597843298205618E-2</v>
      </c>
      <c r="P1144" s="2">
        <v>4.8713253004376096</v>
      </c>
      <c r="R1144" t="str">
        <f t="shared" si="51"/>
        <v>yes</v>
      </c>
      <c r="S1144" t="str">
        <f t="shared" si="52"/>
        <v>no</v>
      </c>
      <c r="T11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4" s="2" t="b">
        <f t="shared" si="53"/>
        <v>1</v>
      </c>
      <c r="V1144" s="2">
        <f>IF(Table4[[#This Row],[linear?]],Table4[[#This Row],[av]],10^(Table4[[#This Row],[av]]/10))</f>
        <v>4.4570000000000012E-2</v>
      </c>
      <c r="W1144" s="2">
        <f>IF(Table4[[#This Row],[linear?]],Table4[[#This Row],[av]],10^(Table4[[#This Row],[av]]/10))</f>
        <v>4.4570000000000012E-2</v>
      </c>
      <c r="X1144" s="2">
        <f>Table4[[#This Row],[av_lin]]-2*Table4[[#This Row],[std_lin]]</f>
        <v>-4.4570000000000012E-2</v>
      </c>
      <c r="Y1144" s="2">
        <f>Table4[[#This Row],[av_lin]]+2*Table4[[#This Row],[std_lin]]</f>
        <v>0.13371000000000005</v>
      </c>
    </row>
    <row r="1145" spans="1:25" x14ac:dyDescent="0.35">
      <c r="A1145" s="1">
        <v>1793</v>
      </c>
      <c r="B1145" t="s">
        <v>829</v>
      </c>
      <c r="C1145" t="s">
        <v>549</v>
      </c>
      <c r="D1145" t="s">
        <v>685</v>
      </c>
      <c r="E1145" s="2">
        <v>5.1253086419753091E-3</v>
      </c>
      <c r="F1145" s="2">
        <v>1.9794602160301922E-3</v>
      </c>
      <c r="G1145">
        <v>27</v>
      </c>
      <c r="H1145" t="s">
        <v>58</v>
      </c>
      <c r="M1145" s="2">
        <v>9.0842290740356935E-3</v>
      </c>
      <c r="N1145" s="2">
        <v>1.166388209914925E-3</v>
      </c>
      <c r="O1145" s="2">
        <v>7.9178408641207686E-3</v>
      </c>
      <c r="P1145" s="2">
        <v>2.5892455935558618</v>
      </c>
      <c r="R1145" t="str">
        <f t="shared" si="51"/>
        <v>yes</v>
      </c>
      <c r="S1145" t="str">
        <f t="shared" si="52"/>
        <v>no</v>
      </c>
      <c r="T11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5" s="2" t="b">
        <f t="shared" si="53"/>
        <v>1</v>
      </c>
      <c r="V1145" s="2">
        <f>IF(Table4[[#This Row],[linear?]],Table4[[#This Row],[av]],10^(Table4[[#This Row],[av]]/10))</f>
        <v>5.1253086419753091E-3</v>
      </c>
      <c r="W1145" s="2">
        <f>IF(Table4[[#This Row],[linear?]],Table4[[#This Row],[av]],10^(Table4[[#This Row],[av]]/10))</f>
        <v>5.1253086419753091E-3</v>
      </c>
      <c r="X1145" s="2">
        <f>Table4[[#This Row],[av_lin]]-2*Table4[[#This Row],[std_lin]]</f>
        <v>-5.1253086419753091E-3</v>
      </c>
      <c r="Y1145" s="2">
        <f>Table4[[#This Row],[av_lin]]+2*Table4[[#This Row],[std_lin]]</f>
        <v>1.5375925925925928E-2</v>
      </c>
    </row>
    <row r="1146" spans="1:25" x14ac:dyDescent="0.35">
      <c r="A1146" s="1">
        <v>1795</v>
      </c>
      <c r="B1146" t="s">
        <v>829</v>
      </c>
      <c r="C1146" t="s">
        <v>549</v>
      </c>
      <c r="D1146" t="s">
        <v>687</v>
      </c>
      <c r="E1146" s="2">
        <v>2.4820987654320999E-3</v>
      </c>
      <c r="F1146" s="2">
        <v>1.2193586006268809E-3</v>
      </c>
      <c r="G1146">
        <v>27</v>
      </c>
      <c r="H1146" t="s">
        <v>58</v>
      </c>
      <c r="M1146" s="2">
        <v>4.9208159666858618E-3</v>
      </c>
      <c r="N1146" s="2">
        <v>4.338156417833805E-5</v>
      </c>
      <c r="O1146" s="2">
        <v>4.8774344025075238E-3</v>
      </c>
      <c r="P1146" s="2">
        <v>2.0355773635057282</v>
      </c>
      <c r="R1146" t="str">
        <f t="shared" si="51"/>
        <v>yes</v>
      </c>
      <c r="S1146" t="str">
        <f t="shared" si="52"/>
        <v>no</v>
      </c>
      <c r="T11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6" s="2" t="b">
        <f t="shared" si="53"/>
        <v>1</v>
      </c>
      <c r="V1146" s="2">
        <f>IF(Table4[[#This Row],[linear?]],Table4[[#This Row],[av]],10^(Table4[[#This Row],[av]]/10))</f>
        <v>2.4820987654320999E-3</v>
      </c>
      <c r="W1146" s="2">
        <f>IF(Table4[[#This Row],[linear?]],Table4[[#This Row],[av]],10^(Table4[[#This Row],[av]]/10))</f>
        <v>2.4820987654320999E-3</v>
      </c>
      <c r="X1146" s="2">
        <f>Table4[[#This Row],[av_lin]]-2*Table4[[#This Row],[std_lin]]</f>
        <v>-2.4820987654320999E-3</v>
      </c>
      <c r="Y1146" s="2">
        <f>Table4[[#This Row],[av_lin]]+2*Table4[[#This Row],[std_lin]]</f>
        <v>7.4462962962962998E-3</v>
      </c>
    </row>
    <row r="1147" spans="1:25" x14ac:dyDescent="0.35">
      <c r="A1147" s="1">
        <v>1797</v>
      </c>
      <c r="B1147" t="s">
        <v>829</v>
      </c>
      <c r="C1147" t="s">
        <v>549</v>
      </c>
      <c r="D1147" t="s">
        <v>689</v>
      </c>
      <c r="E1147" s="2">
        <v>2.100765432098765E-2</v>
      </c>
      <c r="F1147" s="2">
        <v>2.79485085550104E-3</v>
      </c>
      <c r="G1147">
        <v>27</v>
      </c>
      <c r="H1147" t="s">
        <v>58</v>
      </c>
      <c r="M1147" s="2">
        <v>2.6597356031989729E-2</v>
      </c>
      <c r="N1147" s="2">
        <v>1.5417952609985569E-2</v>
      </c>
      <c r="O1147" s="2">
        <v>1.117940342200416E-2</v>
      </c>
      <c r="P1147" s="2">
        <v>7.516556484450243</v>
      </c>
      <c r="R1147" t="str">
        <f t="shared" si="51"/>
        <v>yes</v>
      </c>
      <c r="S1147" t="str">
        <f t="shared" si="52"/>
        <v>no</v>
      </c>
      <c r="T11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7" s="2" t="b">
        <f t="shared" si="53"/>
        <v>1</v>
      </c>
      <c r="V1147" s="2">
        <f>IF(Table4[[#This Row],[linear?]],Table4[[#This Row],[av]],10^(Table4[[#This Row],[av]]/10))</f>
        <v>2.100765432098765E-2</v>
      </c>
      <c r="W1147" s="2">
        <f>IF(Table4[[#This Row],[linear?]],Table4[[#This Row],[av]],10^(Table4[[#This Row],[av]]/10))</f>
        <v>2.100765432098765E-2</v>
      </c>
      <c r="X1147" s="2">
        <f>Table4[[#This Row],[av_lin]]-2*Table4[[#This Row],[std_lin]]</f>
        <v>-2.100765432098765E-2</v>
      </c>
      <c r="Y1147" s="2">
        <f>Table4[[#This Row],[av_lin]]+2*Table4[[#This Row],[std_lin]]</f>
        <v>6.3022962962962947E-2</v>
      </c>
    </row>
    <row r="1148" spans="1:25" x14ac:dyDescent="0.35">
      <c r="A1148" s="1">
        <v>1799</v>
      </c>
      <c r="B1148" t="s">
        <v>829</v>
      </c>
      <c r="C1148" t="s">
        <v>549</v>
      </c>
      <c r="D1148" t="s">
        <v>691</v>
      </c>
      <c r="E1148" s="2">
        <v>2.4632098765432109E-3</v>
      </c>
      <c r="F1148" s="2">
        <v>1.0697377305398689E-3</v>
      </c>
      <c r="G1148">
        <v>27</v>
      </c>
      <c r="H1148" t="s">
        <v>58</v>
      </c>
      <c r="M1148" s="2">
        <v>4.6026853376229492E-3</v>
      </c>
      <c r="N1148" s="2">
        <v>3.2373441546347309E-4</v>
      </c>
      <c r="O1148" s="2">
        <v>4.2789509221594756E-3</v>
      </c>
      <c r="P1148" s="2">
        <v>2.3026297065357251</v>
      </c>
      <c r="R1148" t="str">
        <f t="shared" si="51"/>
        <v>yes</v>
      </c>
      <c r="S1148" t="str">
        <f t="shared" si="52"/>
        <v>no</v>
      </c>
      <c r="T11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8" s="2" t="b">
        <f t="shared" si="53"/>
        <v>1</v>
      </c>
      <c r="V1148" s="2">
        <f>IF(Table4[[#This Row],[linear?]],Table4[[#This Row],[av]],10^(Table4[[#This Row],[av]]/10))</f>
        <v>2.4632098765432109E-3</v>
      </c>
      <c r="W1148" s="2">
        <f>IF(Table4[[#This Row],[linear?]],Table4[[#This Row],[av]],10^(Table4[[#This Row],[av]]/10))</f>
        <v>2.4632098765432109E-3</v>
      </c>
      <c r="X1148" s="2">
        <f>Table4[[#This Row],[av_lin]]-2*Table4[[#This Row],[std_lin]]</f>
        <v>-2.4632098765432109E-3</v>
      </c>
      <c r="Y1148" s="2">
        <f>Table4[[#This Row],[av_lin]]+2*Table4[[#This Row],[std_lin]]</f>
        <v>7.3896296296296331E-3</v>
      </c>
    </row>
    <row r="1149" spans="1:25" x14ac:dyDescent="0.35">
      <c r="A1149" s="1">
        <v>1801</v>
      </c>
      <c r="B1149" t="s">
        <v>829</v>
      </c>
      <c r="C1149" t="s">
        <v>549</v>
      </c>
      <c r="D1149" t="s">
        <v>693</v>
      </c>
      <c r="E1149" s="2">
        <v>1.737037037037038E-3</v>
      </c>
      <c r="F1149" s="2">
        <v>1.345623946890433E-3</v>
      </c>
      <c r="G1149">
        <v>27</v>
      </c>
      <c r="H1149" t="s">
        <v>58</v>
      </c>
      <c r="M1149" s="2">
        <v>4.4282849308179039E-3</v>
      </c>
      <c r="N1149" s="2">
        <v>-9.5421085674382805E-4</v>
      </c>
      <c r="O1149" s="2">
        <v>5.3824957875617321E-3</v>
      </c>
      <c r="P1149" s="2">
        <v>1.2908785110811321</v>
      </c>
      <c r="R1149" t="str">
        <f t="shared" si="51"/>
        <v>yes</v>
      </c>
      <c r="S1149" t="str">
        <f t="shared" si="52"/>
        <v>no</v>
      </c>
      <c r="T11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9" s="2" t="b">
        <f t="shared" si="53"/>
        <v>1</v>
      </c>
      <c r="V1149" s="2">
        <f>IF(Table4[[#This Row],[linear?]],Table4[[#This Row],[av]],10^(Table4[[#This Row],[av]]/10))</f>
        <v>1.737037037037038E-3</v>
      </c>
      <c r="W1149" s="2">
        <f>IF(Table4[[#This Row],[linear?]],Table4[[#This Row],[av]],10^(Table4[[#This Row],[av]]/10))</f>
        <v>1.737037037037038E-3</v>
      </c>
      <c r="X1149" s="2">
        <f>Table4[[#This Row],[av_lin]]-2*Table4[[#This Row],[std_lin]]</f>
        <v>-1.737037037037038E-3</v>
      </c>
      <c r="Y1149" s="2">
        <f>Table4[[#This Row],[av_lin]]+2*Table4[[#This Row],[std_lin]]</f>
        <v>5.2111111111111143E-3</v>
      </c>
    </row>
    <row r="1150" spans="1:25" x14ac:dyDescent="0.35">
      <c r="A1150" s="1">
        <v>1803</v>
      </c>
      <c r="B1150" t="s">
        <v>829</v>
      </c>
      <c r="C1150" t="s">
        <v>549</v>
      </c>
      <c r="D1150" t="s">
        <v>695</v>
      </c>
      <c r="E1150" s="2">
        <v>2.2375432098765431E-2</v>
      </c>
      <c r="F1150" s="2">
        <v>2.9466360448889332E-3</v>
      </c>
      <c r="G1150">
        <v>27</v>
      </c>
      <c r="H1150" t="s">
        <v>58</v>
      </c>
      <c r="M1150" s="2">
        <v>2.8268704188543301E-2</v>
      </c>
      <c r="N1150" s="2">
        <v>1.648216000898756E-2</v>
      </c>
      <c r="O1150" s="2">
        <v>1.1786544179555729E-2</v>
      </c>
      <c r="P1150" s="2">
        <v>7.5935513439389908</v>
      </c>
      <c r="R1150" t="str">
        <f t="shared" si="51"/>
        <v>yes</v>
      </c>
      <c r="S1150" t="str">
        <f t="shared" si="52"/>
        <v>no</v>
      </c>
      <c r="T11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0" s="2" t="b">
        <f t="shared" si="53"/>
        <v>1</v>
      </c>
      <c r="V1150" s="2">
        <f>IF(Table4[[#This Row],[linear?]],Table4[[#This Row],[av]],10^(Table4[[#This Row],[av]]/10))</f>
        <v>2.2375432098765431E-2</v>
      </c>
      <c r="W1150" s="2">
        <f>IF(Table4[[#This Row],[linear?]],Table4[[#This Row],[av]],10^(Table4[[#This Row],[av]]/10))</f>
        <v>2.2375432098765431E-2</v>
      </c>
      <c r="X1150" s="2">
        <f>Table4[[#This Row],[av_lin]]-2*Table4[[#This Row],[std_lin]]</f>
        <v>-2.2375432098765431E-2</v>
      </c>
      <c r="Y1150" s="2">
        <f>Table4[[#This Row],[av_lin]]+2*Table4[[#This Row],[std_lin]]</f>
        <v>6.7126296296296295E-2</v>
      </c>
    </row>
    <row r="1151" spans="1:25" x14ac:dyDescent="0.35">
      <c r="A1151" s="1">
        <v>1805</v>
      </c>
      <c r="B1151" t="s">
        <v>829</v>
      </c>
      <c r="C1151" t="s">
        <v>549</v>
      </c>
      <c r="D1151" t="s">
        <v>697</v>
      </c>
      <c r="E1151" s="2">
        <v>3.299382716049383E-3</v>
      </c>
      <c r="F1151" s="2">
        <v>2.1059835406161552E-3</v>
      </c>
      <c r="G1151">
        <v>27</v>
      </c>
      <c r="H1151" t="s">
        <v>58</v>
      </c>
      <c r="M1151" s="2">
        <v>7.5113497972816934E-3</v>
      </c>
      <c r="N1151" s="2">
        <v>-9.1258436518292744E-4</v>
      </c>
      <c r="O1151" s="2">
        <v>8.4239341624646209E-3</v>
      </c>
      <c r="P1151" s="2">
        <v>1.566670703933456</v>
      </c>
      <c r="R1151" t="str">
        <f t="shared" si="51"/>
        <v>yes</v>
      </c>
      <c r="S1151" t="str">
        <f t="shared" si="52"/>
        <v>no</v>
      </c>
      <c r="T11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1" s="2" t="b">
        <f t="shared" si="53"/>
        <v>1</v>
      </c>
      <c r="V1151" s="2">
        <f>IF(Table4[[#This Row],[linear?]],Table4[[#This Row],[av]],10^(Table4[[#This Row],[av]]/10))</f>
        <v>3.299382716049383E-3</v>
      </c>
      <c r="W1151" s="2">
        <f>IF(Table4[[#This Row],[linear?]],Table4[[#This Row],[av]],10^(Table4[[#This Row],[av]]/10))</f>
        <v>3.299382716049383E-3</v>
      </c>
      <c r="X1151" s="2">
        <f>Table4[[#This Row],[av_lin]]-2*Table4[[#This Row],[std_lin]]</f>
        <v>-3.299382716049383E-3</v>
      </c>
      <c r="Y1151" s="2">
        <f>Table4[[#This Row],[av_lin]]+2*Table4[[#This Row],[std_lin]]</f>
        <v>9.898148148148149E-3</v>
      </c>
    </row>
    <row r="1152" spans="1:25" x14ac:dyDescent="0.35">
      <c r="A1152" s="1">
        <v>1807</v>
      </c>
      <c r="B1152" t="s">
        <v>829</v>
      </c>
      <c r="C1152" t="s">
        <v>549</v>
      </c>
      <c r="D1152" t="s">
        <v>699</v>
      </c>
      <c r="E1152" s="2">
        <v>1.977654320987655E-3</v>
      </c>
      <c r="F1152" s="2">
        <v>2.2623854497872838E-3</v>
      </c>
      <c r="G1152">
        <v>27</v>
      </c>
      <c r="H1152" t="s">
        <v>58</v>
      </c>
      <c r="M1152" s="2">
        <v>6.5024252205622222E-3</v>
      </c>
      <c r="N1152" s="2">
        <v>-2.5471165785869131E-3</v>
      </c>
      <c r="O1152" s="2">
        <v>9.0495417991491352E-3</v>
      </c>
      <c r="P1152" s="2">
        <v>0.87414561527241075</v>
      </c>
      <c r="R1152" t="str">
        <f t="shared" si="51"/>
        <v>yes</v>
      </c>
      <c r="S1152" t="str">
        <f t="shared" si="52"/>
        <v>no</v>
      </c>
      <c r="T11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2" s="2" t="b">
        <f t="shared" si="53"/>
        <v>1</v>
      </c>
      <c r="V1152" s="2">
        <f>IF(Table4[[#This Row],[linear?]],Table4[[#This Row],[av]],10^(Table4[[#This Row],[av]]/10))</f>
        <v>1.977654320987655E-3</v>
      </c>
      <c r="W1152" s="2">
        <f>IF(Table4[[#This Row],[linear?]],Table4[[#This Row],[av]],10^(Table4[[#This Row],[av]]/10))</f>
        <v>1.977654320987655E-3</v>
      </c>
      <c r="X1152" s="2">
        <f>Table4[[#This Row],[av_lin]]-2*Table4[[#This Row],[std_lin]]</f>
        <v>-1.977654320987655E-3</v>
      </c>
      <c r="Y1152" s="2">
        <f>Table4[[#This Row],[av_lin]]+2*Table4[[#This Row],[std_lin]]</f>
        <v>5.9329629629629645E-3</v>
      </c>
    </row>
    <row r="1153" spans="1:25" x14ac:dyDescent="0.35">
      <c r="A1153" s="1">
        <v>1809</v>
      </c>
      <c r="B1153" t="s">
        <v>829</v>
      </c>
      <c r="C1153" t="s">
        <v>549</v>
      </c>
      <c r="D1153" t="s">
        <v>701</v>
      </c>
      <c r="E1153" s="2">
        <v>2.3967160493827151E-2</v>
      </c>
      <c r="F1153" s="2">
        <v>1.7680543277693529E-3</v>
      </c>
      <c r="G1153">
        <v>27</v>
      </c>
      <c r="H1153" t="s">
        <v>58</v>
      </c>
      <c r="M1153" s="2">
        <v>2.750326914936586E-2</v>
      </c>
      <c r="N1153" s="2">
        <v>2.0431051838288441E-2</v>
      </c>
      <c r="O1153" s="2">
        <v>7.0722173110774134E-3</v>
      </c>
      <c r="P1153" s="2">
        <v>13.55566970844446</v>
      </c>
      <c r="R1153" t="str">
        <f t="shared" si="51"/>
        <v>yes</v>
      </c>
      <c r="S1153" t="str">
        <f t="shared" si="52"/>
        <v>no</v>
      </c>
      <c r="T11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3" s="2" t="b">
        <f t="shared" si="53"/>
        <v>1</v>
      </c>
      <c r="V1153" s="2">
        <f>IF(Table4[[#This Row],[linear?]],Table4[[#This Row],[av]],10^(Table4[[#This Row],[av]]/10))</f>
        <v>2.3967160493827151E-2</v>
      </c>
      <c r="W1153" s="2">
        <f>IF(Table4[[#This Row],[linear?]],Table4[[#This Row],[av]],10^(Table4[[#This Row],[av]]/10))</f>
        <v>2.3967160493827151E-2</v>
      </c>
      <c r="X1153" s="2">
        <f>Table4[[#This Row],[av_lin]]-2*Table4[[#This Row],[std_lin]]</f>
        <v>-2.3967160493827151E-2</v>
      </c>
      <c r="Y1153" s="2">
        <f>Table4[[#This Row],[av_lin]]+2*Table4[[#This Row],[std_lin]]</f>
        <v>7.1901481481481455E-2</v>
      </c>
    </row>
    <row r="1154" spans="1:25" x14ac:dyDescent="0.35">
      <c r="A1154" s="1">
        <v>1812</v>
      </c>
      <c r="B1154" t="s">
        <v>829</v>
      </c>
      <c r="C1154" t="s">
        <v>549</v>
      </c>
      <c r="D1154" t="s">
        <v>704</v>
      </c>
      <c r="E1154" s="2">
        <v>3.3218148148148142E-2</v>
      </c>
      <c r="F1154" s="2">
        <v>6.3278153603040059E-3</v>
      </c>
      <c r="G1154">
        <v>27</v>
      </c>
      <c r="H1154" t="s">
        <v>58</v>
      </c>
      <c r="M1154" s="2">
        <v>4.5873778868756147E-2</v>
      </c>
      <c r="N1154" s="2">
        <v>2.0562517427540131E-2</v>
      </c>
      <c r="O1154" s="2">
        <v>2.531126144121602E-2</v>
      </c>
      <c r="P1154" s="2">
        <v>5.2495444725732723</v>
      </c>
      <c r="R1154" t="str">
        <f t="shared" ref="R1154:R1217" si="54">IF(H1154="yes","yes","no")</f>
        <v>yes</v>
      </c>
      <c r="S1154" t="str">
        <f t="shared" ref="S1154:S1217" si="55">IF(I1154,"yes","no")</f>
        <v>no</v>
      </c>
      <c r="T11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4" s="2" t="b">
        <f t="shared" ref="U1154:U1217" si="56">NOT(ISNUMBER(SEARCH("RFIC*POWER", D1154)))</f>
        <v>1</v>
      </c>
      <c r="V1154" s="2">
        <f>IF(Table4[[#This Row],[linear?]],Table4[[#This Row],[av]],10^(Table4[[#This Row],[av]]/10))</f>
        <v>3.3218148148148142E-2</v>
      </c>
      <c r="W1154" s="2">
        <f>IF(Table4[[#This Row],[linear?]],Table4[[#This Row],[av]],10^(Table4[[#This Row],[av]]/10))</f>
        <v>3.3218148148148142E-2</v>
      </c>
      <c r="X1154" s="2">
        <f>Table4[[#This Row],[av_lin]]-2*Table4[[#This Row],[std_lin]]</f>
        <v>-3.3218148148148142E-2</v>
      </c>
      <c r="Y1154" s="2">
        <f>Table4[[#This Row],[av_lin]]+2*Table4[[#This Row],[std_lin]]</f>
        <v>9.9654444444444434E-2</v>
      </c>
    </row>
    <row r="1155" spans="1:25" x14ac:dyDescent="0.35">
      <c r="A1155" s="1">
        <v>1813</v>
      </c>
      <c r="B1155" t="s">
        <v>829</v>
      </c>
      <c r="C1155" t="s">
        <v>549</v>
      </c>
      <c r="D1155" t="s">
        <v>705</v>
      </c>
      <c r="E1155" s="2">
        <v>3.6273580246913593E-2</v>
      </c>
      <c r="F1155" s="2">
        <v>1.217961968853527E-2</v>
      </c>
      <c r="G1155">
        <v>27</v>
      </c>
      <c r="H1155" t="s">
        <v>58</v>
      </c>
      <c r="M1155" s="2">
        <v>6.0632819623984133E-2</v>
      </c>
      <c r="N1155" s="2">
        <v>1.1914340869843051E-2</v>
      </c>
      <c r="O1155" s="2">
        <v>4.8718478754141079E-2</v>
      </c>
      <c r="P1155" s="2">
        <v>2.9782194497467009</v>
      </c>
      <c r="R1155" t="str">
        <f t="shared" si="54"/>
        <v>yes</v>
      </c>
      <c r="S1155" t="str">
        <f t="shared" si="55"/>
        <v>no</v>
      </c>
      <c r="T11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5" s="2" t="b">
        <f t="shared" si="56"/>
        <v>1</v>
      </c>
      <c r="V1155" s="2">
        <f>IF(Table4[[#This Row],[linear?]],Table4[[#This Row],[av]],10^(Table4[[#This Row],[av]]/10))</f>
        <v>3.6273580246913593E-2</v>
      </c>
      <c r="W1155" s="2">
        <f>IF(Table4[[#This Row],[linear?]],Table4[[#This Row],[av]],10^(Table4[[#This Row],[av]]/10))</f>
        <v>3.6273580246913593E-2</v>
      </c>
      <c r="X1155" s="2">
        <f>Table4[[#This Row],[av_lin]]-2*Table4[[#This Row],[std_lin]]</f>
        <v>-3.6273580246913593E-2</v>
      </c>
      <c r="Y1155" s="2">
        <f>Table4[[#This Row],[av_lin]]+2*Table4[[#This Row],[std_lin]]</f>
        <v>0.10882074074074077</v>
      </c>
    </row>
    <row r="1156" spans="1:25" x14ac:dyDescent="0.35">
      <c r="A1156" s="1">
        <v>1814</v>
      </c>
      <c r="B1156" t="s">
        <v>829</v>
      </c>
      <c r="C1156" t="s">
        <v>549</v>
      </c>
      <c r="D1156" t="s">
        <v>706</v>
      </c>
      <c r="E1156" s="2">
        <v>3.6037901234567897E-2</v>
      </c>
      <c r="F1156" s="2">
        <v>9.5375674789839205E-3</v>
      </c>
      <c r="G1156">
        <v>27</v>
      </c>
      <c r="H1156" t="s">
        <v>58</v>
      </c>
      <c r="M1156" s="2">
        <v>5.5113036192535741E-2</v>
      </c>
      <c r="N1156" s="2">
        <v>1.6962766276600059E-2</v>
      </c>
      <c r="O1156" s="2">
        <v>3.8150269915935689E-2</v>
      </c>
      <c r="P1156" s="2">
        <v>3.7785212334253568</v>
      </c>
      <c r="R1156" t="str">
        <f t="shared" si="54"/>
        <v>yes</v>
      </c>
      <c r="S1156" t="str">
        <f t="shared" si="55"/>
        <v>no</v>
      </c>
      <c r="T11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6" s="2" t="b">
        <f t="shared" si="56"/>
        <v>1</v>
      </c>
      <c r="V1156" s="2">
        <f>IF(Table4[[#This Row],[linear?]],Table4[[#This Row],[av]],10^(Table4[[#This Row],[av]]/10))</f>
        <v>3.6037901234567897E-2</v>
      </c>
      <c r="W1156" s="2">
        <f>IF(Table4[[#This Row],[linear?]],Table4[[#This Row],[av]],10^(Table4[[#This Row],[av]]/10))</f>
        <v>3.6037901234567897E-2</v>
      </c>
      <c r="X1156" s="2">
        <f>Table4[[#This Row],[av_lin]]-2*Table4[[#This Row],[std_lin]]</f>
        <v>-3.6037901234567897E-2</v>
      </c>
      <c r="Y1156" s="2">
        <f>Table4[[#This Row],[av_lin]]+2*Table4[[#This Row],[std_lin]]</f>
        <v>0.10811370370370368</v>
      </c>
    </row>
    <row r="1157" spans="1:25" x14ac:dyDescent="0.35">
      <c r="A1157" s="1">
        <v>1815</v>
      </c>
      <c r="B1157" t="s">
        <v>829</v>
      </c>
      <c r="C1157" t="s">
        <v>549</v>
      </c>
      <c r="D1157" t="s">
        <v>707</v>
      </c>
      <c r="E1157" s="2">
        <v>7.6070000000000013E-2</v>
      </c>
      <c r="F1157" s="2">
        <v>7.7456883560344143E-3</v>
      </c>
      <c r="G1157">
        <v>27</v>
      </c>
      <c r="H1157" t="s">
        <v>58</v>
      </c>
      <c r="M1157" s="2">
        <v>9.1561376712068848E-2</v>
      </c>
      <c r="N1157" s="2">
        <v>6.0578623287931177E-2</v>
      </c>
      <c r="O1157" s="2">
        <v>3.0982753424137661E-2</v>
      </c>
      <c r="P1157" s="2">
        <v>9.8209476683549166</v>
      </c>
      <c r="R1157" t="str">
        <f t="shared" si="54"/>
        <v>yes</v>
      </c>
      <c r="S1157" t="str">
        <f t="shared" si="55"/>
        <v>no</v>
      </c>
      <c r="T11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7" s="2" t="b">
        <f t="shared" si="56"/>
        <v>1</v>
      </c>
      <c r="V1157" s="2">
        <f>IF(Table4[[#This Row],[linear?]],Table4[[#This Row],[av]],10^(Table4[[#This Row],[av]]/10))</f>
        <v>7.6070000000000013E-2</v>
      </c>
      <c r="W1157" s="2">
        <f>IF(Table4[[#This Row],[linear?]],Table4[[#This Row],[av]],10^(Table4[[#This Row],[av]]/10))</f>
        <v>7.6070000000000013E-2</v>
      </c>
      <c r="X1157" s="2">
        <f>Table4[[#This Row],[av_lin]]-2*Table4[[#This Row],[std_lin]]</f>
        <v>-7.6070000000000013E-2</v>
      </c>
      <c r="Y1157" s="2">
        <f>Table4[[#This Row],[av_lin]]+2*Table4[[#This Row],[std_lin]]</f>
        <v>0.22821000000000002</v>
      </c>
    </row>
    <row r="1158" spans="1:25" x14ac:dyDescent="0.35">
      <c r="A1158" s="1">
        <v>1817</v>
      </c>
      <c r="B1158" t="s">
        <v>829</v>
      </c>
      <c r="C1158" t="s">
        <v>549</v>
      </c>
      <c r="D1158" t="s">
        <v>709</v>
      </c>
      <c r="E1158" s="2">
        <v>3.7445061728395047E-2</v>
      </c>
      <c r="F1158" s="2">
        <v>4.4857279893036062E-3</v>
      </c>
      <c r="G1158">
        <v>27</v>
      </c>
      <c r="H1158" t="s">
        <v>58</v>
      </c>
      <c r="M1158" s="2">
        <v>4.641651770700226E-2</v>
      </c>
      <c r="N1158" s="2">
        <v>2.8473605749787839E-2</v>
      </c>
      <c r="O1158" s="2">
        <v>1.7942911957214421E-2</v>
      </c>
      <c r="P1158" s="2">
        <v>8.3475997246565683</v>
      </c>
      <c r="R1158" t="str">
        <f t="shared" si="54"/>
        <v>yes</v>
      </c>
      <c r="S1158" t="str">
        <f t="shared" si="55"/>
        <v>no</v>
      </c>
      <c r="T11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8" s="2" t="b">
        <f t="shared" si="56"/>
        <v>1</v>
      </c>
      <c r="V1158" s="2">
        <f>IF(Table4[[#This Row],[linear?]],Table4[[#This Row],[av]],10^(Table4[[#This Row],[av]]/10))</f>
        <v>3.7445061728395047E-2</v>
      </c>
      <c r="W1158" s="2">
        <f>IF(Table4[[#This Row],[linear?]],Table4[[#This Row],[av]],10^(Table4[[#This Row],[av]]/10))</f>
        <v>3.7445061728395047E-2</v>
      </c>
      <c r="X1158" s="2">
        <f>Table4[[#This Row],[av_lin]]-2*Table4[[#This Row],[std_lin]]</f>
        <v>-3.7445061728395047E-2</v>
      </c>
      <c r="Y1158" s="2">
        <f>Table4[[#This Row],[av_lin]]+2*Table4[[#This Row],[std_lin]]</f>
        <v>0.11233518518518515</v>
      </c>
    </row>
    <row r="1159" spans="1:25" x14ac:dyDescent="0.35">
      <c r="A1159" s="1">
        <v>1818</v>
      </c>
      <c r="B1159" t="s">
        <v>829</v>
      </c>
      <c r="C1159" t="s">
        <v>549</v>
      </c>
      <c r="D1159" t="s">
        <v>710</v>
      </c>
      <c r="E1159" s="2">
        <v>5.0425061728395053E-2</v>
      </c>
      <c r="F1159" s="2">
        <v>1.485439844822496E-2</v>
      </c>
      <c r="G1159">
        <v>27</v>
      </c>
      <c r="H1159" t="s">
        <v>58</v>
      </c>
      <c r="M1159" s="2">
        <v>8.013385862484497E-2</v>
      </c>
      <c r="N1159" s="2">
        <v>2.0716264831945129E-2</v>
      </c>
      <c r="O1159" s="2">
        <v>5.9417593792899827E-2</v>
      </c>
      <c r="P1159" s="2">
        <v>3.394621593338278</v>
      </c>
      <c r="R1159" t="str">
        <f t="shared" si="54"/>
        <v>yes</v>
      </c>
      <c r="S1159" t="str">
        <f t="shared" si="55"/>
        <v>no</v>
      </c>
      <c r="T11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9" s="2" t="b">
        <f t="shared" si="56"/>
        <v>1</v>
      </c>
      <c r="V1159" s="2">
        <f>IF(Table4[[#This Row],[linear?]],Table4[[#This Row],[av]],10^(Table4[[#This Row],[av]]/10))</f>
        <v>5.0425061728395053E-2</v>
      </c>
      <c r="W1159" s="2">
        <f>IF(Table4[[#This Row],[linear?]],Table4[[#This Row],[av]],10^(Table4[[#This Row],[av]]/10))</f>
        <v>5.0425061728395053E-2</v>
      </c>
      <c r="X1159" s="2">
        <f>Table4[[#This Row],[av_lin]]-2*Table4[[#This Row],[std_lin]]</f>
        <v>-5.0425061728395053E-2</v>
      </c>
      <c r="Y1159" s="2">
        <f>Table4[[#This Row],[av_lin]]+2*Table4[[#This Row],[std_lin]]</f>
        <v>0.15127518518518515</v>
      </c>
    </row>
    <row r="1160" spans="1:25" x14ac:dyDescent="0.35">
      <c r="A1160" s="1">
        <v>1819</v>
      </c>
      <c r="B1160" t="s">
        <v>829</v>
      </c>
      <c r="C1160" t="s">
        <v>549</v>
      </c>
      <c r="D1160" t="s">
        <v>711</v>
      </c>
      <c r="E1160" s="2">
        <v>4.5436419753086418E-2</v>
      </c>
      <c r="F1160" s="2">
        <v>1.061123877564092E-2</v>
      </c>
      <c r="G1160">
        <v>27</v>
      </c>
      <c r="H1160" t="s">
        <v>58</v>
      </c>
      <c r="M1160" s="2">
        <v>6.6658897304368261E-2</v>
      </c>
      <c r="N1160" s="2">
        <v>2.4213942201804579E-2</v>
      </c>
      <c r="O1160" s="2">
        <v>4.2444955102563693E-2</v>
      </c>
      <c r="P1160" s="2">
        <v>4.2819147428281346</v>
      </c>
      <c r="R1160" t="str">
        <f t="shared" si="54"/>
        <v>yes</v>
      </c>
      <c r="S1160" t="str">
        <f t="shared" si="55"/>
        <v>no</v>
      </c>
      <c r="T11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0" s="2" t="b">
        <f t="shared" si="56"/>
        <v>1</v>
      </c>
      <c r="V1160" s="2">
        <f>IF(Table4[[#This Row],[linear?]],Table4[[#This Row],[av]],10^(Table4[[#This Row],[av]]/10))</f>
        <v>4.5436419753086418E-2</v>
      </c>
      <c r="W1160" s="2">
        <f>IF(Table4[[#This Row],[linear?]],Table4[[#This Row],[av]],10^(Table4[[#This Row],[av]]/10))</f>
        <v>4.5436419753086418E-2</v>
      </c>
      <c r="X1160" s="2">
        <f>Table4[[#This Row],[av_lin]]-2*Table4[[#This Row],[std_lin]]</f>
        <v>-4.5436419753086418E-2</v>
      </c>
      <c r="Y1160" s="2">
        <f>Table4[[#This Row],[av_lin]]+2*Table4[[#This Row],[std_lin]]</f>
        <v>0.13630925925925924</v>
      </c>
    </row>
    <row r="1161" spans="1:25" x14ac:dyDescent="0.35">
      <c r="A1161" s="1">
        <v>1821</v>
      </c>
      <c r="B1161" t="s">
        <v>829</v>
      </c>
      <c r="C1161" t="s">
        <v>549</v>
      </c>
      <c r="D1161" t="s">
        <v>713</v>
      </c>
      <c r="E1161" s="2">
        <v>3.6258518518518523E-2</v>
      </c>
      <c r="F1161" s="2">
        <v>4.7041342286279477E-3</v>
      </c>
      <c r="G1161">
        <v>27</v>
      </c>
      <c r="H1161" t="s">
        <v>58</v>
      </c>
      <c r="M1161" s="2">
        <v>4.566678697577442E-2</v>
      </c>
      <c r="N1161" s="2">
        <v>2.685025006126263E-2</v>
      </c>
      <c r="O1161" s="2">
        <v>1.8816536914511791E-2</v>
      </c>
      <c r="P1161" s="2">
        <v>7.7077984505331658</v>
      </c>
      <c r="R1161" t="str">
        <f t="shared" si="54"/>
        <v>yes</v>
      </c>
      <c r="S1161" t="str">
        <f t="shared" si="55"/>
        <v>no</v>
      </c>
      <c r="T11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1" s="2" t="b">
        <f t="shared" si="56"/>
        <v>1</v>
      </c>
      <c r="V1161" s="2">
        <f>IF(Table4[[#This Row],[linear?]],Table4[[#This Row],[av]],10^(Table4[[#This Row],[av]]/10))</f>
        <v>3.6258518518518523E-2</v>
      </c>
      <c r="W1161" s="2">
        <f>IF(Table4[[#This Row],[linear?]],Table4[[#This Row],[av]],10^(Table4[[#This Row],[av]]/10))</f>
        <v>3.6258518518518523E-2</v>
      </c>
      <c r="X1161" s="2">
        <f>Table4[[#This Row],[av_lin]]-2*Table4[[#This Row],[std_lin]]</f>
        <v>-3.6258518518518523E-2</v>
      </c>
      <c r="Y1161" s="2">
        <f>Table4[[#This Row],[av_lin]]+2*Table4[[#This Row],[std_lin]]</f>
        <v>0.10877555555555557</v>
      </c>
    </row>
    <row r="1162" spans="1:25" x14ac:dyDescent="0.35">
      <c r="A1162" s="1">
        <v>1822</v>
      </c>
      <c r="B1162" t="s">
        <v>829</v>
      </c>
      <c r="C1162" t="s">
        <v>549</v>
      </c>
      <c r="D1162" t="s">
        <v>714</v>
      </c>
      <c r="E1162" s="2">
        <v>4.0405925925925928E-2</v>
      </c>
      <c r="F1162" s="2">
        <v>6.7507426539421076E-3</v>
      </c>
      <c r="G1162">
        <v>27</v>
      </c>
      <c r="H1162" t="s">
        <v>58</v>
      </c>
      <c r="M1162" s="2">
        <v>5.390741123381014E-2</v>
      </c>
      <c r="N1162" s="2">
        <v>2.690444061804171E-2</v>
      </c>
      <c r="O1162" s="2">
        <v>2.700297061576843E-2</v>
      </c>
      <c r="P1162" s="2">
        <v>5.985404569130008</v>
      </c>
      <c r="R1162" t="str">
        <f t="shared" si="54"/>
        <v>yes</v>
      </c>
      <c r="S1162" t="str">
        <f t="shared" si="55"/>
        <v>no</v>
      </c>
      <c r="T11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2" s="2" t="b">
        <f t="shared" si="56"/>
        <v>1</v>
      </c>
      <c r="V1162" s="2">
        <f>IF(Table4[[#This Row],[linear?]],Table4[[#This Row],[av]],10^(Table4[[#This Row],[av]]/10))</f>
        <v>4.0405925925925928E-2</v>
      </c>
      <c r="W1162" s="2">
        <f>IF(Table4[[#This Row],[linear?]],Table4[[#This Row],[av]],10^(Table4[[#This Row],[av]]/10))</f>
        <v>4.0405925925925928E-2</v>
      </c>
      <c r="X1162" s="2">
        <f>Table4[[#This Row],[av_lin]]-2*Table4[[#This Row],[std_lin]]</f>
        <v>-4.0405925925925928E-2</v>
      </c>
      <c r="Y1162" s="2">
        <f>Table4[[#This Row],[av_lin]]+2*Table4[[#This Row],[std_lin]]</f>
        <v>0.12121777777777779</v>
      </c>
    </row>
    <row r="1163" spans="1:25" x14ac:dyDescent="0.35">
      <c r="A1163" s="1">
        <v>1823</v>
      </c>
      <c r="B1163" t="s">
        <v>829</v>
      </c>
      <c r="C1163" t="s">
        <v>549</v>
      </c>
      <c r="D1163" t="s">
        <v>715</v>
      </c>
      <c r="E1163" s="2">
        <v>3.8045308641975313E-2</v>
      </c>
      <c r="F1163" s="2">
        <v>6.6483513311045841E-3</v>
      </c>
      <c r="G1163">
        <v>27</v>
      </c>
      <c r="H1163" t="s">
        <v>58</v>
      </c>
      <c r="M1163" s="2">
        <v>5.1342011304184483E-2</v>
      </c>
      <c r="N1163" s="2">
        <v>2.474860597976614E-2</v>
      </c>
      <c r="O1163" s="2">
        <v>2.659340532441834E-2</v>
      </c>
      <c r="P1163" s="2">
        <v>5.7225177712824502</v>
      </c>
      <c r="R1163" t="str">
        <f t="shared" si="54"/>
        <v>yes</v>
      </c>
      <c r="S1163" t="str">
        <f t="shared" si="55"/>
        <v>no</v>
      </c>
      <c r="T11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3" s="2" t="b">
        <f t="shared" si="56"/>
        <v>1</v>
      </c>
      <c r="V1163" s="2">
        <f>IF(Table4[[#This Row],[linear?]],Table4[[#This Row],[av]],10^(Table4[[#This Row],[av]]/10))</f>
        <v>3.8045308641975313E-2</v>
      </c>
      <c r="W1163" s="2">
        <f>IF(Table4[[#This Row],[linear?]],Table4[[#This Row],[av]],10^(Table4[[#This Row],[av]]/10))</f>
        <v>3.8045308641975313E-2</v>
      </c>
      <c r="X1163" s="2">
        <f>Table4[[#This Row],[av_lin]]-2*Table4[[#This Row],[std_lin]]</f>
        <v>-3.8045308641975313E-2</v>
      </c>
      <c r="Y1163" s="2">
        <f>Table4[[#This Row],[av_lin]]+2*Table4[[#This Row],[std_lin]]</f>
        <v>0.11413592592592595</v>
      </c>
    </row>
    <row r="1164" spans="1:25" x14ac:dyDescent="0.35">
      <c r="A1164" s="1">
        <v>1824</v>
      </c>
      <c r="B1164" t="s">
        <v>829</v>
      </c>
      <c r="C1164" t="s">
        <v>549</v>
      </c>
      <c r="D1164" t="s">
        <v>716</v>
      </c>
      <c r="E1164" s="2">
        <v>7.6438518518518517E-2</v>
      </c>
      <c r="F1164" s="2">
        <v>7.1647435603355578E-3</v>
      </c>
      <c r="G1164">
        <v>27</v>
      </c>
      <c r="H1164" t="s">
        <v>58</v>
      </c>
      <c r="M1164" s="2">
        <v>9.0768005639189631E-2</v>
      </c>
      <c r="N1164" s="2">
        <v>6.2109031397847403E-2</v>
      </c>
      <c r="O1164" s="2">
        <v>2.8658974241342231E-2</v>
      </c>
      <c r="P1164" s="2">
        <v>10.66870263741003</v>
      </c>
      <c r="R1164" t="str">
        <f t="shared" si="54"/>
        <v>yes</v>
      </c>
      <c r="S1164" t="str">
        <f t="shared" si="55"/>
        <v>no</v>
      </c>
      <c r="T11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4" s="2" t="b">
        <f t="shared" si="56"/>
        <v>1</v>
      </c>
      <c r="V1164" s="2">
        <f>IF(Table4[[#This Row],[linear?]],Table4[[#This Row],[av]],10^(Table4[[#This Row],[av]]/10))</f>
        <v>7.6438518518518517E-2</v>
      </c>
      <c r="W1164" s="2">
        <f>IF(Table4[[#This Row],[linear?]],Table4[[#This Row],[av]],10^(Table4[[#This Row],[av]]/10))</f>
        <v>7.6438518518518517E-2</v>
      </c>
      <c r="X1164" s="2">
        <f>Table4[[#This Row],[av_lin]]-2*Table4[[#This Row],[std_lin]]</f>
        <v>-7.6438518518518517E-2</v>
      </c>
      <c r="Y1164" s="2">
        <f>Table4[[#This Row],[av_lin]]+2*Table4[[#This Row],[std_lin]]</f>
        <v>0.22931555555555555</v>
      </c>
    </row>
    <row r="1165" spans="1:25" x14ac:dyDescent="0.35">
      <c r="A1165" s="1">
        <v>1826</v>
      </c>
      <c r="B1165" t="s">
        <v>829</v>
      </c>
      <c r="C1165" t="s">
        <v>549</v>
      </c>
      <c r="D1165" t="s">
        <v>718</v>
      </c>
      <c r="E1165" s="2">
        <v>3.9777407407407407E-2</v>
      </c>
      <c r="F1165" s="2">
        <v>6.7755453653424559E-3</v>
      </c>
      <c r="G1165">
        <v>27</v>
      </c>
      <c r="H1165" t="s">
        <v>58</v>
      </c>
      <c r="M1165" s="2">
        <v>5.3328498138092317E-2</v>
      </c>
      <c r="N1165" s="2">
        <v>2.62263166767225E-2</v>
      </c>
      <c r="O1165" s="2">
        <v>2.710218146136982E-2</v>
      </c>
      <c r="P1165" s="2">
        <v>5.8707314706905427</v>
      </c>
      <c r="R1165" t="str">
        <f t="shared" si="54"/>
        <v>yes</v>
      </c>
      <c r="S1165" t="str">
        <f t="shared" si="55"/>
        <v>no</v>
      </c>
      <c r="T11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5" s="2" t="b">
        <f t="shared" si="56"/>
        <v>1</v>
      </c>
      <c r="V1165" s="2">
        <f>IF(Table4[[#This Row],[linear?]],Table4[[#This Row],[av]],10^(Table4[[#This Row],[av]]/10))</f>
        <v>3.9777407407407407E-2</v>
      </c>
      <c r="W1165" s="2">
        <f>IF(Table4[[#This Row],[linear?]],Table4[[#This Row],[av]],10^(Table4[[#This Row],[av]]/10))</f>
        <v>3.9777407407407407E-2</v>
      </c>
      <c r="X1165" s="2">
        <f>Table4[[#This Row],[av_lin]]-2*Table4[[#This Row],[std_lin]]</f>
        <v>-3.9777407407407407E-2</v>
      </c>
      <c r="Y1165" s="2">
        <f>Table4[[#This Row],[av_lin]]+2*Table4[[#This Row],[std_lin]]</f>
        <v>0.11933222222222223</v>
      </c>
    </row>
    <row r="1166" spans="1:25" x14ac:dyDescent="0.35">
      <c r="A1166" s="1">
        <v>1827</v>
      </c>
      <c r="B1166" t="s">
        <v>829</v>
      </c>
      <c r="C1166" t="s">
        <v>549</v>
      </c>
      <c r="D1166" t="s">
        <v>719</v>
      </c>
      <c r="E1166" s="2">
        <v>4.541382716049383E-2</v>
      </c>
      <c r="F1166" s="2">
        <v>8.2224254231210957E-3</v>
      </c>
      <c r="G1166">
        <v>27</v>
      </c>
      <c r="H1166" t="s">
        <v>58</v>
      </c>
      <c r="M1166" s="2">
        <v>6.1858678006736022E-2</v>
      </c>
      <c r="N1166" s="2">
        <v>2.8968976314251639E-2</v>
      </c>
      <c r="O1166" s="2">
        <v>3.2889701692484383E-2</v>
      </c>
      <c r="P1166" s="2">
        <v>5.5231668058420036</v>
      </c>
      <c r="R1166" t="str">
        <f t="shared" si="54"/>
        <v>yes</v>
      </c>
      <c r="S1166" t="str">
        <f t="shared" si="55"/>
        <v>no</v>
      </c>
      <c r="T11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6" s="2" t="b">
        <f t="shared" si="56"/>
        <v>1</v>
      </c>
      <c r="V1166" s="2">
        <f>IF(Table4[[#This Row],[linear?]],Table4[[#This Row],[av]],10^(Table4[[#This Row],[av]]/10))</f>
        <v>4.541382716049383E-2</v>
      </c>
      <c r="W1166" s="2">
        <f>IF(Table4[[#This Row],[linear?]],Table4[[#This Row],[av]],10^(Table4[[#This Row],[av]]/10))</f>
        <v>4.541382716049383E-2</v>
      </c>
      <c r="X1166" s="2">
        <f>Table4[[#This Row],[av_lin]]-2*Table4[[#This Row],[std_lin]]</f>
        <v>-4.541382716049383E-2</v>
      </c>
      <c r="Y1166" s="2">
        <f>Table4[[#This Row],[av_lin]]+2*Table4[[#This Row],[std_lin]]</f>
        <v>0.13624148148148149</v>
      </c>
    </row>
    <row r="1167" spans="1:25" x14ac:dyDescent="0.35">
      <c r="A1167" s="1">
        <v>1828</v>
      </c>
      <c r="B1167" t="s">
        <v>829</v>
      </c>
      <c r="C1167" t="s">
        <v>549</v>
      </c>
      <c r="D1167" t="s">
        <v>720</v>
      </c>
      <c r="E1167" s="2">
        <v>4.1947283950617288E-2</v>
      </c>
      <c r="F1167" s="2">
        <v>8.5440265632841794E-3</v>
      </c>
      <c r="G1167">
        <v>27</v>
      </c>
      <c r="H1167" t="s">
        <v>58</v>
      </c>
      <c r="M1167" s="2">
        <v>5.9035337077185647E-2</v>
      </c>
      <c r="N1167" s="2">
        <v>2.4859230824048929E-2</v>
      </c>
      <c r="O1167" s="2">
        <v>3.4176106253136718E-2</v>
      </c>
      <c r="P1167" s="2">
        <v>4.9095451237096182</v>
      </c>
      <c r="R1167" t="str">
        <f t="shared" si="54"/>
        <v>yes</v>
      </c>
      <c r="S1167" t="str">
        <f t="shared" si="55"/>
        <v>no</v>
      </c>
      <c r="T11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7" s="2" t="b">
        <f t="shared" si="56"/>
        <v>1</v>
      </c>
      <c r="V1167" s="2">
        <f>IF(Table4[[#This Row],[linear?]],Table4[[#This Row],[av]],10^(Table4[[#This Row],[av]]/10))</f>
        <v>4.1947283950617288E-2</v>
      </c>
      <c r="W1167" s="2">
        <f>IF(Table4[[#This Row],[linear?]],Table4[[#This Row],[av]],10^(Table4[[#This Row],[av]]/10))</f>
        <v>4.1947283950617288E-2</v>
      </c>
      <c r="X1167" s="2">
        <f>Table4[[#This Row],[av_lin]]-2*Table4[[#This Row],[std_lin]]</f>
        <v>-4.1947283950617288E-2</v>
      </c>
      <c r="Y1167" s="2">
        <f>Table4[[#This Row],[av_lin]]+2*Table4[[#This Row],[std_lin]]</f>
        <v>0.12584185185185187</v>
      </c>
    </row>
    <row r="1168" spans="1:25" x14ac:dyDescent="0.35">
      <c r="A1168" s="1">
        <v>1830</v>
      </c>
      <c r="B1168" t="s">
        <v>829</v>
      </c>
      <c r="C1168" t="s">
        <v>549</v>
      </c>
      <c r="D1168" t="s">
        <v>722</v>
      </c>
      <c r="E1168" s="2">
        <v>3.4503456790123448E-2</v>
      </c>
      <c r="F1168" s="2">
        <v>8.1759519094031542E-3</v>
      </c>
      <c r="G1168">
        <v>27</v>
      </c>
      <c r="H1168" t="s">
        <v>58</v>
      </c>
      <c r="M1168" s="2">
        <v>5.0855360608929763E-2</v>
      </c>
      <c r="N1168" s="2">
        <v>1.8151552971317139E-2</v>
      </c>
      <c r="O1168" s="2">
        <v>3.2703807637612617E-2</v>
      </c>
      <c r="P1168" s="2">
        <v>4.2201149385970647</v>
      </c>
      <c r="R1168" t="str">
        <f t="shared" si="54"/>
        <v>yes</v>
      </c>
      <c r="S1168" t="str">
        <f t="shared" si="55"/>
        <v>no</v>
      </c>
      <c r="T11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8" s="2" t="b">
        <f t="shared" si="56"/>
        <v>1</v>
      </c>
      <c r="V1168" s="2">
        <f>IF(Table4[[#This Row],[linear?]],Table4[[#This Row],[av]],10^(Table4[[#This Row],[av]]/10))</f>
        <v>3.4503456790123448E-2</v>
      </c>
      <c r="W1168" s="2">
        <f>IF(Table4[[#This Row],[linear?]],Table4[[#This Row],[av]],10^(Table4[[#This Row],[av]]/10))</f>
        <v>3.4503456790123448E-2</v>
      </c>
      <c r="X1168" s="2">
        <f>Table4[[#This Row],[av_lin]]-2*Table4[[#This Row],[std_lin]]</f>
        <v>-3.4503456790123448E-2</v>
      </c>
      <c r="Y1168" s="2">
        <f>Table4[[#This Row],[av_lin]]+2*Table4[[#This Row],[std_lin]]</f>
        <v>0.10351037037037034</v>
      </c>
    </row>
    <row r="1169" spans="1:25" x14ac:dyDescent="0.35">
      <c r="A1169" s="1">
        <v>1831</v>
      </c>
      <c r="B1169" t="s">
        <v>829</v>
      </c>
      <c r="C1169" t="s">
        <v>549</v>
      </c>
      <c r="D1169" t="s">
        <v>723</v>
      </c>
      <c r="E1169" s="2">
        <v>3.588518518518518E-2</v>
      </c>
      <c r="F1169" s="2">
        <v>1.259914273255156E-2</v>
      </c>
      <c r="G1169">
        <v>27</v>
      </c>
      <c r="H1169" t="s">
        <v>58</v>
      </c>
      <c r="M1169" s="2">
        <v>6.1083470650288303E-2</v>
      </c>
      <c r="N1169" s="2">
        <v>1.068689972008206E-2</v>
      </c>
      <c r="O1169" s="2">
        <v>5.0396570930206233E-2</v>
      </c>
      <c r="P1169" s="2">
        <v>2.848224355175454</v>
      </c>
      <c r="R1169" t="str">
        <f t="shared" si="54"/>
        <v>yes</v>
      </c>
      <c r="S1169" t="str">
        <f t="shared" si="55"/>
        <v>no</v>
      </c>
      <c r="T11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9" s="2" t="b">
        <f t="shared" si="56"/>
        <v>1</v>
      </c>
      <c r="V1169" s="2">
        <f>IF(Table4[[#This Row],[linear?]],Table4[[#This Row],[av]],10^(Table4[[#This Row],[av]]/10))</f>
        <v>3.588518518518518E-2</v>
      </c>
      <c r="W1169" s="2">
        <f>IF(Table4[[#This Row],[linear?]],Table4[[#This Row],[av]],10^(Table4[[#This Row],[av]]/10))</f>
        <v>3.588518518518518E-2</v>
      </c>
      <c r="X1169" s="2">
        <f>Table4[[#This Row],[av_lin]]-2*Table4[[#This Row],[std_lin]]</f>
        <v>-3.588518518518518E-2</v>
      </c>
      <c r="Y1169" s="2">
        <f>Table4[[#This Row],[av_lin]]+2*Table4[[#This Row],[std_lin]]</f>
        <v>0.10765555555555553</v>
      </c>
    </row>
    <row r="1170" spans="1:25" x14ac:dyDescent="0.35">
      <c r="A1170" s="1">
        <v>1832</v>
      </c>
      <c r="B1170" t="s">
        <v>829</v>
      </c>
      <c r="C1170" t="s">
        <v>549</v>
      </c>
      <c r="D1170" t="s">
        <v>724</v>
      </c>
      <c r="E1170" s="2">
        <v>3.3275061728395061E-2</v>
      </c>
      <c r="F1170" s="2">
        <v>6.6219385454230929E-3</v>
      </c>
      <c r="G1170">
        <v>27</v>
      </c>
      <c r="H1170" t="s">
        <v>58</v>
      </c>
      <c r="M1170" s="2">
        <v>4.6518938819241247E-2</v>
      </c>
      <c r="N1170" s="2">
        <v>2.0031184637548879E-2</v>
      </c>
      <c r="O1170" s="2">
        <v>2.6487754181692372E-2</v>
      </c>
      <c r="P1170" s="2">
        <v>5.0249728988188664</v>
      </c>
      <c r="R1170" t="str">
        <f t="shared" si="54"/>
        <v>yes</v>
      </c>
      <c r="S1170" t="str">
        <f t="shared" si="55"/>
        <v>no</v>
      </c>
      <c r="T11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0" s="2" t="b">
        <f t="shared" si="56"/>
        <v>1</v>
      </c>
      <c r="V1170" s="2">
        <f>IF(Table4[[#This Row],[linear?]],Table4[[#This Row],[av]],10^(Table4[[#This Row],[av]]/10))</f>
        <v>3.3275061728395061E-2</v>
      </c>
      <c r="W1170" s="2">
        <f>IF(Table4[[#This Row],[linear?]],Table4[[#This Row],[av]],10^(Table4[[#This Row],[av]]/10))</f>
        <v>3.3275061728395061E-2</v>
      </c>
      <c r="X1170" s="2">
        <f>Table4[[#This Row],[av_lin]]-2*Table4[[#This Row],[std_lin]]</f>
        <v>-3.3275061728395061E-2</v>
      </c>
      <c r="Y1170" s="2">
        <f>Table4[[#This Row],[av_lin]]+2*Table4[[#This Row],[std_lin]]</f>
        <v>9.9825185185185183E-2</v>
      </c>
    </row>
    <row r="1171" spans="1:25" x14ac:dyDescent="0.35">
      <c r="A1171" s="1">
        <v>1833</v>
      </c>
      <c r="B1171" t="s">
        <v>829</v>
      </c>
      <c r="C1171" t="s">
        <v>549</v>
      </c>
      <c r="D1171" t="s">
        <v>725</v>
      </c>
      <c r="E1171" s="2">
        <v>7.6013456790123446E-2</v>
      </c>
      <c r="F1171" s="2">
        <v>8.3465200667384408E-3</v>
      </c>
      <c r="G1171">
        <v>27</v>
      </c>
      <c r="H1171" t="s">
        <v>58</v>
      </c>
      <c r="M1171" s="2">
        <v>9.2706496923600334E-2</v>
      </c>
      <c r="N1171" s="2">
        <v>5.9320416656646557E-2</v>
      </c>
      <c r="O1171" s="2">
        <v>3.338608026695377E-2</v>
      </c>
      <c r="P1171" s="2">
        <v>9.1072035030555103</v>
      </c>
      <c r="R1171" t="str">
        <f t="shared" si="54"/>
        <v>yes</v>
      </c>
      <c r="S1171" t="str">
        <f t="shared" si="55"/>
        <v>no</v>
      </c>
      <c r="T11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1" s="2" t="b">
        <f t="shared" si="56"/>
        <v>1</v>
      </c>
      <c r="V1171" s="2">
        <f>IF(Table4[[#This Row],[linear?]],Table4[[#This Row],[av]],10^(Table4[[#This Row],[av]]/10))</f>
        <v>7.6013456790123446E-2</v>
      </c>
      <c r="W1171" s="2">
        <f>IF(Table4[[#This Row],[linear?]],Table4[[#This Row],[av]],10^(Table4[[#This Row],[av]]/10))</f>
        <v>7.6013456790123446E-2</v>
      </c>
      <c r="X1171" s="2">
        <f>Table4[[#This Row],[av_lin]]-2*Table4[[#This Row],[std_lin]]</f>
        <v>-7.6013456790123446E-2</v>
      </c>
      <c r="Y1171" s="2">
        <f>Table4[[#This Row],[av_lin]]+2*Table4[[#This Row],[std_lin]]</f>
        <v>0.22804037037037034</v>
      </c>
    </row>
    <row r="1172" spans="1:25" x14ac:dyDescent="0.35">
      <c r="A1172" s="1">
        <v>1835</v>
      </c>
      <c r="B1172" t="s">
        <v>829</v>
      </c>
      <c r="C1172" t="s">
        <v>549</v>
      </c>
      <c r="D1172" t="s">
        <v>727</v>
      </c>
      <c r="E1172" s="2">
        <v>4.3585679012345682E-2</v>
      </c>
      <c r="F1172" s="2">
        <v>9.0869608898960005E-3</v>
      </c>
      <c r="G1172">
        <v>27</v>
      </c>
      <c r="H1172" t="s">
        <v>58</v>
      </c>
      <c r="M1172" s="2">
        <v>6.1759600792137687E-2</v>
      </c>
      <c r="N1172" s="2">
        <v>2.5411757232553681E-2</v>
      </c>
      <c r="O1172" s="2">
        <v>3.6347843559584009E-2</v>
      </c>
      <c r="P1172" s="2">
        <v>4.7965078248338884</v>
      </c>
      <c r="R1172" t="str">
        <f t="shared" si="54"/>
        <v>yes</v>
      </c>
      <c r="S1172" t="str">
        <f t="shared" si="55"/>
        <v>no</v>
      </c>
      <c r="T11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2" s="2" t="b">
        <f t="shared" si="56"/>
        <v>1</v>
      </c>
      <c r="V1172" s="2">
        <f>IF(Table4[[#This Row],[linear?]],Table4[[#This Row],[av]],10^(Table4[[#This Row],[av]]/10))</f>
        <v>4.3585679012345682E-2</v>
      </c>
      <c r="W1172" s="2">
        <f>IF(Table4[[#This Row],[linear?]],Table4[[#This Row],[av]],10^(Table4[[#This Row],[av]]/10))</f>
        <v>4.3585679012345682E-2</v>
      </c>
      <c r="X1172" s="2">
        <f>Table4[[#This Row],[av_lin]]-2*Table4[[#This Row],[std_lin]]</f>
        <v>-4.3585679012345682E-2</v>
      </c>
      <c r="Y1172" s="2">
        <f>Table4[[#This Row],[av_lin]]+2*Table4[[#This Row],[std_lin]]</f>
        <v>0.13075703703703706</v>
      </c>
    </row>
    <row r="1173" spans="1:25" x14ac:dyDescent="0.35">
      <c r="A1173" s="1">
        <v>1836</v>
      </c>
      <c r="B1173" t="s">
        <v>829</v>
      </c>
      <c r="C1173" t="s">
        <v>549</v>
      </c>
      <c r="D1173" t="s">
        <v>728</v>
      </c>
      <c r="E1173" s="2">
        <v>4.4747777777777782E-2</v>
      </c>
      <c r="F1173" s="2">
        <v>1.033605841424629E-2</v>
      </c>
      <c r="G1173">
        <v>27</v>
      </c>
      <c r="H1173" t="s">
        <v>58</v>
      </c>
      <c r="M1173" s="2">
        <v>6.541989460627036E-2</v>
      </c>
      <c r="N1173" s="2">
        <v>2.4075660949285201E-2</v>
      </c>
      <c r="O1173" s="2">
        <v>4.1344233656985148E-2</v>
      </c>
      <c r="P1173" s="2">
        <v>4.3292883983803234</v>
      </c>
      <c r="R1173" t="str">
        <f t="shared" si="54"/>
        <v>yes</v>
      </c>
      <c r="S1173" t="str">
        <f t="shared" si="55"/>
        <v>no</v>
      </c>
      <c r="T11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3" s="2" t="b">
        <f t="shared" si="56"/>
        <v>1</v>
      </c>
      <c r="V1173" s="2">
        <f>IF(Table4[[#This Row],[linear?]],Table4[[#This Row],[av]],10^(Table4[[#This Row],[av]]/10))</f>
        <v>4.4747777777777782E-2</v>
      </c>
      <c r="W1173" s="2">
        <f>IF(Table4[[#This Row],[linear?]],Table4[[#This Row],[av]],10^(Table4[[#This Row],[av]]/10))</f>
        <v>4.4747777777777782E-2</v>
      </c>
      <c r="X1173" s="2">
        <f>Table4[[#This Row],[av_lin]]-2*Table4[[#This Row],[std_lin]]</f>
        <v>-4.4747777777777782E-2</v>
      </c>
      <c r="Y1173" s="2">
        <f>Table4[[#This Row],[av_lin]]+2*Table4[[#This Row],[std_lin]]</f>
        <v>0.13424333333333335</v>
      </c>
    </row>
    <row r="1174" spans="1:25" x14ac:dyDescent="0.35">
      <c r="A1174" s="1">
        <v>1837</v>
      </c>
      <c r="B1174" t="s">
        <v>829</v>
      </c>
      <c r="C1174" t="s">
        <v>549</v>
      </c>
      <c r="D1174" t="s">
        <v>729</v>
      </c>
      <c r="E1174" s="2">
        <v>4.1697777777777778E-2</v>
      </c>
      <c r="F1174" s="2">
        <v>8.557087049730178E-3</v>
      </c>
      <c r="G1174">
        <v>27</v>
      </c>
      <c r="H1174" t="s">
        <v>58</v>
      </c>
      <c r="M1174" s="2">
        <v>5.8811951877238131E-2</v>
      </c>
      <c r="N1174" s="2">
        <v>2.4583603678317419E-2</v>
      </c>
      <c r="O1174" s="2">
        <v>3.4228348198920712E-2</v>
      </c>
      <c r="P1174" s="2">
        <v>4.8728939574235826</v>
      </c>
      <c r="R1174" t="str">
        <f t="shared" si="54"/>
        <v>yes</v>
      </c>
      <c r="S1174" t="str">
        <f t="shared" si="55"/>
        <v>no</v>
      </c>
      <c r="T11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4" s="2" t="b">
        <f t="shared" si="56"/>
        <v>1</v>
      </c>
      <c r="V1174" s="2">
        <f>IF(Table4[[#This Row],[linear?]],Table4[[#This Row],[av]],10^(Table4[[#This Row],[av]]/10))</f>
        <v>4.1697777777777778E-2</v>
      </c>
      <c r="W1174" s="2">
        <f>IF(Table4[[#This Row],[linear?]],Table4[[#This Row],[av]],10^(Table4[[#This Row],[av]]/10))</f>
        <v>4.1697777777777778E-2</v>
      </c>
      <c r="X1174" s="2">
        <f>Table4[[#This Row],[av_lin]]-2*Table4[[#This Row],[std_lin]]</f>
        <v>-4.1697777777777778E-2</v>
      </c>
      <c r="Y1174" s="2">
        <f>Table4[[#This Row],[av_lin]]+2*Table4[[#This Row],[std_lin]]</f>
        <v>0.12509333333333333</v>
      </c>
    </row>
    <row r="1175" spans="1:25" x14ac:dyDescent="0.35">
      <c r="A1175" s="1">
        <v>1838</v>
      </c>
      <c r="B1175" t="s">
        <v>829</v>
      </c>
      <c r="C1175" t="s">
        <v>549</v>
      </c>
      <c r="D1175" t="s">
        <v>730</v>
      </c>
      <c r="E1175" s="2">
        <v>4.6143209876543219E-3</v>
      </c>
      <c r="F1175" s="2">
        <v>2.217422103422146E-3</v>
      </c>
      <c r="G1175">
        <v>27</v>
      </c>
      <c r="H1175" t="s">
        <v>58</v>
      </c>
      <c r="M1175" s="2">
        <v>9.049165194498613E-3</v>
      </c>
      <c r="N1175" s="2">
        <v>1.7947678081002989E-4</v>
      </c>
      <c r="O1175" s="2">
        <v>8.869688413688584E-3</v>
      </c>
      <c r="P1175" s="2">
        <v>2.080939384762623</v>
      </c>
      <c r="R1175" t="str">
        <f t="shared" si="54"/>
        <v>yes</v>
      </c>
      <c r="S1175" t="str">
        <f t="shared" si="55"/>
        <v>no</v>
      </c>
      <c r="T11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5" s="2" t="b">
        <f t="shared" si="56"/>
        <v>1</v>
      </c>
      <c r="V1175" s="2">
        <f>IF(Table4[[#This Row],[linear?]],Table4[[#This Row],[av]],10^(Table4[[#This Row],[av]]/10))</f>
        <v>4.6143209876543219E-3</v>
      </c>
      <c r="W1175" s="2">
        <f>IF(Table4[[#This Row],[linear?]],Table4[[#This Row],[av]],10^(Table4[[#This Row],[av]]/10))</f>
        <v>4.6143209876543219E-3</v>
      </c>
      <c r="X1175" s="2">
        <f>Table4[[#This Row],[av_lin]]-2*Table4[[#This Row],[std_lin]]</f>
        <v>-4.6143209876543219E-3</v>
      </c>
      <c r="Y1175" s="2">
        <f>Table4[[#This Row],[av_lin]]+2*Table4[[#This Row],[std_lin]]</f>
        <v>1.3842962962962967E-2</v>
      </c>
    </row>
    <row r="1176" spans="1:25" x14ac:dyDescent="0.35">
      <c r="A1176" s="1">
        <v>1840</v>
      </c>
      <c r="B1176" t="s">
        <v>829</v>
      </c>
      <c r="C1176" t="s">
        <v>549</v>
      </c>
      <c r="D1176" t="s">
        <v>732</v>
      </c>
      <c r="E1176" s="2">
        <v>2.5534567901234579E-3</v>
      </c>
      <c r="F1176" s="2">
        <v>1.360844902337848E-3</v>
      </c>
      <c r="G1176">
        <v>27</v>
      </c>
      <c r="H1176" t="s">
        <v>58</v>
      </c>
      <c r="M1176" s="2">
        <v>5.275146594799154E-3</v>
      </c>
      <c r="N1176" s="2">
        <v>-1.6823301455223821E-4</v>
      </c>
      <c r="O1176" s="2">
        <v>5.4433796093513922E-3</v>
      </c>
      <c r="P1176" s="2">
        <v>1.8763760555936799</v>
      </c>
      <c r="R1176" t="str">
        <f t="shared" si="54"/>
        <v>yes</v>
      </c>
      <c r="S1176" t="str">
        <f t="shared" si="55"/>
        <v>no</v>
      </c>
      <c r="T11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6" s="2" t="b">
        <f t="shared" si="56"/>
        <v>1</v>
      </c>
      <c r="V1176" s="2">
        <f>IF(Table4[[#This Row],[linear?]],Table4[[#This Row],[av]],10^(Table4[[#This Row],[av]]/10))</f>
        <v>2.5534567901234579E-3</v>
      </c>
      <c r="W1176" s="2">
        <f>IF(Table4[[#This Row],[linear?]],Table4[[#This Row],[av]],10^(Table4[[#This Row],[av]]/10))</f>
        <v>2.5534567901234579E-3</v>
      </c>
      <c r="X1176" s="2">
        <f>Table4[[#This Row],[av_lin]]-2*Table4[[#This Row],[std_lin]]</f>
        <v>-2.5534567901234579E-3</v>
      </c>
      <c r="Y1176" s="2">
        <f>Table4[[#This Row],[av_lin]]+2*Table4[[#This Row],[std_lin]]</f>
        <v>7.6603703703703738E-3</v>
      </c>
    </row>
    <row r="1177" spans="1:25" x14ac:dyDescent="0.35">
      <c r="A1177" s="1">
        <v>1842</v>
      </c>
      <c r="B1177" t="s">
        <v>829</v>
      </c>
      <c r="C1177" t="s">
        <v>549</v>
      </c>
      <c r="D1177" t="s">
        <v>734</v>
      </c>
      <c r="E1177" s="2">
        <v>2.2228395061728402E-2</v>
      </c>
      <c r="F1177" s="2">
        <v>2.9972581151869061E-3</v>
      </c>
      <c r="G1177">
        <v>27</v>
      </c>
      <c r="H1177" t="s">
        <v>58</v>
      </c>
      <c r="M1177" s="2">
        <v>2.822291129210221E-2</v>
      </c>
      <c r="N1177" s="2">
        <v>1.623387883135459E-2</v>
      </c>
      <c r="O1177" s="2">
        <v>1.1989032460747621E-2</v>
      </c>
      <c r="P1177" s="2">
        <v>7.416243182093198</v>
      </c>
      <c r="R1177" t="str">
        <f t="shared" si="54"/>
        <v>yes</v>
      </c>
      <c r="S1177" t="str">
        <f t="shared" si="55"/>
        <v>no</v>
      </c>
      <c r="T11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7" s="2" t="b">
        <f t="shared" si="56"/>
        <v>1</v>
      </c>
      <c r="V1177" s="2">
        <f>IF(Table4[[#This Row],[linear?]],Table4[[#This Row],[av]],10^(Table4[[#This Row],[av]]/10))</f>
        <v>2.2228395061728402E-2</v>
      </c>
      <c r="W1177" s="2">
        <f>IF(Table4[[#This Row],[linear?]],Table4[[#This Row],[av]],10^(Table4[[#This Row],[av]]/10))</f>
        <v>2.2228395061728402E-2</v>
      </c>
      <c r="X1177" s="2">
        <f>Table4[[#This Row],[av_lin]]-2*Table4[[#This Row],[std_lin]]</f>
        <v>-2.2228395061728402E-2</v>
      </c>
      <c r="Y1177" s="2">
        <f>Table4[[#This Row],[av_lin]]+2*Table4[[#This Row],[std_lin]]</f>
        <v>6.6685185185185208E-2</v>
      </c>
    </row>
    <row r="1178" spans="1:25" x14ac:dyDescent="0.35">
      <c r="A1178" s="1">
        <v>1844</v>
      </c>
      <c r="B1178" t="s">
        <v>829</v>
      </c>
      <c r="C1178" t="s">
        <v>549</v>
      </c>
      <c r="D1178" t="s">
        <v>736</v>
      </c>
      <c r="E1178" s="2">
        <v>3.8187654320987661E-3</v>
      </c>
      <c r="F1178" s="2">
        <v>2.256064984931385E-3</v>
      </c>
      <c r="G1178">
        <v>27</v>
      </c>
      <c r="H1178" t="s">
        <v>58</v>
      </c>
      <c r="M1178" s="2">
        <v>8.3308954019615366E-3</v>
      </c>
      <c r="N1178" s="2">
        <v>-6.9336453776400403E-4</v>
      </c>
      <c r="O1178" s="2">
        <v>9.0242599397255402E-3</v>
      </c>
      <c r="P1178" s="2">
        <v>1.692666415907744</v>
      </c>
      <c r="R1178" t="str">
        <f t="shared" si="54"/>
        <v>yes</v>
      </c>
      <c r="S1178" t="str">
        <f t="shared" si="55"/>
        <v>no</v>
      </c>
      <c r="T11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8" s="2" t="b">
        <f t="shared" si="56"/>
        <v>1</v>
      </c>
      <c r="V1178" s="2">
        <f>IF(Table4[[#This Row],[linear?]],Table4[[#This Row],[av]],10^(Table4[[#This Row],[av]]/10))</f>
        <v>3.8187654320987661E-3</v>
      </c>
      <c r="W1178" s="2">
        <f>IF(Table4[[#This Row],[linear?]],Table4[[#This Row],[av]],10^(Table4[[#This Row],[av]]/10))</f>
        <v>3.8187654320987661E-3</v>
      </c>
      <c r="X1178" s="2">
        <f>Table4[[#This Row],[av_lin]]-2*Table4[[#This Row],[std_lin]]</f>
        <v>-3.8187654320987661E-3</v>
      </c>
      <c r="Y1178" s="2">
        <f>Table4[[#This Row],[av_lin]]+2*Table4[[#This Row],[std_lin]]</f>
        <v>1.1456296296296298E-2</v>
      </c>
    </row>
    <row r="1179" spans="1:25" x14ac:dyDescent="0.35">
      <c r="A1179" s="1">
        <v>1846</v>
      </c>
      <c r="B1179" t="s">
        <v>829</v>
      </c>
      <c r="C1179" t="s">
        <v>549</v>
      </c>
      <c r="D1179" t="s">
        <v>738</v>
      </c>
      <c r="E1179" s="2">
        <v>2.9445679012345678E-3</v>
      </c>
      <c r="F1179" s="2">
        <v>1.5388440735853259E-3</v>
      </c>
      <c r="G1179">
        <v>27</v>
      </c>
      <c r="H1179" t="s">
        <v>58</v>
      </c>
      <c r="M1179" s="2">
        <v>6.0222560484052192E-3</v>
      </c>
      <c r="N1179" s="2">
        <v>-1.33120245936084E-4</v>
      </c>
      <c r="O1179" s="2">
        <v>6.1553762943413037E-3</v>
      </c>
      <c r="P1179" s="2">
        <v>1.91349334983243</v>
      </c>
      <c r="R1179" t="str">
        <f t="shared" si="54"/>
        <v>yes</v>
      </c>
      <c r="S1179" t="str">
        <f t="shared" si="55"/>
        <v>no</v>
      </c>
      <c r="T11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9" s="2" t="b">
        <f t="shared" si="56"/>
        <v>1</v>
      </c>
      <c r="V1179" s="2">
        <f>IF(Table4[[#This Row],[linear?]],Table4[[#This Row],[av]],10^(Table4[[#This Row],[av]]/10))</f>
        <v>2.9445679012345678E-3</v>
      </c>
      <c r="W1179" s="2">
        <f>IF(Table4[[#This Row],[linear?]],Table4[[#This Row],[av]],10^(Table4[[#This Row],[av]]/10))</f>
        <v>2.9445679012345678E-3</v>
      </c>
      <c r="X1179" s="2">
        <f>Table4[[#This Row],[av_lin]]-2*Table4[[#This Row],[std_lin]]</f>
        <v>-2.9445679012345678E-3</v>
      </c>
      <c r="Y1179" s="2">
        <f>Table4[[#This Row],[av_lin]]+2*Table4[[#This Row],[std_lin]]</f>
        <v>8.833703703703703E-3</v>
      </c>
    </row>
    <row r="1180" spans="1:25" x14ac:dyDescent="0.35">
      <c r="A1180" s="1">
        <v>1848</v>
      </c>
      <c r="B1180" t="s">
        <v>829</v>
      </c>
      <c r="C1180" t="s">
        <v>549</v>
      </c>
      <c r="D1180" t="s">
        <v>740</v>
      </c>
      <c r="E1180" s="2">
        <v>2.1836296296296291E-2</v>
      </c>
      <c r="F1180" s="2">
        <v>2.8207855383608118E-3</v>
      </c>
      <c r="G1180">
        <v>27</v>
      </c>
      <c r="H1180" t="s">
        <v>58</v>
      </c>
      <c r="M1180" s="2">
        <v>2.7477867373017911E-2</v>
      </c>
      <c r="N1180" s="2">
        <v>1.6194725219574671E-2</v>
      </c>
      <c r="O1180" s="2">
        <v>1.1283142153443251E-2</v>
      </c>
      <c r="P1180" s="2">
        <v>7.7412110914981476</v>
      </c>
      <c r="R1180" t="str">
        <f t="shared" si="54"/>
        <v>yes</v>
      </c>
      <c r="S1180" t="str">
        <f t="shared" si="55"/>
        <v>no</v>
      </c>
      <c r="T11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0" s="2" t="b">
        <f t="shared" si="56"/>
        <v>1</v>
      </c>
      <c r="V1180" s="2">
        <f>IF(Table4[[#This Row],[linear?]],Table4[[#This Row],[av]],10^(Table4[[#This Row],[av]]/10))</f>
        <v>2.1836296296296291E-2</v>
      </c>
      <c r="W1180" s="2">
        <f>IF(Table4[[#This Row],[linear?]],Table4[[#This Row],[av]],10^(Table4[[#This Row],[av]]/10))</f>
        <v>2.1836296296296291E-2</v>
      </c>
      <c r="X1180" s="2">
        <f>Table4[[#This Row],[av_lin]]-2*Table4[[#This Row],[std_lin]]</f>
        <v>-2.1836296296296291E-2</v>
      </c>
      <c r="Y1180" s="2">
        <f>Table4[[#This Row],[av_lin]]+2*Table4[[#This Row],[std_lin]]</f>
        <v>6.5508888888888867E-2</v>
      </c>
    </row>
    <row r="1181" spans="1:25" x14ac:dyDescent="0.35">
      <c r="A1181" s="1">
        <v>1850</v>
      </c>
      <c r="B1181" t="s">
        <v>829</v>
      </c>
      <c r="C1181" t="s">
        <v>549</v>
      </c>
      <c r="D1181" t="s">
        <v>742</v>
      </c>
      <c r="E1181" s="2">
        <v>3.8827160493827158E-3</v>
      </c>
      <c r="F1181" s="2">
        <v>1.673096045011884E-3</v>
      </c>
      <c r="G1181">
        <v>27</v>
      </c>
      <c r="H1181" t="s">
        <v>58</v>
      </c>
      <c r="M1181" s="2">
        <v>7.2289081394064838E-3</v>
      </c>
      <c r="N1181" s="2">
        <v>5.3652395935894787E-4</v>
      </c>
      <c r="O1181" s="2">
        <v>6.6923841800475359E-3</v>
      </c>
      <c r="P1181" s="2">
        <v>2.3206773221169961</v>
      </c>
      <c r="R1181" t="str">
        <f t="shared" si="54"/>
        <v>yes</v>
      </c>
      <c r="S1181" t="str">
        <f t="shared" si="55"/>
        <v>no</v>
      </c>
      <c r="T11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1" s="2" t="b">
        <f t="shared" si="56"/>
        <v>1</v>
      </c>
      <c r="V1181" s="2">
        <f>IF(Table4[[#This Row],[linear?]],Table4[[#This Row],[av]],10^(Table4[[#This Row],[av]]/10))</f>
        <v>3.8827160493827158E-3</v>
      </c>
      <c r="W1181" s="2">
        <f>IF(Table4[[#This Row],[linear?]],Table4[[#This Row],[av]],10^(Table4[[#This Row],[av]]/10))</f>
        <v>3.8827160493827158E-3</v>
      </c>
      <c r="X1181" s="2">
        <f>Table4[[#This Row],[av_lin]]-2*Table4[[#This Row],[std_lin]]</f>
        <v>-3.8827160493827158E-3</v>
      </c>
      <c r="Y1181" s="2">
        <f>Table4[[#This Row],[av_lin]]+2*Table4[[#This Row],[std_lin]]</f>
        <v>1.1648148148148147E-2</v>
      </c>
    </row>
    <row r="1182" spans="1:25" x14ac:dyDescent="0.35">
      <c r="A1182" s="1">
        <v>1852</v>
      </c>
      <c r="B1182" t="s">
        <v>829</v>
      </c>
      <c r="C1182" t="s">
        <v>549</v>
      </c>
      <c r="D1182" t="s">
        <v>744</v>
      </c>
      <c r="E1182" s="2">
        <v>1.7076543209876549E-3</v>
      </c>
      <c r="F1182" s="2">
        <v>1.674694852625974E-3</v>
      </c>
      <c r="G1182">
        <v>27</v>
      </c>
      <c r="H1182" t="s">
        <v>58</v>
      </c>
      <c r="M1182" s="2">
        <v>5.0570440262396026E-3</v>
      </c>
      <c r="N1182" s="2">
        <v>-1.641735384264293E-3</v>
      </c>
      <c r="O1182" s="2">
        <v>6.6987794105038958E-3</v>
      </c>
      <c r="P1182" s="2">
        <v>1.0196808799585191</v>
      </c>
      <c r="R1182" t="str">
        <f t="shared" si="54"/>
        <v>yes</v>
      </c>
      <c r="S1182" t="str">
        <f t="shared" si="55"/>
        <v>no</v>
      </c>
      <c r="T11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2" s="2" t="b">
        <f t="shared" si="56"/>
        <v>1</v>
      </c>
      <c r="V1182" s="2">
        <f>IF(Table4[[#This Row],[linear?]],Table4[[#This Row],[av]],10^(Table4[[#This Row],[av]]/10))</f>
        <v>1.7076543209876549E-3</v>
      </c>
      <c r="W1182" s="2">
        <f>IF(Table4[[#This Row],[linear?]],Table4[[#This Row],[av]],10^(Table4[[#This Row],[av]]/10))</f>
        <v>1.7076543209876549E-3</v>
      </c>
      <c r="X1182" s="2">
        <f>Table4[[#This Row],[av_lin]]-2*Table4[[#This Row],[std_lin]]</f>
        <v>-1.7076543209876549E-3</v>
      </c>
      <c r="Y1182" s="2">
        <f>Table4[[#This Row],[av_lin]]+2*Table4[[#This Row],[std_lin]]</f>
        <v>5.1229629629629646E-3</v>
      </c>
    </row>
    <row r="1183" spans="1:25" x14ac:dyDescent="0.35">
      <c r="A1183" s="1">
        <v>1854</v>
      </c>
      <c r="B1183" t="s">
        <v>829</v>
      </c>
      <c r="C1183" t="s">
        <v>549</v>
      </c>
      <c r="D1183" t="s">
        <v>746</v>
      </c>
      <c r="E1183" s="2">
        <v>2.2058888888888888E-2</v>
      </c>
      <c r="F1183" s="2">
        <v>1.648383511916648E-3</v>
      </c>
      <c r="G1183">
        <v>27</v>
      </c>
      <c r="H1183" t="s">
        <v>58</v>
      </c>
      <c r="M1183" s="2">
        <v>2.535565591272218E-2</v>
      </c>
      <c r="N1183" s="2">
        <v>1.8762121865055589E-2</v>
      </c>
      <c r="O1183" s="2">
        <v>6.593534047666591E-3</v>
      </c>
      <c r="P1183" s="2">
        <v>13.382133908413129</v>
      </c>
      <c r="R1183" t="str">
        <f t="shared" si="54"/>
        <v>yes</v>
      </c>
      <c r="S1183" t="str">
        <f t="shared" si="55"/>
        <v>no</v>
      </c>
      <c r="T11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3" s="2" t="b">
        <f t="shared" si="56"/>
        <v>1</v>
      </c>
      <c r="V1183" s="2">
        <f>IF(Table4[[#This Row],[linear?]],Table4[[#This Row],[av]],10^(Table4[[#This Row],[av]]/10))</f>
        <v>2.2058888888888888E-2</v>
      </c>
      <c r="W1183" s="2">
        <f>IF(Table4[[#This Row],[linear?]],Table4[[#This Row],[av]],10^(Table4[[#This Row],[av]]/10))</f>
        <v>2.2058888888888888E-2</v>
      </c>
      <c r="X1183" s="2">
        <f>Table4[[#This Row],[av_lin]]-2*Table4[[#This Row],[std_lin]]</f>
        <v>-2.2058888888888888E-2</v>
      </c>
      <c r="Y1183" s="2">
        <f>Table4[[#This Row],[av_lin]]+2*Table4[[#This Row],[std_lin]]</f>
        <v>6.6176666666666661E-2</v>
      </c>
    </row>
    <row r="1184" spans="1:25" x14ac:dyDescent="0.35">
      <c r="A1184" s="1">
        <v>1857</v>
      </c>
      <c r="B1184" t="s">
        <v>829</v>
      </c>
      <c r="C1184" t="s">
        <v>549</v>
      </c>
      <c r="D1184" t="s">
        <v>749</v>
      </c>
      <c r="E1184" s="2">
        <v>3.9430246913580248E-2</v>
      </c>
      <c r="F1184" s="2">
        <v>1.273410863966066E-2</v>
      </c>
      <c r="G1184">
        <v>27</v>
      </c>
      <c r="H1184" t="s">
        <v>58</v>
      </c>
      <c r="M1184" s="2">
        <v>6.4898464192901573E-2</v>
      </c>
      <c r="N1184" s="2">
        <v>1.3962029634258929E-2</v>
      </c>
      <c r="O1184" s="2">
        <v>5.0936434558642649E-2</v>
      </c>
      <c r="P1184" s="2">
        <v>3.0964277146791321</v>
      </c>
      <c r="R1184" t="str">
        <f t="shared" si="54"/>
        <v>yes</v>
      </c>
      <c r="S1184" t="str">
        <f t="shared" si="55"/>
        <v>no</v>
      </c>
      <c r="T11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4" s="2" t="b">
        <f t="shared" si="56"/>
        <v>1</v>
      </c>
      <c r="V1184" s="2">
        <f>IF(Table4[[#This Row],[linear?]],Table4[[#This Row],[av]],10^(Table4[[#This Row],[av]]/10))</f>
        <v>3.9430246913580248E-2</v>
      </c>
      <c r="W1184" s="2">
        <f>IF(Table4[[#This Row],[linear?]],Table4[[#This Row],[av]],10^(Table4[[#This Row],[av]]/10))</f>
        <v>3.9430246913580248E-2</v>
      </c>
      <c r="X1184" s="2">
        <f>Table4[[#This Row],[av_lin]]-2*Table4[[#This Row],[std_lin]]</f>
        <v>-3.9430246913580248E-2</v>
      </c>
      <c r="Y1184" s="2">
        <f>Table4[[#This Row],[av_lin]]+2*Table4[[#This Row],[std_lin]]</f>
        <v>0.11829074074074075</v>
      </c>
    </row>
    <row r="1185" spans="1:25" x14ac:dyDescent="0.35">
      <c r="A1185" s="1">
        <v>1858</v>
      </c>
      <c r="B1185" t="s">
        <v>829</v>
      </c>
      <c r="C1185" t="s">
        <v>549</v>
      </c>
      <c r="D1185" t="s">
        <v>750</v>
      </c>
      <c r="E1185" s="2">
        <v>3.5437283950617293E-2</v>
      </c>
      <c r="F1185" s="2">
        <v>1.1753269597357639E-2</v>
      </c>
      <c r="G1185">
        <v>27</v>
      </c>
      <c r="H1185" t="s">
        <v>58</v>
      </c>
      <c r="M1185" s="2">
        <v>5.8943823145332572E-2</v>
      </c>
      <c r="N1185" s="2">
        <v>1.1930744755902009E-2</v>
      </c>
      <c r="O1185" s="2">
        <v>4.7013078389430557E-2</v>
      </c>
      <c r="P1185" s="2">
        <v>3.015100067013206</v>
      </c>
      <c r="R1185" t="str">
        <f t="shared" si="54"/>
        <v>yes</v>
      </c>
      <c r="S1185" t="str">
        <f t="shared" si="55"/>
        <v>no</v>
      </c>
      <c r="T11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5" s="2" t="b">
        <f t="shared" si="56"/>
        <v>1</v>
      </c>
      <c r="V1185" s="2">
        <f>IF(Table4[[#This Row],[linear?]],Table4[[#This Row],[av]],10^(Table4[[#This Row],[av]]/10))</f>
        <v>3.5437283950617293E-2</v>
      </c>
      <c r="W1185" s="2">
        <f>IF(Table4[[#This Row],[linear?]],Table4[[#This Row],[av]],10^(Table4[[#This Row],[av]]/10))</f>
        <v>3.5437283950617293E-2</v>
      </c>
      <c r="X1185" s="2">
        <f>Table4[[#This Row],[av_lin]]-2*Table4[[#This Row],[std_lin]]</f>
        <v>-3.5437283950617293E-2</v>
      </c>
      <c r="Y1185" s="2">
        <f>Table4[[#This Row],[av_lin]]+2*Table4[[#This Row],[std_lin]]</f>
        <v>0.10631185185185188</v>
      </c>
    </row>
    <row r="1186" spans="1:25" x14ac:dyDescent="0.35">
      <c r="A1186" s="1">
        <v>1859</v>
      </c>
      <c r="B1186" t="s">
        <v>829</v>
      </c>
      <c r="C1186" t="s">
        <v>549</v>
      </c>
      <c r="D1186" t="s">
        <v>751</v>
      </c>
      <c r="E1186" s="2">
        <v>3.2619753086419748E-2</v>
      </c>
      <c r="F1186" s="2">
        <v>9.7646561506025478E-3</v>
      </c>
      <c r="G1186">
        <v>27</v>
      </c>
      <c r="H1186" t="s">
        <v>58</v>
      </c>
      <c r="M1186" s="2">
        <v>5.2149065387624843E-2</v>
      </c>
      <c r="N1186" s="2">
        <v>1.309044078521465E-2</v>
      </c>
      <c r="O1186" s="2">
        <v>3.9058624602410191E-2</v>
      </c>
      <c r="P1186" s="2">
        <v>3.3405941369893379</v>
      </c>
      <c r="R1186" t="str">
        <f t="shared" si="54"/>
        <v>yes</v>
      </c>
      <c r="S1186" t="str">
        <f t="shared" si="55"/>
        <v>no</v>
      </c>
      <c r="T11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6" s="2" t="b">
        <f t="shared" si="56"/>
        <v>1</v>
      </c>
      <c r="V1186" s="2">
        <f>IF(Table4[[#This Row],[linear?]],Table4[[#This Row],[av]],10^(Table4[[#This Row],[av]]/10))</f>
        <v>3.2619753086419748E-2</v>
      </c>
      <c r="W1186" s="2">
        <f>IF(Table4[[#This Row],[linear?]],Table4[[#This Row],[av]],10^(Table4[[#This Row],[av]]/10))</f>
        <v>3.2619753086419748E-2</v>
      </c>
      <c r="X1186" s="2">
        <f>Table4[[#This Row],[av_lin]]-2*Table4[[#This Row],[std_lin]]</f>
        <v>-3.2619753086419748E-2</v>
      </c>
      <c r="Y1186" s="2">
        <f>Table4[[#This Row],[av_lin]]+2*Table4[[#This Row],[std_lin]]</f>
        <v>9.7859259259259243E-2</v>
      </c>
    </row>
    <row r="1187" spans="1:25" x14ac:dyDescent="0.35">
      <c r="A1187" s="1">
        <v>1860</v>
      </c>
      <c r="B1187" t="s">
        <v>829</v>
      </c>
      <c r="C1187" t="s">
        <v>549</v>
      </c>
      <c r="D1187" t="s">
        <v>752</v>
      </c>
      <c r="E1187" s="2">
        <v>7.5025679012345664E-2</v>
      </c>
      <c r="F1187" s="2">
        <v>8.2927016215693667E-3</v>
      </c>
      <c r="G1187">
        <v>27</v>
      </c>
      <c r="H1187" t="s">
        <v>58</v>
      </c>
      <c r="M1187" s="2">
        <v>9.1611082255484394E-2</v>
      </c>
      <c r="N1187" s="2">
        <v>5.8440275769206927E-2</v>
      </c>
      <c r="O1187" s="2">
        <v>3.317080648627746E-2</v>
      </c>
      <c r="P1187" s="2">
        <v>9.0471938381580532</v>
      </c>
      <c r="R1187" t="str">
        <f t="shared" si="54"/>
        <v>yes</v>
      </c>
      <c r="S1187" t="str">
        <f t="shared" si="55"/>
        <v>no</v>
      </c>
      <c r="T11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7" s="2" t="b">
        <f t="shared" si="56"/>
        <v>1</v>
      </c>
      <c r="V1187" s="2">
        <f>IF(Table4[[#This Row],[linear?]],Table4[[#This Row],[av]],10^(Table4[[#This Row],[av]]/10))</f>
        <v>7.5025679012345664E-2</v>
      </c>
      <c r="W1187" s="2">
        <f>IF(Table4[[#This Row],[linear?]],Table4[[#This Row],[av]],10^(Table4[[#This Row],[av]]/10))</f>
        <v>7.5025679012345664E-2</v>
      </c>
      <c r="X1187" s="2">
        <f>Table4[[#This Row],[av_lin]]-2*Table4[[#This Row],[std_lin]]</f>
        <v>-7.5025679012345664E-2</v>
      </c>
      <c r="Y1187" s="2">
        <f>Table4[[#This Row],[av_lin]]+2*Table4[[#This Row],[std_lin]]</f>
        <v>0.22507703703703699</v>
      </c>
    </row>
    <row r="1188" spans="1:25" x14ac:dyDescent="0.35">
      <c r="A1188" s="1">
        <v>1862</v>
      </c>
      <c r="B1188" t="s">
        <v>829</v>
      </c>
      <c r="C1188" t="s">
        <v>549</v>
      </c>
      <c r="D1188" t="s">
        <v>754</v>
      </c>
      <c r="E1188" s="2">
        <v>4.1061234567901228E-2</v>
      </c>
      <c r="F1188" s="2">
        <v>5.7898293825518381E-3</v>
      </c>
      <c r="G1188">
        <v>27</v>
      </c>
      <c r="H1188" t="s">
        <v>58</v>
      </c>
      <c r="M1188" s="2">
        <v>5.2640893333004903E-2</v>
      </c>
      <c r="N1188" s="2">
        <v>2.948157580279755E-2</v>
      </c>
      <c r="O1188" s="2">
        <v>2.3159317530207349E-2</v>
      </c>
      <c r="P1188" s="2">
        <v>7.0919593402256176</v>
      </c>
      <c r="R1188" t="str">
        <f t="shared" si="54"/>
        <v>yes</v>
      </c>
      <c r="S1188" t="str">
        <f t="shared" si="55"/>
        <v>no</v>
      </c>
      <c r="T11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8" s="2" t="b">
        <f t="shared" si="56"/>
        <v>1</v>
      </c>
      <c r="V1188" s="2">
        <f>IF(Table4[[#This Row],[linear?]],Table4[[#This Row],[av]],10^(Table4[[#This Row],[av]]/10))</f>
        <v>4.1061234567901228E-2</v>
      </c>
      <c r="W1188" s="2">
        <f>IF(Table4[[#This Row],[linear?]],Table4[[#This Row],[av]],10^(Table4[[#This Row],[av]]/10))</f>
        <v>4.1061234567901228E-2</v>
      </c>
      <c r="X1188" s="2">
        <f>Table4[[#This Row],[av_lin]]-2*Table4[[#This Row],[std_lin]]</f>
        <v>-4.1061234567901228E-2</v>
      </c>
      <c r="Y1188" s="2">
        <f>Table4[[#This Row],[av_lin]]+2*Table4[[#This Row],[std_lin]]</f>
        <v>0.12318370370370368</v>
      </c>
    </row>
    <row r="1189" spans="1:25" x14ac:dyDescent="0.35">
      <c r="A1189" s="1">
        <v>1863</v>
      </c>
      <c r="B1189" t="s">
        <v>829</v>
      </c>
      <c r="C1189" t="s">
        <v>549</v>
      </c>
      <c r="D1189" t="s">
        <v>755</v>
      </c>
      <c r="E1189" s="2">
        <v>4.5206419753086417E-2</v>
      </c>
      <c r="F1189" s="2">
        <v>1.0655213266139061E-2</v>
      </c>
      <c r="G1189">
        <v>27</v>
      </c>
      <c r="H1189" t="s">
        <v>58</v>
      </c>
      <c r="M1189" s="2">
        <v>6.6516846285364542E-2</v>
      </c>
      <c r="N1189" s="2">
        <v>2.38959932208083E-2</v>
      </c>
      <c r="O1189" s="2">
        <v>4.2620853064556249E-2</v>
      </c>
      <c r="P1189" s="2">
        <v>4.2426574319959212</v>
      </c>
      <c r="R1189" t="str">
        <f t="shared" si="54"/>
        <v>yes</v>
      </c>
      <c r="S1189" t="str">
        <f t="shared" si="55"/>
        <v>no</v>
      </c>
      <c r="T11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9" s="2" t="b">
        <f t="shared" si="56"/>
        <v>1</v>
      </c>
      <c r="V1189" s="2">
        <f>IF(Table4[[#This Row],[linear?]],Table4[[#This Row],[av]],10^(Table4[[#This Row],[av]]/10))</f>
        <v>4.5206419753086417E-2</v>
      </c>
      <c r="W1189" s="2">
        <f>IF(Table4[[#This Row],[linear?]],Table4[[#This Row],[av]],10^(Table4[[#This Row],[av]]/10))</f>
        <v>4.5206419753086417E-2</v>
      </c>
      <c r="X1189" s="2">
        <f>Table4[[#This Row],[av_lin]]-2*Table4[[#This Row],[std_lin]]</f>
        <v>-4.5206419753086417E-2</v>
      </c>
      <c r="Y1189" s="2">
        <f>Table4[[#This Row],[av_lin]]+2*Table4[[#This Row],[std_lin]]</f>
        <v>0.13561925925925924</v>
      </c>
    </row>
    <row r="1190" spans="1:25" x14ac:dyDescent="0.35">
      <c r="A1190" s="1">
        <v>1864</v>
      </c>
      <c r="B1190" t="s">
        <v>829</v>
      </c>
      <c r="C1190" t="s">
        <v>549</v>
      </c>
      <c r="D1190" t="s">
        <v>756</v>
      </c>
      <c r="E1190" s="2">
        <v>4.1076666666666671E-2</v>
      </c>
      <c r="F1190" s="2">
        <v>8.6193472842742338E-3</v>
      </c>
      <c r="G1190">
        <v>27</v>
      </c>
      <c r="H1190" t="s">
        <v>58</v>
      </c>
      <c r="M1190" s="2">
        <v>5.8315361235215142E-2</v>
      </c>
      <c r="N1190" s="2">
        <v>2.38379720981182E-2</v>
      </c>
      <c r="O1190" s="2">
        <v>3.4477389137096928E-2</v>
      </c>
      <c r="P1190" s="2">
        <v>4.7656354143671571</v>
      </c>
      <c r="R1190" t="str">
        <f t="shared" si="54"/>
        <v>yes</v>
      </c>
      <c r="S1190" t="str">
        <f t="shared" si="55"/>
        <v>no</v>
      </c>
      <c r="T11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0" s="2" t="b">
        <f t="shared" si="56"/>
        <v>1</v>
      </c>
      <c r="V1190" s="2">
        <f>IF(Table4[[#This Row],[linear?]],Table4[[#This Row],[av]],10^(Table4[[#This Row],[av]]/10))</f>
        <v>4.1076666666666671E-2</v>
      </c>
      <c r="W1190" s="2">
        <f>IF(Table4[[#This Row],[linear?]],Table4[[#This Row],[av]],10^(Table4[[#This Row],[av]]/10))</f>
        <v>4.1076666666666671E-2</v>
      </c>
      <c r="X1190" s="2">
        <f>Table4[[#This Row],[av_lin]]-2*Table4[[#This Row],[std_lin]]</f>
        <v>-4.1076666666666671E-2</v>
      </c>
      <c r="Y1190" s="2">
        <f>Table4[[#This Row],[av_lin]]+2*Table4[[#This Row],[std_lin]]</f>
        <v>0.12323000000000001</v>
      </c>
    </row>
    <row r="1191" spans="1:25" x14ac:dyDescent="0.35">
      <c r="A1191" s="1">
        <v>1866</v>
      </c>
      <c r="B1191" t="s">
        <v>829</v>
      </c>
      <c r="C1191" t="s">
        <v>549</v>
      </c>
      <c r="D1191" t="s">
        <v>758</v>
      </c>
      <c r="E1191" s="2">
        <v>4.0042469135802471E-2</v>
      </c>
      <c r="F1191" s="2">
        <v>9.709082281707436E-3</v>
      </c>
      <c r="G1191">
        <v>27</v>
      </c>
      <c r="H1191" t="s">
        <v>58</v>
      </c>
      <c r="M1191" s="2">
        <v>5.9460633699217343E-2</v>
      </c>
      <c r="N1191" s="2">
        <v>2.0624304572387599E-2</v>
      </c>
      <c r="O1191" s="2">
        <v>3.8836329126829737E-2</v>
      </c>
      <c r="P1191" s="2">
        <v>4.1242280139334264</v>
      </c>
      <c r="R1191" t="str">
        <f t="shared" si="54"/>
        <v>yes</v>
      </c>
      <c r="S1191" t="str">
        <f t="shared" si="55"/>
        <v>no</v>
      </c>
      <c r="T11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1" s="2" t="b">
        <f t="shared" si="56"/>
        <v>1</v>
      </c>
      <c r="V1191" s="2">
        <f>IF(Table4[[#This Row],[linear?]],Table4[[#This Row],[av]],10^(Table4[[#This Row],[av]]/10))</f>
        <v>4.0042469135802471E-2</v>
      </c>
      <c r="W1191" s="2">
        <f>IF(Table4[[#This Row],[linear?]],Table4[[#This Row],[av]],10^(Table4[[#This Row],[av]]/10))</f>
        <v>4.0042469135802471E-2</v>
      </c>
      <c r="X1191" s="2">
        <f>Table4[[#This Row],[av_lin]]-2*Table4[[#This Row],[std_lin]]</f>
        <v>-4.0042469135802471E-2</v>
      </c>
      <c r="Y1191" s="2">
        <f>Table4[[#This Row],[av_lin]]+2*Table4[[#This Row],[std_lin]]</f>
        <v>0.1201274074074074</v>
      </c>
    </row>
    <row r="1192" spans="1:25" x14ac:dyDescent="0.35">
      <c r="A1192" s="1">
        <v>1867</v>
      </c>
      <c r="B1192" t="s">
        <v>829</v>
      </c>
      <c r="C1192" t="s">
        <v>549</v>
      </c>
      <c r="D1192" t="s">
        <v>759</v>
      </c>
      <c r="E1192" s="2">
        <v>3.8504197530864197E-2</v>
      </c>
      <c r="F1192" s="2">
        <v>1.054335605348407E-2</v>
      </c>
      <c r="G1192">
        <v>27</v>
      </c>
      <c r="H1192" t="s">
        <v>58</v>
      </c>
      <c r="M1192" s="2">
        <v>5.959090963783234E-2</v>
      </c>
      <c r="N1192" s="2">
        <v>1.7417485423896061E-2</v>
      </c>
      <c r="O1192" s="2">
        <v>4.2173424213936293E-2</v>
      </c>
      <c r="P1192" s="2">
        <v>3.6519868375440492</v>
      </c>
      <c r="R1192" t="str">
        <f t="shared" si="54"/>
        <v>yes</v>
      </c>
      <c r="S1192" t="str">
        <f t="shared" si="55"/>
        <v>no</v>
      </c>
      <c r="T11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2" s="2" t="b">
        <f t="shared" si="56"/>
        <v>1</v>
      </c>
      <c r="V1192" s="2">
        <f>IF(Table4[[#This Row],[linear?]],Table4[[#This Row],[av]],10^(Table4[[#This Row],[av]]/10))</f>
        <v>3.8504197530864197E-2</v>
      </c>
      <c r="W1192" s="2">
        <f>IF(Table4[[#This Row],[linear?]],Table4[[#This Row],[av]],10^(Table4[[#This Row],[av]]/10))</f>
        <v>3.8504197530864197E-2</v>
      </c>
      <c r="X1192" s="2">
        <f>Table4[[#This Row],[av_lin]]-2*Table4[[#This Row],[std_lin]]</f>
        <v>-3.8504197530864197E-2</v>
      </c>
      <c r="Y1192" s="2">
        <f>Table4[[#This Row],[av_lin]]+2*Table4[[#This Row],[std_lin]]</f>
        <v>0.11551259259259258</v>
      </c>
    </row>
    <row r="1193" spans="1:25" x14ac:dyDescent="0.35">
      <c r="A1193" s="1">
        <v>1868</v>
      </c>
      <c r="B1193" t="s">
        <v>829</v>
      </c>
      <c r="C1193" t="s">
        <v>549</v>
      </c>
      <c r="D1193" t="s">
        <v>760</v>
      </c>
      <c r="E1193" s="2">
        <v>3.4263580246913582E-2</v>
      </c>
      <c r="F1193" s="2">
        <v>8.1813705245812277E-3</v>
      </c>
      <c r="G1193">
        <v>27</v>
      </c>
      <c r="H1193" t="s">
        <v>58</v>
      </c>
      <c r="M1193" s="2">
        <v>5.0626321296076041E-2</v>
      </c>
      <c r="N1193" s="2">
        <v>1.790083919775113E-2</v>
      </c>
      <c r="O1193" s="2">
        <v>3.2725482098324918E-2</v>
      </c>
      <c r="P1193" s="2">
        <v>4.1880000598881812</v>
      </c>
      <c r="R1193" t="str">
        <f t="shared" si="54"/>
        <v>yes</v>
      </c>
      <c r="S1193" t="str">
        <f t="shared" si="55"/>
        <v>no</v>
      </c>
      <c r="T11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3" s="2" t="b">
        <f t="shared" si="56"/>
        <v>1</v>
      </c>
      <c r="V1193" s="2">
        <f>IF(Table4[[#This Row],[linear?]],Table4[[#This Row],[av]],10^(Table4[[#This Row],[av]]/10))</f>
        <v>3.4263580246913582E-2</v>
      </c>
      <c r="W1193" s="2">
        <f>IF(Table4[[#This Row],[linear?]],Table4[[#This Row],[av]],10^(Table4[[#This Row],[av]]/10))</f>
        <v>3.4263580246913582E-2</v>
      </c>
      <c r="X1193" s="2">
        <f>Table4[[#This Row],[av_lin]]-2*Table4[[#This Row],[std_lin]]</f>
        <v>-3.4263580246913582E-2</v>
      </c>
      <c r="Y1193" s="2">
        <f>Table4[[#This Row],[av_lin]]+2*Table4[[#This Row],[std_lin]]</f>
        <v>0.10279074074074074</v>
      </c>
    </row>
    <row r="1194" spans="1:25" x14ac:dyDescent="0.35">
      <c r="A1194" s="1">
        <v>1869</v>
      </c>
      <c r="B1194" t="s">
        <v>829</v>
      </c>
      <c r="C1194" t="s">
        <v>549</v>
      </c>
      <c r="D1194" t="s">
        <v>761</v>
      </c>
      <c r="E1194" s="2">
        <v>7.6402222222222219E-2</v>
      </c>
      <c r="F1194" s="2">
        <v>6.3844945705437851E-3</v>
      </c>
      <c r="G1194">
        <v>27</v>
      </c>
      <c r="H1194" t="s">
        <v>58</v>
      </c>
      <c r="M1194" s="2">
        <v>8.9171211363309785E-2</v>
      </c>
      <c r="N1194" s="2">
        <v>6.3633233081134652E-2</v>
      </c>
      <c r="O1194" s="2">
        <v>2.553797828217513E-2</v>
      </c>
      <c r="P1194" s="2">
        <v>11.96683956388968</v>
      </c>
      <c r="R1194" t="str">
        <f t="shared" si="54"/>
        <v>yes</v>
      </c>
      <c r="S1194" t="str">
        <f t="shared" si="55"/>
        <v>no</v>
      </c>
      <c r="T11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4" s="2" t="b">
        <f t="shared" si="56"/>
        <v>1</v>
      </c>
      <c r="V1194" s="2">
        <f>IF(Table4[[#This Row],[linear?]],Table4[[#This Row],[av]],10^(Table4[[#This Row],[av]]/10))</f>
        <v>7.6402222222222219E-2</v>
      </c>
      <c r="W1194" s="2">
        <f>IF(Table4[[#This Row],[linear?]],Table4[[#This Row],[av]],10^(Table4[[#This Row],[av]]/10))</f>
        <v>7.6402222222222219E-2</v>
      </c>
      <c r="X1194" s="2">
        <f>Table4[[#This Row],[av_lin]]-2*Table4[[#This Row],[std_lin]]</f>
        <v>-7.6402222222222219E-2</v>
      </c>
      <c r="Y1194" s="2">
        <f>Table4[[#This Row],[av_lin]]+2*Table4[[#This Row],[std_lin]]</f>
        <v>0.22920666666666667</v>
      </c>
    </row>
    <row r="1195" spans="1:25" x14ac:dyDescent="0.35">
      <c r="A1195" s="1">
        <v>1871</v>
      </c>
      <c r="B1195" t="s">
        <v>829</v>
      </c>
      <c r="C1195" t="s">
        <v>549</v>
      </c>
      <c r="D1195" t="s">
        <v>763</v>
      </c>
      <c r="E1195" s="2">
        <v>4.2326543209876548E-2</v>
      </c>
      <c r="F1195" s="2">
        <v>6.0498100685190698E-3</v>
      </c>
      <c r="G1195">
        <v>27</v>
      </c>
      <c r="H1195" t="s">
        <v>58</v>
      </c>
      <c r="M1195" s="2">
        <v>5.4426163346914691E-2</v>
      </c>
      <c r="N1195" s="2">
        <v>3.0226923072838412E-2</v>
      </c>
      <c r="O1195" s="2">
        <v>2.4199240274076279E-2</v>
      </c>
      <c r="P1195" s="2">
        <v>6.9963424852174976</v>
      </c>
      <c r="R1195" t="str">
        <f t="shared" si="54"/>
        <v>yes</v>
      </c>
      <c r="S1195" t="str">
        <f t="shared" si="55"/>
        <v>no</v>
      </c>
      <c r="T11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5" s="2" t="b">
        <f t="shared" si="56"/>
        <v>1</v>
      </c>
      <c r="V1195" s="2">
        <f>IF(Table4[[#This Row],[linear?]],Table4[[#This Row],[av]],10^(Table4[[#This Row],[av]]/10))</f>
        <v>4.2326543209876548E-2</v>
      </c>
      <c r="W1195" s="2">
        <f>IF(Table4[[#This Row],[linear?]],Table4[[#This Row],[av]],10^(Table4[[#This Row],[av]]/10))</f>
        <v>4.2326543209876548E-2</v>
      </c>
      <c r="X1195" s="2">
        <f>Table4[[#This Row],[av_lin]]-2*Table4[[#This Row],[std_lin]]</f>
        <v>-4.2326543209876548E-2</v>
      </c>
      <c r="Y1195" s="2">
        <f>Table4[[#This Row],[av_lin]]+2*Table4[[#This Row],[std_lin]]</f>
        <v>0.12697962962962964</v>
      </c>
    </row>
    <row r="1196" spans="1:25" x14ac:dyDescent="0.35">
      <c r="A1196" s="1">
        <v>1872</v>
      </c>
      <c r="B1196" t="s">
        <v>829</v>
      </c>
      <c r="C1196" t="s">
        <v>549</v>
      </c>
      <c r="D1196" t="s">
        <v>764</v>
      </c>
      <c r="E1196" s="2">
        <v>4.3996790123456787E-2</v>
      </c>
      <c r="F1196" s="2">
        <v>5.4081384647754333E-3</v>
      </c>
      <c r="G1196">
        <v>27</v>
      </c>
      <c r="H1196" t="s">
        <v>58</v>
      </c>
      <c r="M1196" s="2">
        <v>5.4813067053007647E-2</v>
      </c>
      <c r="N1196" s="2">
        <v>3.3180513193905921E-2</v>
      </c>
      <c r="O1196" s="2">
        <v>2.163255385910173E-2</v>
      </c>
      <c r="P1196" s="2">
        <v>8.1352928387501446</v>
      </c>
      <c r="R1196" t="str">
        <f t="shared" si="54"/>
        <v>yes</v>
      </c>
      <c r="S1196" t="str">
        <f t="shared" si="55"/>
        <v>no</v>
      </c>
      <c r="T11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6" s="2" t="b">
        <f t="shared" si="56"/>
        <v>1</v>
      </c>
      <c r="V1196" s="2">
        <f>IF(Table4[[#This Row],[linear?]],Table4[[#This Row],[av]],10^(Table4[[#This Row],[av]]/10))</f>
        <v>4.3996790123456787E-2</v>
      </c>
      <c r="W1196" s="2">
        <f>IF(Table4[[#This Row],[linear?]],Table4[[#This Row],[av]],10^(Table4[[#This Row],[av]]/10))</f>
        <v>4.3996790123456787E-2</v>
      </c>
      <c r="X1196" s="2">
        <f>Table4[[#This Row],[av_lin]]-2*Table4[[#This Row],[std_lin]]</f>
        <v>-4.3996790123456787E-2</v>
      </c>
      <c r="Y1196" s="2">
        <f>Table4[[#This Row],[av_lin]]+2*Table4[[#This Row],[std_lin]]</f>
        <v>0.13199037037037037</v>
      </c>
    </row>
    <row r="1197" spans="1:25" x14ac:dyDescent="0.35">
      <c r="A1197" s="1">
        <v>1873</v>
      </c>
      <c r="B1197" t="s">
        <v>829</v>
      </c>
      <c r="C1197" t="s">
        <v>549</v>
      </c>
      <c r="D1197" t="s">
        <v>765</v>
      </c>
      <c r="E1197" s="2">
        <v>4.1565308641975308E-2</v>
      </c>
      <c r="F1197" s="2">
        <v>5.1915712485878706E-3</v>
      </c>
      <c r="G1197">
        <v>27</v>
      </c>
      <c r="H1197" t="s">
        <v>58</v>
      </c>
      <c r="M1197" s="2">
        <v>5.1948451139151051E-2</v>
      </c>
      <c r="N1197" s="2">
        <v>3.1182166144799569E-2</v>
      </c>
      <c r="O1197" s="2">
        <v>2.0766284994351489E-2</v>
      </c>
      <c r="P1197" s="2">
        <v>8.0063061165309541</v>
      </c>
      <c r="R1197" t="str">
        <f t="shared" si="54"/>
        <v>yes</v>
      </c>
      <c r="S1197" t="str">
        <f t="shared" si="55"/>
        <v>no</v>
      </c>
      <c r="T11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7" s="2" t="b">
        <f t="shared" si="56"/>
        <v>1</v>
      </c>
      <c r="V1197" s="2">
        <f>IF(Table4[[#This Row],[linear?]],Table4[[#This Row],[av]],10^(Table4[[#This Row],[av]]/10))</f>
        <v>4.1565308641975308E-2</v>
      </c>
      <c r="W1197" s="2">
        <f>IF(Table4[[#This Row],[linear?]],Table4[[#This Row],[av]],10^(Table4[[#This Row],[av]]/10))</f>
        <v>4.1565308641975308E-2</v>
      </c>
      <c r="X1197" s="2">
        <f>Table4[[#This Row],[av_lin]]-2*Table4[[#This Row],[std_lin]]</f>
        <v>-4.1565308641975308E-2</v>
      </c>
      <c r="Y1197" s="2">
        <f>Table4[[#This Row],[av_lin]]+2*Table4[[#This Row],[std_lin]]</f>
        <v>0.12469592592592593</v>
      </c>
    </row>
    <row r="1198" spans="1:25" x14ac:dyDescent="0.35">
      <c r="A1198" s="1">
        <v>1875</v>
      </c>
      <c r="B1198" t="s">
        <v>829</v>
      </c>
      <c r="C1198" t="s">
        <v>549</v>
      </c>
      <c r="D1198" t="s">
        <v>767</v>
      </c>
      <c r="E1198" s="2">
        <v>3.2961604938271598E-2</v>
      </c>
      <c r="F1198" s="2">
        <v>8.614085618382207E-3</v>
      </c>
      <c r="G1198">
        <v>27</v>
      </c>
      <c r="H1198" t="s">
        <v>58</v>
      </c>
      <c r="M1198" s="2">
        <v>5.0189776175036012E-2</v>
      </c>
      <c r="N1198" s="2">
        <v>1.573343370150718E-2</v>
      </c>
      <c r="O1198" s="2">
        <v>3.4456342473528828E-2</v>
      </c>
      <c r="P1198" s="2">
        <v>3.8264775158413209</v>
      </c>
      <c r="R1198" t="str">
        <f t="shared" si="54"/>
        <v>yes</v>
      </c>
      <c r="S1198" t="str">
        <f t="shared" si="55"/>
        <v>no</v>
      </c>
      <c r="T11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8" s="2" t="b">
        <f t="shared" si="56"/>
        <v>1</v>
      </c>
      <c r="V1198" s="2">
        <f>IF(Table4[[#This Row],[linear?]],Table4[[#This Row],[av]],10^(Table4[[#This Row],[av]]/10))</f>
        <v>3.2961604938271598E-2</v>
      </c>
      <c r="W1198" s="2">
        <f>IF(Table4[[#This Row],[linear?]],Table4[[#This Row],[av]],10^(Table4[[#This Row],[av]]/10))</f>
        <v>3.2961604938271598E-2</v>
      </c>
      <c r="X1198" s="2">
        <f>Table4[[#This Row],[av_lin]]-2*Table4[[#This Row],[std_lin]]</f>
        <v>-3.2961604938271598E-2</v>
      </c>
      <c r="Y1198" s="2">
        <f>Table4[[#This Row],[av_lin]]+2*Table4[[#This Row],[std_lin]]</f>
        <v>9.8884814814814787E-2</v>
      </c>
    </row>
    <row r="1199" spans="1:25" x14ac:dyDescent="0.35">
      <c r="A1199" s="1">
        <v>1876</v>
      </c>
      <c r="B1199" t="s">
        <v>829</v>
      </c>
      <c r="C1199" t="s">
        <v>549</v>
      </c>
      <c r="D1199" t="s">
        <v>768</v>
      </c>
      <c r="E1199" s="2">
        <v>3.5377037037037033E-2</v>
      </c>
      <c r="F1199" s="2">
        <v>1.0029078016963341E-2</v>
      </c>
      <c r="G1199">
        <v>27</v>
      </c>
      <c r="H1199" t="s">
        <v>58</v>
      </c>
      <c r="M1199" s="2">
        <v>5.5435193070963708E-2</v>
      </c>
      <c r="N1199" s="2">
        <v>1.531888100311035E-2</v>
      </c>
      <c r="O1199" s="2">
        <v>4.0116312067853363E-2</v>
      </c>
      <c r="P1199" s="2">
        <v>3.5274465885298478</v>
      </c>
      <c r="R1199" t="str">
        <f t="shared" si="54"/>
        <v>yes</v>
      </c>
      <c r="S1199" t="str">
        <f t="shared" si="55"/>
        <v>no</v>
      </c>
      <c r="T11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9" s="2" t="b">
        <f t="shared" si="56"/>
        <v>1</v>
      </c>
      <c r="V1199" s="2">
        <f>IF(Table4[[#This Row],[linear?]],Table4[[#This Row],[av]],10^(Table4[[#This Row],[av]]/10))</f>
        <v>3.5377037037037033E-2</v>
      </c>
      <c r="W1199" s="2">
        <f>IF(Table4[[#This Row],[linear?]],Table4[[#This Row],[av]],10^(Table4[[#This Row],[av]]/10))</f>
        <v>3.5377037037037033E-2</v>
      </c>
      <c r="X1199" s="2">
        <f>Table4[[#This Row],[av_lin]]-2*Table4[[#This Row],[std_lin]]</f>
        <v>-3.5377037037037033E-2</v>
      </c>
      <c r="Y1199" s="2">
        <f>Table4[[#This Row],[av_lin]]+2*Table4[[#This Row],[std_lin]]</f>
        <v>0.10613111111111109</v>
      </c>
    </row>
    <row r="1200" spans="1:25" x14ac:dyDescent="0.35">
      <c r="A1200" s="1">
        <v>1877</v>
      </c>
      <c r="B1200" t="s">
        <v>829</v>
      </c>
      <c r="C1200" t="s">
        <v>549</v>
      </c>
      <c r="D1200" t="s">
        <v>769</v>
      </c>
      <c r="E1200" s="2">
        <v>2.6925802469135798E-2</v>
      </c>
      <c r="F1200" s="2">
        <v>5.2162674219504964E-3</v>
      </c>
      <c r="G1200">
        <v>27</v>
      </c>
      <c r="H1200" t="s">
        <v>58</v>
      </c>
      <c r="M1200" s="2">
        <v>3.7358337313036789E-2</v>
      </c>
      <c r="N1200" s="2">
        <v>1.6493267625234811E-2</v>
      </c>
      <c r="O1200" s="2">
        <v>2.0865069687801979E-2</v>
      </c>
      <c r="P1200" s="2">
        <v>5.1618907335597353</v>
      </c>
      <c r="R1200" t="str">
        <f t="shared" si="54"/>
        <v>yes</v>
      </c>
      <c r="S1200" t="str">
        <f t="shared" si="55"/>
        <v>no</v>
      </c>
      <c r="T12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0" s="2" t="b">
        <f t="shared" si="56"/>
        <v>1</v>
      </c>
      <c r="V1200" s="2">
        <f>IF(Table4[[#This Row],[linear?]],Table4[[#This Row],[av]],10^(Table4[[#This Row],[av]]/10))</f>
        <v>2.6925802469135798E-2</v>
      </c>
      <c r="W1200" s="2">
        <f>IF(Table4[[#This Row],[linear?]],Table4[[#This Row],[av]],10^(Table4[[#This Row],[av]]/10))</f>
        <v>2.6925802469135798E-2</v>
      </c>
      <c r="X1200" s="2">
        <f>Table4[[#This Row],[av_lin]]-2*Table4[[#This Row],[std_lin]]</f>
        <v>-2.6925802469135798E-2</v>
      </c>
      <c r="Y1200" s="2">
        <f>Table4[[#This Row],[av_lin]]+2*Table4[[#This Row],[std_lin]]</f>
        <v>8.0777407407407395E-2</v>
      </c>
    </row>
    <row r="1201" spans="1:25" x14ac:dyDescent="0.35">
      <c r="A1201" s="1">
        <v>1878</v>
      </c>
      <c r="B1201" t="s">
        <v>829</v>
      </c>
      <c r="C1201" t="s">
        <v>549</v>
      </c>
      <c r="D1201" t="s">
        <v>770</v>
      </c>
      <c r="E1201" s="2">
        <v>7.244271604938271E-2</v>
      </c>
      <c r="F1201" s="2">
        <v>5.8354165075910659E-3</v>
      </c>
      <c r="G1201">
        <v>27</v>
      </c>
      <c r="H1201" t="s">
        <v>58</v>
      </c>
      <c r="M1201" s="2">
        <v>8.4113549064564835E-2</v>
      </c>
      <c r="N1201" s="2">
        <v>6.0771883034200579E-2</v>
      </c>
      <c r="O1201" s="2">
        <v>2.334166603036426E-2</v>
      </c>
      <c r="P1201" s="2">
        <v>12.41431797629952</v>
      </c>
      <c r="R1201" t="str">
        <f t="shared" si="54"/>
        <v>yes</v>
      </c>
      <c r="S1201" t="str">
        <f t="shared" si="55"/>
        <v>no</v>
      </c>
      <c r="T12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1" s="2" t="b">
        <f t="shared" si="56"/>
        <v>1</v>
      </c>
      <c r="V1201" s="2">
        <f>IF(Table4[[#This Row],[linear?]],Table4[[#This Row],[av]],10^(Table4[[#This Row],[av]]/10))</f>
        <v>7.244271604938271E-2</v>
      </c>
      <c r="W1201" s="2">
        <f>IF(Table4[[#This Row],[linear?]],Table4[[#This Row],[av]],10^(Table4[[#This Row],[av]]/10))</f>
        <v>7.244271604938271E-2</v>
      </c>
      <c r="X1201" s="2">
        <f>Table4[[#This Row],[av_lin]]-2*Table4[[#This Row],[std_lin]]</f>
        <v>-7.244271604938271E-2</v>
      </c>
      <c r="Y1201" s="2">
        <f>Table4[[#This Row],[av_lin]]+2*Table4[[#This Row],[std_lin]]</f>
        <v>0.21732814814814813</v>
      </c>
    </row>
    <row r="1202" spans="1:25" x14ac:dyDescent="0.35">
      <c r="A1202" s="1">
        <v>1880</v>
      </c>
      <c r="B1202" t="s">
        <v>829</v>
      </c>
      <c r="C1202" t="s">
        <v>549</v>
      </c>
      <c r="D1202" t="s">
        <v>772</v>
      </c>
      <c r="E1202" s="2">
        <v>3.694222222222223E-2</v>
      </c>
      <c r="F1202" s="2">
        <v>3.9720877687399719E-3</v>
      </c>
      <c r="G1202">
        <v>27</v>
      </c>
      <c r="H1202" t="s">
        <v>58</v>
      </c>
      <c r="M1202" s="2">
        <v>4.4886397759702171E-2</v>
      </c>
      <c r="N1202" s="2">
        <v>2.899804668474229E-2</v>
      </c>
      <c r="O1202" s="2">
        <v>1.5888351074959881E-2</v>
      </c>
      <c r="P1202" s="2">
        <v>9.300454665920201</v>
      </c>
      <c r="R1202" t="str">
        <f t="shared" si="54"/>
        <v>yes</v>
      </c>
      <c r="S1202" t="str">
        <f t="shared" si="55"/>
        <v>no</v>
      </c>
      <c r="T12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2" s="2" t="b">
        <f t="shared" si="56"/>
        <v>1</v>
      </c>
      <c r="V1202" s="2">
        <f>IF(Table4[[#This Row],[linear?]],Table4[[#This Row],[av]],10^(Table4[[#This Row],[av]]/10))</f>
        <v>3.694222222222223E-2</v>
      </c>
      <c r="W1202" s="2">
        <f>IF(Table4[[#This Row],[linear?]],Table4[[#This Row],[av]],10^(Table4[[#This Row],[av]]/10))</f>
        <v>3.694222222222223E-2</v>
      </c>
      <c r="X1202" s="2">
        <f>Table4[[#This Row],[av_lin]]-2*Table4[[#This Row],[std_lin]]</f>
        <v>-3.694222222222223E-2</v>
      </c>
      <c r="Y1202" s="2">
        <f>Table4[[#This Row],[av_lin]]+2*Table4[[#This Row],[std_lin]]</f>
        <v>0.11082666666666668</v>
      </c>
    </row>
    <row r="1203" spans="1:25" x14ac:dyDescent="0.35">
      <c r="A1203" s="1">
        <v>1881</v>
      </c>
      <c r="B1203" t="s">
        <v>829</v>
      </c>
      <c r="C1203" t="s">
        <v>549</v>
      </c>
      <c r="D1203" t="s">
        <v>773</v>
      </c>
      <c r="E1203" s="2">
        <v>4.3022592592592591E-2</v>
      </c>
      <c r="F1203" s="2">
        <v>4.6382023865415654E-3</v>
      </c>
      <c r="G1203">
        <v>27</v>
      </c>
      <c r="H1203" t="s">
        <v>58</v>
      </c>
      <c r="M1203" s="2">
        <v>5.2298997365675733E-2</v>
      </c>
      <c r="N1203" s="2">
        <v>3.3746187819509457E-2</v>
      </c>
      <c r="O1203" s="2">
        <v>1.8552809546166268E-2</v>
      </c>
      <c r="P1203" s="2">
        <v>9.2757040351298699</v>
      </c>
      <c r="R1203" t="str">
        <f t="shared" si="54"/>
        <v>yes</v>
      </c>
      <c r="S1203" t="str">
        <f t="shared" si="55"/>
        <v>no</v>
      </c>
      <c r="T12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3" s="2" t="b">
        <f t="shared" si="56"/>
        <v>1</v>
      </c>
      <c r="V1203" s="2">
        <f>IF(Table4[[#This Row],[linear?]],Table4[[#This Row],[av]],10^(Table4[[#This Row],[av]]/10))</f>
        <v>4.3022592592592591E-2</v>
      </c>
      <c r="W1203" s="2">
        <f>IF(Table4[[#This Row],[linear?]],Table4[[#This Row],[av]],10^(Table4[[#This Row],[av]]/10))</f>
        <v>4.3022592592592591E-2</v>
      </c>
      <c r="X1203" s="2">
        <f>Table4[[#This Row],[av_lin]]-2*Table4[[#This Row],[std_lin]]</f>
        <v>-4.3022592592592591E-2</v>
      </c>
      <c r="Y1203" s="2">
        <f>Table4[[#This Row],[av_lin]]+2*Table4[[#This Row],[std_lin]]</f>
        <v>0.12906777777777778</v>
      </c>
    </row>
    <row r="1204" spans="1:25" x14ac:dyDescent="0.35">
      <c r="A1204" s="1">
        <v>1882</v>
      </c>
      <c r="B1204" t="s">
        <v>829</v>
      </c>
      <c r="C1204" t="s">
        <v>549</v>
      </c>
      <c r="D1204" t="s">
        <v>774</v>
      </c>
      <c r="E1204" s="2">
        <v>3.6496296296296298E-2</v>
      </c>
      <c r="F1204" s="2">
        <v>5.04994497100336E-3</v>
      </c>
      <c r="G1204">
        <v>27</v>
      </c>
      <c r="H1204" t="s">
        <v>58</v>
      </c>
      <c r="M1204" s="2">
        <v>4.6596186238303007E-2</v>
      </c>
      <c r="N1204" s="2">
        <v>2.6396406354289581E-2</v>
      </c>
      <c r="O1204" s="2">
        <v>2.019977988401344E-2</v>
      </c>
      <c r="P1204" s="2">
        <v>7.2270681177432614</v>
      </c>
      <c r="R1204" t="str">
        <f t="shared" si="54"/>
        <v>yes</v>
      </c>
      <c r="S1204" t="str">
        <f t="shared" si="55"/>
        <v>no</v>
      </c>
      <c r="T12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4" s="2" t="b">
        <f t="shared" si="56"/>
        <v>1</v>
      </c>
      <c r="V1204" s="2">
        <f>IF(Table4[[#This Row],[linear?]],Table4[[#This Row],[av]],10^(Table4[[#This Row],[av]]/10))</f>
        <v>3.6496296296296298E-2</v>
      </c>
      <c r="W1204" s="2">
        <f>IF(Table4[[#This Row],[linear?]],Table4[[#This Row],[av]],10^(Table4[[#This Row],[av]]/10))</f>
        <v>3.6496296296296298E-2</v>
      </c>
      <c r="X1204" s="2">
        <f>Table4[[#This Row],[av_lin]]-2*Table4[[#This Row],[std_lin]]</f>
        <v>-3.6496296296296298E-2</v>
      </c>
      <c r="Y1204" s="2">
        <f>Table4[[#This Row],[av_lin]]+2*Table4[[#This Row],[std_lin]]</f>
        <v>0.10948888888888889</v>
      </c>
    </row>
    <row r="1205" spans="1:25" x14ac:dyDescent="0.35">
      <c r="A1205" s="1">
        <v>1883</v>
      </c>
      <c r="B1205" t="s">
        <v>829</v>
      </c>
      <c r="C1205" t="s">
        <v>549</v>
      </c>
      <c r="D1205" t="s">
        <v>775</v>
      </c>
      <c r="E1205" s="2">
        <v>3.4861728395061738E-3</v>
      </c>
      <c r="F1205" s="2">
        <v>2.1136107263599992E-3</v>
      </c>
      <c r="G1205">
        <v>27</v>
      </c>
      <c r="H1205" t="s">
        <v>58</v>
      </c>
      <c r="M1205" s="2">
        <v>7.7133942922261722E-3</v>
      </c>
      <c r="N1205" s="2">
        <v>-7.4104861321382456E-4</v>
      </c>
      <c r="O1205" s="2">
        <v>8.4544429054399968E-3</v>
      </c>
      <c r="P1205" s="2">
        <v>1.649392102352718</v>
      </c>
      <c r="R1205" t="str">
        <f t="shared" si="54"/>
        <v>yes</v>
      </c>
      <c r="S1205" t="str">
        <f t="shared" si="55"/>
        <v>no</v>
      </c>
      <c r="T12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5" s="2" t="b">
        <f t="shared" si="56"/>
        <v>1</v>
      </c>
      <c r="V1205" s="2">
        <f>IF(Table4[[#This Row],[linear?]],Table4[[#This Row],[av]],10^(Table4[[#This Row],[av]]/10))</f>
        <v>3.4861728395061738E-3</v>
      </c>
      <c r="W1205" s="2">
        <f>IF(Table4[[#This Row],[linear?]],Table4[[#This Row],[av]],10^(Table4[[#This Row],[av]]/10))</f>
        <v>3.4861728395061738E-3</v>
      </c>
      <c r="X1205" s="2">
        <f>Table4[[#This Row],[av_lin]]-2*Table4[[#This Row],[std_lin]]</f>
        <v>-3.4861728395061738E-3</v>
      </c>
      <c r="Y1205" s="2">
        <f>Table4[[#This Row],[av_lin]]+2*Table4[[#This Row],[std_lin]]</f>
        <v>1.0458518518518522E-2</v>
      </c>
    </row>
    <row r="1206" spans="1:25" x14ac:dyDescent="0.35">
      <c r="A1206" s="1">
        <v>1885</v>
      </c>
      <c r="B1206" t="s">
        <v>829</v>
      </c>
      <c r="C1206" t="s">
        <v>549</v>
      </c>
      <c r="D1206" t="s">
        <v>777</v>
      </c>
      <c r="E1206" s="2">
        <v>2.7129629629629639E-3</v>
      </c>
      <c r="F1206" s="2">
        <v>2.0818020889629232E-3</v>
      </c>
      <c r="G1206">
        <v>27</v>
      </c>
      <c r="H1206" t="s">
        <v>58</v>
      </c>
      <c r="M1206" s="2">
        <v>6.8765671408888103E-3</v>
      </c>
      <c r="N1206" s="2">
        <v>-1.450641214962882E-3</v>
      </c>
      <c r="O1206" s="2">
        <v>8.3272083558516927E-3</v>
      </c>
      <c r="P1206" s="2">
        <v>1.303180056041956</v>
      </c>
      <c r="R1206" t="str">
        <f t="shared" si="54"/>
        <v>yes</v>
      </c>
      <c r="S1206" t="str">
        <f t="shared" si="55"/>
        <v>no</v>
      </c>
      <c r="T12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6" s="2" t="b">
        <f t="shared" si="56"/>
        <v>1</v>
      </c>
      <c r="V1206" s="2">
        <f>IF(Table4[[#This Row],[linear?]],Table4[[#This Row],[av]],10^(Table4[[#This Row],[av]]/10))</f>
        <v>2.7129629629629639E-3</v>
      </c>
      <c r="W1206" s="2">
        <f>IF(Table4[[#This Row],[linear?]],Table4[[#This Row],[av]],10^(Table4[[#This Row],[av]]/10))</f>
        <v>2.7129629629629639E-3</v>
      </c>
      <c r="X1206" s="2">
        <f>Table4[[#This Row],[av_lin]]-2*Table4[[#This Row],[std_lin]]</f>
        <v>-2.7129629629629639E-3</v>
      </c>
      <c r="Y1206" s="2">
        <f>Table4[[#This Row],[av_lin]]+2*Table4[[#This Row],[std_lin]]</f>
        <v>8.1388888888888917E-3</v>
      </c>
    </row>
    <row r="1207" spans="1:25" x14ac:dyDescent="0.35">
      <c r="A1207" s="1">
        <v>1887</v>
      </c>
      <c r="B1207" t="s">
        <v>829</v>
      </c>
      <c r="C1207" t="s">
        <v>549</v>
      </c>
      <c r="D1207" t="s">
        <v>779</v>
      </c>
      <c r="E1207" s="2">
        <v>2.5413950617283951E-2</v>
      </c>
      <c r="F1207" s="2">
        <v>3.310986360455276E-3</v>
      </c>
      <c r="G1207">
        <v>27</v>
      </c>
      <c r="H1207" t="s">
        <v>58</v>
      </c>
      <c r="M1207" s="2">
        <v>3.2035923338194501E-2</v>
      </c>
      <c r="N1207" s="2">
        <v>1.87919778963734E-2</v>
      </c>
      <c r="O1207" s="2">
        <v>1.3243945441821101E-2</v>
      </c>
      <c r="P1207" s="2">
        <v>7.6756434036742496</v>
      </c>
      <c r="R1207" t="str">
        <f t="shared" si="54"/>
        <v>yes</v>
      </c>
      <c r="S1207" t="str">
        <f t="shared" si="55"/>
        <v>no</v>
      </c>
      <c r="T12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7" s="2" t="b">
        <f t="shared" si="56"/>
        <v>1</v>
      </c>
      <c r="V1207" s="2">
        <f>IF(Table4[[#This Row],[linear?]],Table4[[#This Row],[av]],10^(Table4[[#This Row],[av]]/10))</f>
        <v>2.5413950617283951E-2</v>
      </c>
      <c r="W1207" s="2">
        <f>IF(Table4[[#This Row],[linear?]],Table4[[#This Row],[av]],10^(Table4[[#This Row],[av]]/10))</f>
        <v>2.5413950617283951E-2</v>
      </c>
      <c r="X1207" s="2">
        <f>Table4[[#This Row],[av_lin]]-2*Table4[[#This Row],[std_lin]]</f>
        <v>-2.5413950617283951E-2</v>
      </c>
      <c r="Y1207" s="2">
        <f>Table4[[#This Row],[av_lin]]+2*Table4[[#This Row],[std_lin]]</f>
        <v>7.6241851851851852E-2</v>
      </c>
    </row>
    <row r="1208" spans="1:25" x14ac:dyDescent="0.35">
      <c r="A1208" s="1">
        <v>1889</v>
      </c>
      <c r="B1208" t="s">
        <v>829</v>
      </c>
      <c r="C1208" t="s">
        <v>549</v>
      </c>
      <c r="D1208" t="s">
        <v>781</v>
      </c>
      <c r="E1208" s="2">
        <v>3.8853086419753089E-3</v>
      </c>
      <c r="F1208" s="2">
        <v>1.6075366224980331E-3</v>
      </c>
      <c r="G1208">
        <v>27</v>
      </c>
      <c r="H1208" t="s">
        <v>58</v>
      </c>
      <c r="M1208" s="2">
        <v>7.100381886971375E-3</v>
      </c>
      <c r="N1208" s="2">
        <v>6.7023539697924281E-4</v>
      </c>
      <c r="O1208" s="2">
        <v>6.4301464899921322E-3</v>
      </c>
      <c r="P1208" s="2">
        <v>2.416933205501552</v>
      </c>
      <c r="R1208" t="str">
        <f t="shared" si="54"/>
        <v>yes</v>
      </c>
      <c r="S1208" t="str">
        <f t="shared" si="55"/>
        <v>no</v>
      </c>
      <c r="T12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8" s="2" t="b">
        <f t="shared" si="56"/>
        <v>1</v>
      </c>
      <c r="V1208" s="2">
        <f>IF(Table4[[#This Row],[linear?]],Table4[[#This Row],[av]],10^(Table4[[#This Row],[av]]/10))</f>
        <v>3.8853086419753089E-3</v>
      </c>
      <c r="W1208" s="2">
        <f>IF(Table4[[#This Row],[linear?]],Table4[[#This Row],[av]],10^(Table4[[#This Row],[av]]/10))</f>
        <v>3.8853086419753089E-3</v>
      </c>
      <c r="X1208" s="2">
        <f>Table4[[#This Row],[av_lin]]-2*Table4[[#This Row],[std_lin]]</f>
        <v>-3.8853086419753089E-3</v>
      </c>
      <c r="Y1208" s="2">
        <f>Table4[[#This Row],[av_lin]]+2*Table4[[#This Row],[std_lin]]</f>
        <v>1.1655925925925927E-2</v>
      </c>
    </row>
    <row r="1209" spans="1:25" x14ac:dyDescent="0.35">
      <c r="A1209" s="1">
        <v>1891</v>
      </c>
      <c r="B1209" t="s">
        <v>829</v>
      </c>
      <c r="C1209" t="s">
        <v>549</v>
      </c>
      <c r="D1209" t="s">
        <v>783</v>
      </c>
      <c r="E1209" s="2">
        <v>2.7176543209876539E-3</v>
      </c>
      <c r="F1209" s="2">
        <v>1.75240141795562E-3</v>
      </c>
      <c r="G1209">
        <v>27</v>
      </c>
      <c r="H1209" t="s">
        <v>58</v>
      </c>
      <c r="M1209" s="2">
        <v>6.2224571568988939E-3</v>
      </c>
      <c r="N1209" s="2">
        <v>-7.8714851492358608E-4</v>
      </c>
      <c r="O1209" s="2">
        <v>7.0096056718224799E-3</v>
      </c>
      <c r="P1209" s="2">
        <v>1.5508172346482769</v>
      </c>
      <c r="R1209" t="str">
        <f t="shared" si="54"/>
        <v>yes</v>
      </c>
      <c r="S1209" t="str">
        <f t="shared" si="55"/>
        <v>no</v>
      </c>
      <c r="T12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9" s="2" t="b">
        <f t="shared" si="56"/>
        <v>1</v>
      </c>
      <c r="V1209" s="2">
        <f>IF(Table4[[#This Row],[linear?]],Table4[[#This Row],[av]],10^(Table4[[#This Row],[av]]/10))</f>
        <v>2.7176543209876539E-3</v>
      </c>
      <c r="W1209" s="2">
        <f>IF(Table4[[#This Row],[linear?]],Table4[[#This Row],[av]],10^(Table4[[#This Row],[av]]/10))</f>
        <v>2.7176543209876539E-3</v>
      </c>
      <c r="X1209" s="2">
        <f>Table4[[#This Row],[av_lin]]-2*Table4[[#This Row],[std_lin]]</f>
        <v>-2.7176543209876539E-3</v>
      </c>
      <c r="Y1209" s="2">
        <f>Table4[[#This Row],[av_lin]]+2*Table4[[#This Row],[std_lin]]</f>
        <v>8.1529629629629626E-3</v>
      </c>
    </row>
    <row r="1210" spans="1:25" x14ac:dyDescent="0.35">
      <c r="A1210" s="1">
        <v>1893</v>
      </c>
      <c r="B1210" t="s">
        <v>829</v>
      </c>
      <c r="C1210" t="s">
        <v>549</v>
      </c>
      <c r="D1210" t="s">
        <v>785</v>
      </c>
      <c r="E1210" s="2">
        <v>2.283913580246914E-2</v>
      </c>
      <c r="F1210" s="2">
        <v>3.5597797337563052E-3</v>
      </c>
      <c r="G1210">
        <v>27</v>
      </c>
      <c r="H1210" t="s">
        <v>58</v>
      </c>
      <c r="M1210" s="2">
        <v>2.9958695269981749E-2</v>
      </c>
      <c r="N1210" s="2">
        <v>1.571957633495653E-2</v>
      </c>
      <c r="O1210" s="2">
        <v>1.4239118935025221E-2</v>
      </c>
      <c r="P1210" s="2">
        <v>6.4158845520391568</v>
      </c>
      <c r="R1210" t="str">
        <f t="shared" si="54"/>
        <v>yes</v>
      </c>
      <c r="S1210" t="str">
        <f t="shared" si="55"/>
        <v>no</v>
      </c>
      <c r="T12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0" s="2" t="b">
        <f t="shared" si="56"/>
        <v>1</v>
      </c>
      <c r="V1210" s="2">
        <f>IF(Table4[[#This Row],[linear?]],Table4[[#This Row],[av]],10^(Table4[[#This Row],[av]]/10))</f>
        <v>2.283913580246914E-2</v>
      </c>
      <c r="W1210" s="2">
        <f>IF(Table4[[#This Row],[linear?]],Table4[[#This Row],[av]],10^(Table4[[#This Row],[av]]/10))</f>
        <v>2.283913580246914E-2</v>
      </c>
      <c r="X1210" s="2">
        <f>Table4[[#This Row],[av_lin]]-2*Table4[[#This Row],[std_lin]]</f>
        <v>-2.283913580246914E-2</v>
      </c>
      <c r="Y1210" s="2">
        <f>Table4[[#This Row],[av_lin]]+2*Table4[[#This Row],[std_lin]]</f>
        <v>6.8517407407407416E-2</v>
      </c>
    </row>
    <row r="1211" spans="1:25" x14ac:dyDescent="0.35">
      <c r="A1211" s="1">
        <v>1895</v>
      </c>
      <c r="B1211" t="s">
        <v>829</v>
      </c>
      <c r="C1211" t="s">
        <v>549</v>
      </c>
      <c r="D1211" t="s">
        <v>787</v>
      </c>
      <c r="E1211" s="2">
        <v>3.6971604938271611E-3</v>
      </c>
      <c r="F1211" s="2">
        <v>2.1748881234390578E-3</v>
      </c>
      <c r="G1211">
        <v>27</v>
      </c>
      <c r="H1211" t="s">
        <v>58</v>
      </c>
      <c r="M1211" s="2">
        <v>8.046936740705276E-3</v>
      </c>
      <c r="N1211" s="2">
        <v>-6.5261575305095455E-4</v>
      </c>
      <c r="O1211" s="2">
        <v>8.6995524937562296E-3</v>
      </c>
      <c r="P1211" s="2">
        <v>1.6999313454252529</v>
      </c>
      <c r="R1211" t="str">
        <f t="shared" si="54"/>
        <v>yes</v>
      </c>
      <c r="S1211" t="str">
        <f t="shared" si="55"/>
        <v>no</v>
      </c>
      <c r="T12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1" s="2" t="b">
        <f t="shared" si="56"/>
        <v>1</v>
      </c>
      <c r="V1211" s="2">
        <f>IF(Table4[[#This Row],[linear?]],Table4[[#This Row],[av]],10^(Table4[[#This Row],[av]]/10))</f>
        <v>3.6971604938271611E-3</v>
      </c>
      <c r="W1211" s="2">
        <f>IF(Table4[[#This Row],[linear?]],Table4[[#This Row],[av]],10^(Table4[[#This Row],[av]]/10))</f>
        <v>3.6971604938271611E-3</v>
      </c>
      <c r="X1211" s="2">
        <f>Table4[[#This Row],[av_lin]]-2*Table4[[#This Row],[std_lin]]</f>
        <v>-3.6971604938271611E-3</v>
      </c>
      <c r="Y1211" s="2">
        <f>Table4[[#This Row],[av_lin]]+2*Table4[[#This Row],[std_lin]]</f>
        <v>1.1091481481481483E-2</v>
      </c>
    </row>
    <row r="1212" spans="1:25" x14ac:dyDescent="0.35">
      <c r="A1212" s="1">
        <v>1897</v>
      </c>
      <c r="B1212" t="s">
        <v>829</v>
      </c>
      <c r="C1212" t="s">
        <v>549</v>
      </c>
      <c r="D1212" t="s">
        <v>789</v>
      </c>
      <c r="E1212" s="2">
        <v>2.2572839506172851E-3</v>
      </c>
      <c r="F1212" s="2">
        <v>1.5099562082666099E-3</v>
      </c>
      <c r="G1212">
        <v>27</v>
      </c>
      <c r="H1212" t="s">
        <v>58</v>
      </c>
      <c r="M1212" s="2">
        <v>5.2771963671505049E-3</v>
      </c>
      <c r="N1212" s="2">
        <v>-7.6262846591593474E-4</v>
      </c>
      <c r="O1212" s="2">
        <v>6.0398248330664397E-3</v>
      </c>
      <c r="P1212" s="2">
        <v>1.4949333883057361</v>
      </c>
      <c r="R1212" t="str">
        <f t="shared" si="54"/>
        <v>yes</v>
      </c>
      <c r="S1212" t="str">
        <f t="shared" si="55"/>
        <v>no</v>
      </c>
      <c r="T12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2" s="2" t="b">
        <f t="shared" si="56"/>
        <v>1</v>
      </c>
      <c r="V1212" s="2">
        <f>IF(Table4[[#This Row],[linear?]],Table4[[#This Row],[av]],10^(Table4[[#This Row],[av]]/10))</f>
        <v>2.2572839506172851E-3</v>
      </c>
      <c r="W1212" s="2">
        <f>IF(Table4[[#This Row],[linear?]],Table4[[#This Row],[av]],10^(Table4[[#This Row],[av]]/10))</f>
        <v>2.2572839506172851E-3</v>
      </c>
      <c r="X1212" s="2">
        <f>Table4[[#This Row],[av_lin]]-2*Table4[[#This Row],[std_lin]]</f>
        <v>-2.2572839506172851E-3</v>
      </c>
      <c r="Y1212" s="2">
        <f>Table4[[#This Row],[av_lin]]+2*Table4[[#This Row],[std_lin]]</f>
        <v>6.7718518518518553E-3</v>
      </c>
    </row>
    <row r="1213" spans="1:25" x14ac:dyDescent="0.35">
      <c r="A1213" s="1">
        <v>1899</v>
      </c>
      <c r="B1213" t="s">
        <v>829</v>
      </c>
      <c r="C1213" t="s">
        <v>549</v>
      </c>
      <c r="D1213" t="s">
        <v>791</v>
      </c>
      <c r="E1213" s="2">
        <v>2.1940864197530861E-2</v>
      </c>
      <c r="F1213" s="2">
        <v>2.785769783477359E-3</v>
      </c>
      <c r="G1213">
        <v>27</v>
      </c>
      <c r="H1213" t="s">
        <v>58</v>
      </c>
      <c r="M1213" s="2">
        <v>2.751240376448558E-2</v>
      </c>
      <c r="N1213" s="2">
        <v>1.6369324630576141E-2</v>
      </c>
      <c r="O1213" s="2">
        <v>1.1143079133909431E-2</v>
      </c>
      <c r="P1213" s="2">
        <v>7.8760507518115892</v>
      </c>
      <c r="R1213" t="str">
        <f t="shared" si="54"/>
        <v>yes</v>
      </c>
      <c r="S1213" t="str">
        <f t="shared" si="55"/>
        <v>no</v>
      </c>
      <c r="T12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3" s="2" t="b">
        <f t="shared" si="56"/>
        <v>1</v>
      </c>
      <c r="V1213" s="2">
        <f>IF(Table4[[#This Row],[linear?]],Table4[[#This Row],[av]],10^(Table4[[#This Row],[av]]/10))</f>
        <v>2.1940864197530861E-2</v>
      </c>
      <c r="W1213" s="2">
        <f>IF(Table4[[#This Row],[linear?]],Table4[[#This Row],[av]],10^(Table4[[#This Row],[av]]/10))</f>
        <v>2.1940864197530861E-2</v>
      </c>
      <c r="X1213" s="2">
        <f>Table4[[#This Row],[av_lin]]-2*Table4[[#This Row],[std_lin]]</f>
        <v>-2.1940864197530861E-2</v>
      </c>
      <c r="Y1213" s="2">
        <f>Table4[[#This Row],[av_lin]]+2*Table4[[#This Row],[std_lin]]</f>
        <v>6.5822592592592585E-2</v>
      </c>
    </row>
    <row r="1214" spans="1:25" x14ac:dyDescent="0.35">
      <c r="A1214" s="1">
        <v>1902</v>
      </c>
      <c r="B1214" t="s">
        <v>829</v>
      </c>
      <c r="C1214" t="s">
        <v>549</v>
      </c>
      <c r="D1214" t="s">
        <v>794</v>
      </c>
      <c r="E1214" s="2">
        <v>3.5666049382716038E-2</v>
      </c>
      <c r="F1214" s="2">
        <v>3.8414216595632649E-3</v>
      </c>
      <c r="G1214">
        <v>27</v>
      </c>
      <c r="H1214" t="s">
        <v>58</v>
      </c>
      <c r="M1214" s="2">
        <v>4.334889270184257E-2</v>
      </c>
      <c r="N1214" s="2">
        <v>2.7983206063589509E-2</v>
      </c>
      <c r="O1214" s="2">
        <v>1.536568663825306E-2</v>
      </c>
      <c r="P1214" s="2">
        <v>9.2845963144725303</v>
      </c>
      <c r="R1214" t="str">
        <f t="shared" si="54"/>
        <v>yes</v>
      </c>
      <c r="S1214" t="str">
        <f t="shared" si="55"/>
        <v>no</v>
      </c>
      <c r="T12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4" s="2" t="b">
        <f t="shared" si="56"/>
        <v>1</v>
      </c>
      <c r="V1214" s="2">
        <f>IF(Table4[[#This Row],[linear?]],Table4[[#This Row],[av]],10^(Table4[[#This Row],[av]]/10))</f>
        <v>3.5666049382716038E-2</v>
      </c>
      <c r="W1214" s="2">
        <f>IF(Table4[[#This Row],[linear?]],Table4[[#This Row],[av]],10^(Table4[[#This Row],[av]]/10))</f>
        <v>3.5666049382716038E-2</v>
      </c>
      <c r="X1214" s="2">
        <f>Table4[[#This Row],[av_lin]]-2*Table4[[#This Row],[std_lin]]</f>
        <v>-3.5666049382716038E-2</v>
      </c>
      <c r="Y1214" s="2">
        <f>Table4[[#This Row],[av_lin]]+2*Table4[[#This Row],[std_lin]]</f>
        <v>0.10699814814814812</v>
      </c>
    </row>
    <row r="1215" spans="1:25" x14ac:dyDescent="0.35">
      <c r="A1215" s="1">
        <v>1903</v>
      </c>
      <c r="B1215" t="s">
        <v>829</v>
      </c>
      <c r="C1215" t="s">
        <v>549</v>
      </c>
      <c r="D1215" t="s">
        <v>795</v>
      </c>
      <c r="E1215" s="2">
        <v>3.9772222222222223E-2</v>
      </c>
      <c r="F1215" s="2">
        <v>9.0381382086188421E-3</v>
      </c>
      <c r="G1215">
        <v>27</v>
      </c>
      <c r="H1215" t="s">
        <v>58</v>
      </c>
      <c r="M1215" s="2">
        <v>5.7848498639459907E-2</v>
      </c>
      <c r="N1215" s="2">
        <v>2.1695945804984539E-2</v>
      </c>
      <c r="O1215" s="2">
        <v>3.6152552834475368E-2</v>
      </c>
      <c r="P1215" s="2">
        <v>4.4004883864571918</v>
      </c>
      <c r="R1215" t="str">
        <f t="shared" si="54"/>
        <v>yes</v>
      </c>
      <c r="S1215" t="str">
        <f t="shared" si="55"/>
        <v>no</v>
      </c>
      <c r="T12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5" s="2" t="b">
        <f t="shared" si="56"/>
        <v>1</v>
      </c>
      <c r="V1215" s="2">
        <f>IF(Table4[[#This Row],[linear?]],Table4[[#This Row],[av]],10^(Table4[[#This Row],[av]]/10))</f>
        <v>3.9772222222222223E-2</v>
      </c>
      <c r="W1215" s="2">
        <f>IF(Table4[[#This Row],[linear?]],Table4[[#This Row],[av]],10^(Table4[[#This Row],[av]]/10))</f>
        <v>3.9772222222222223E-2</v>
      </c>
      <c r="X1215" s="2">
        <f>Table4[[#This Row],[av_lin]]-2*Table4[[#This Row],[std_lin]]</f>
        <v>-3.9772222222222223E-2</v>
      </c>
      <c r="Y1215" s="2">
        <f>Table4[[#This Row],[av_lin]]+2*Table4[[#This Row],[std_lin]]</f>
        <v>0.11931666666666667</v>
      </c>
    </row>
    <row r="1216" spans="1:25" x14ac:dyDescent="0.35">
      <c r="A1216" s="1">
        <v>1904</v>
      </c>
      <c r="B1216" t="s">
        <v>829</v>
      </c>
      <c r="C1216" t="s">
        <v>549</v>
      </c>
      <c r="D1216" t="s">
        <v>796</v>
      </c>
      <c r="E1216" s="2">
        <v>3.258802469135802E-2</v>
      </c>
      <c r="F1216" s="2">
        <v>5.9918096156845093E-3</v>
      </c>
      <c r="G1216">
        <v>27</v>
      </c>
      <c r="H1216" t="s">
        <v>58</v>
      </c>
      <c r="M1216" s="2">
        <v>4.4571643922727042E-2</v>
      </c>
      <c r="N1216" s="2">
        <v>2.0604405459989001E-2</v>
      </c>
      <c r="O1216" s="2">
        <v>2.3967238462738041E-2</v>
      </c>
      <c r="P1216" s="2">
        <v>5.4387617066559848</v>
      </c>
      <c r="R1216" t="str">
        <f t="shared" si="54"/>
        <v>yes</v>
      </c>
      <c r="S1216" t="str">
        <f t="shared" si="55"/>
        <v>no</v>
      </c>
      <c r="T12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6" s="2" t="b">
        <f t="shared" si="56"/>
        <v>1</v>
      </c>
      <c r="V1216" s="2">
        <f>IF(Table4[[#This Row],[linear?]],Table4[[#This Row],[av]],10^(Table4[[#This Row],[av]]/10))</f>
        <v>3.258802469135802E-2</v>
      </c>
      <c r="W1216" s="2">
        <f>IF(Table4[[#This Row],[linear?]],Table4[[#This Row],[av]],10^(Table4[[#This Row],[av]]/10))</f>
        <v>3.258802469135802E-2</v>
      </c>
      <c r="X1216" s="2">
        <f>Table4[[#This Row],[av_lin]]-2*Table4[[#This Row],[std_lin]]</f>
        <v>-3.258802469135802E-2</v>
      </c>
      <c r="Y1216" s="2">
        <f>Table4[[#This Row],[av_lin]]+2*Table4[[#This Row],[std_lin]]</f>
        <v>9.7764074074074059E-2</v>
      </c>
    </row>
    <row r="1217" spans="1:25" x14ac:dyDescent="0.35">
      <c r="A1217" s="1">
        <v>1905</v>
      </c>
      <c r="B1217" t="s">
        <v>829</v>
      </c>
      <c r="C1217" t="s">
        <v>549</v>
      </c>
      <c r="D1217" t="s">
        <v>797</v>
      </c>
      <c r="E1217" s="2">
        <v>7.3556913580246908E-2</v>
      </c>
      <c r="F1217" s="2">
        <v>5.6027980679162837E-3</v>
      </c>
      <c r="G1217">
        <v>27</v>
      </c>
      <c r="H1217" t="s">
        <v>58</v>
      </c>
      <c r="M1217" s="2">
        <v>8.4762509716079473E-2</v>
      </c>
      <c r="N1217" s="2">
        <v>6.2351317444414342E-2</v>
      </c>
      <c r="O1217" s="2">
        <v>2.2411192271665131E-2</v>
      </c>
      <c r="P1217" s="2">
        <v>13.128603367210619</v>
      </c>
      <c r="R1217" t="str">
        <f t="shared" si="54"/>
        <v>yes</v>
      </c>
      <c r="S1217" t="str">
        <f t="shared" si="55"/>
        <v>no</v>
      </c>
      <c r="T12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7" s="2" t="b">
        <f t="shared" si="56"/>
        <v>1</v>
      </c>
      <c r="V1217" s="2">
        <f>IF(Table4[[#This Row],[linear?]],Table4[[#This Row],[av]],10^(Table4[[#This Row],[av]]/10))</f>
        <v>7.3556913580246908E-2</v>
      </c>
      <c r="W1217" s="2">
        <f>IF(Table4[[#This Row],[linear?]],Table4[[#This Row],[av]],10^(Table4[[#This Row],[av]]/10))</f>
        <v>7.3556913580246908E-2</v>
      </c>
      <c r="X1217" s="2">
        <f>Table4[[#This Row],[av_lin]]-2*Table4[[#This Row],[std_lin]]</f>
        <v>-7.3556913580246908E-2</v>
      </c>
      <c r="Y1217" s="2">
        <f>Table4[[#This Row],[av_lin]]+2*Table4[[#This Row],[std_lin]]</f>
        <v>0.22067074074074072</v>
      </c>
    </row>
    <row r="1218" spans="1:25" x14ac:dyDescent="0.35">
      <c r="A1218" s="1">
        <v>1907</v>
      </c>
      <c r="B1218" t="s">
        <v>829</v>
      </c>
      <c r="C1218" t="s">
        <v>549</v>
      </c>
      <c r="D1218" t="s">
        <v>799</v>
      </c>
      <c r="E1218" s="2">
        <v>3.8205432098765438E-2</v>
      </c>
      <c r="F1218" s="2">
        <v>5.3290829481102463E-3</v>
      </c>
      <c r="G1218">
        <v>27</v>
      </c>
      <c r="H1218" t="s">
        <v>58</v>
      </c>
      <c r="M1218" s="2">
        <v>4.8863597994985929E-2</v>
      </c>
      <c r="N1218" s="2">
        <v>2.754726620254495E-2</v>
      </c>
      <c r="O1218" s="2">
        <v>2.1316331792440978E-2</v>
      </c>
      <c r="P1218" s="2">
        <v>7.169232018111769</v>
      </c>
      <c r="R1218" t="str">
        <f t="shared" ref="R1218:R1281" si="57">IF(H1218="yes","yes","no")</f>
        <v>yes</v>
      </c>
      <c r="S1218" t="str">
        <f t="shared" ref="S1218:S1281" si="58">IF(I1218,"yes","no")</f>
        <v>no</v>
      </c>
      <c r="T12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8" s="2" t="b">
        <f t="shared" ref="U1218:U1281" si="59">NOT(ISNUMBER(SEARCH("RFIC*POWER", D1218)))</f>
        <v>1</v>
      </c>
      <c r="V1218" s="2">
        <f>IF(Table4[[#This Row],[linear?]],Table4[[#This Row],[av]],10^(Table4[[#This Row],[av]]/10))</f>
        <v>3.8205432098765438E-2</v>
      </c>
      <c r="W1218" s="2">
        <f>IF(Table4[[#This Row],[linear?]],Table4[[#This Row],[av]],10^(Table4[[#This Row],[av]]/10))</f>
        <v>3.8205432098765438E-2</v>
      </c>
      <c r="X1218" s="2">
        <f>Table4[[#This Row],[av_lin]]-2*Table4[[#This Row],[std_lin]]</f>
        <v>-3.8205432098765438E-2</v>
      </c>
      <c r="Y1218" s="2">
        <f>Table4[[#This Row],[av_lin]]+2*Table4[[#This Row],[std_lin]]</f>
        <v>0.11461629629629631</v>
      </c>
    </row>
    <row r="1219" spans="1:25" x14ac:dyDescent="0.35">
      <c r="A1219" s="1">
        <v>1908</v>
      </c>
      <c r="B1219" t="s">
        <v>829</v>
      </c>
      <c r="C1219" t="s">
        <v>549</v>
      </c>
      <c r="D1219" t="s">
        <v>800</v>
      </c>
      <c r="E1219" s="2">
        <v>4.06962962962963E-2</v>
      </c>
      <c r="F1219" s="2">
        <v>7.5134578551073854E-3</v>
      </c>
      <c r="G1219">
        <v>27</v>
      </c>
      <c r="H1219" t="s">
        <v>58</v>
      </c>
      <c r="M1219" s="2">
        <v>5.5723212006511071E-2</v>
      </c>
      <c r="N1219" s="2">
        <v>2.5669380586081529E-2</v>
      </c>
      <c r="O1219" s="2">
        <v>3.0053831420429541E-2</v>
      </c>
      <c r="P1219" s="2">
        <v>5.4164536596997586</v>
      </c>
      <c r="R1219" t="str">
        <f t="shared" si="57"/>
        <v>yes</v>
      </c>
      <c r="S1219" t="str">
        <f t="shared" si="58"/>
        <v>no</v>
      </c>
      <c r="T12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9" s="2" t="b">
        <f t="shared" si="59"/>
        <v>1</v>
      </c>
      <c r="V1219" s="2">
        <f>IF(Table4[[#This Row],[linear?]],Table4[[#This Row],[av]],10^(Table4[[#This Row],[av]]/10))</f>
        <v>4.06962962962963E-2</v>
      </c>
      <c r="W1219" s="2">
        <f>IF(Table4[[#This Row],[linear?]],Table4[[#This Row],[av]],10^(Table4[[#This Row],[av]]/10))</f>
        <v>4.06962962962963E-2</v>
      </c>
      <c r="X1219" s="2">
        <f>Table4[[#This Row],[av_lin]]-2*Table4[[#This Row],[std_lin]]</f>
        <v>-4.06962962962963E-2</v>
      </c>
      <c r="Y1219" s="2">
        <f>Table4[[#This Row],[av_lin]]+2*Table4[[#This Row],[std_lin]]</f>
        <v>0.1220888888888889</v>
      </c>
    </row>
    <row r="1220" spans="1:25" x14ac:dyDescent="0.35">
      <c r="A1220" s="1">
        <v>1909</v>
      </c>
      <c r="B1220" t="s">
        <v>829</v>
      </c>
      <c r="C1220" t="s">
        <v>549</v>
      </c>
      <c r="D1220" t="s">
        <v>801</v>
      </c>
      <c r="E1220" s="2">
        <v>3.9678024691358033E-2</v>
      </c>
      <c r="F1220" s="2">
        <v>5.7978791850327093E-3</v>
      </c>
      <c r="G1220">
        <v>27</v>
      </c>
      <c r="H1220" t="s">
        <v>58</v>
      </c>
      <c r="M1220" s="2">
        <v>5.1273783061423453E-2</v>
      </c>
      <c r="N1220" s="2">
        <v>2.8082266321292609E-2</v>
      </c>
      <c r="O1220" s="2">
        <v>2.3191516740130841E-2</v>
      </c>
      <c r="P1220" s="2">
        <v>6.8435411337627219</v>
      </c>
      <c r="R1220" t="str">
        <f t="shared" si="57"/>
        <v>yes</v>
      </c>
      <c r="S1220" t="str">
        <f t="shared" si="58"/>
        <v>no</v>
      </c>
      <c r="T12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0" s="2" t="b">
        <f t="shared" si="59"/>
        <v>1</v>
      </c>
      <c r="V1220" s="2">
        <f>IF(Table4[[#This Row],[linear?]],Table4[[#This Row],[av]],10^(Table4[[#This Row],[av]]/10))</f>
        <v>3.9678024691358033E-2</v>
      </c>
      <c r="W1220" s="2">
        <f>IF(Table4[[#This Row],[linear?]],Table4[[#This Row],[av]],10^(Table4[[#This Row],[av]]/10))</f>
        <v>3.9678024691358033E-2</v>
      </c>
      <c r="X1220" s="2">
        <f>Table4[[#This Row],[av_lin]]-2*Table4[[#This Row],[std_lin]]</f>
        <v>-3.9678024691358033E-2</v>
      </c>
      <c r="Y1220" s="2">
        <f>Table4[[#This Row],[av_lin]]+2*Table4[[#This Row],[std_lin]]</f>
        <v>0.1190340740740741</v>
      </c>
    </row>
    <row r="1221" spans="1:25" x14ac:dyDescent="0.35">
      <c r="A1221" s="1">
        <v>1911</v>
      </c>
      <c r="B1221" t="s">
        <v>829</v>
      </c>
      <c r="C1221" t="s">
        <v>549</v>
      </c>
      <c r="D1221" t="s">
        <v>803</v>
      </c>
      <c r="E1221" s="2">
        <v>3.7068641975308653E-2</v>
      </c>
      <c r="F1221" s="2">
        <v>1.1424293550658569E-2</v>
      </c>
      <c r="G1221">
        <v>27</v>
      </c>
      <c r="H1221" t="s">
        <v>58</v>
      </c>
      <c r="M1221" s="2">
        <v>5.9917229076625791E-2</v>
      </c>
      <c r="N1221" s="2">
        <v>1.422005487399151E-2</v>
      </c>
      <c r="O1221" s="2">
        <v>4.5697174202634278E-2</v>
      </c>
      <c r="P1221" s="2">
        <v>3.2447207182602358</v>
      </c>
      <c r="R1221" t="str">
        <f t="shared" si="57"/>
        <v>yes</v>
      </c>
      <c r="S1221" t="str">
        <f t="shared" si="58"/>
        <v>no</v>
      </c>
      <c r="T12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1" s="2" t="b">
        <f t="shared" si="59"/>
        <v>1</v>
      </c>
      <c r="V1221" s="2">
        <f>IF(Table4[[#This Row],[linear?]],Table4[[#This Row],[av]],10^(Table4[[#This Row],[av]]/10))</f>
        <v>3.7068641975308653E-2</v>
      </c>
      <c r="W1221" s="2">
        <f>IF(Table4[[#This Row],[linear?]],Table4[[#This Row],[av]],10^(Table4[[#This Row],[av]]/10))</f>
        <v>3.7068641975308653E-2</v>
      </c>
      <c r="X1221" s="2">
        <f>Table4[[#This Row],[av_lin]]-2*Table4[[#This Row],[std_lin]]</f>
        <v>-3.7068641975308653E-2</v>
      </c>
      <c r="Y1221" s="2">
        <f>Table4[[#This Row],[av_lin]]+2*Table4[[#This Row],[std_lin]]</f>
        <v>0.11120592592592596</v>
      </c>
    </row>
    <row r="1222" spans="1:25" x14ac:dyDescent="0.35">
      <c r="A1222" s="1">
        <v>1912</v>
      </c>
      <c r="B1222" t="s">
        <v>829</v>
      </c>
      <c r="C1222" t="s">
        <v>549</v>
      </c>
      <c r="D1222" t="s">
        <v>804</v>
      </c>
      <c r="E1222" s="2">
        <v>3.8700617283950613E-2</v>
      </c>
      <c r="F1222" s="2">
        <v>1.2757288921067049E-2</v>
      </c>
      <c r="G1222">
        <v>27</v>
      </c>
      <c r="H1222" t="s">
        <v>58</v>
      </c>
      <c r="M1222" s="2">
        <v>6.4215195126084715E-2</v>
      </c>
      <c r="N1222" s="2">
        <v>1.3186039441816511E-2</v>
      </c>
      <c r="O1222" s="2">
        <v>5.1029155684268197E-2</v>
      </c>
      <c r="P1222" s="2">
        <v>3.0336082786399419</v>
      </c>
      <c r="R1222" t="str">
        <f t="shared" si="57"/>
        <v>yes</v>
      </c>
      <c r="S1222" t="str">
        <f t="shared" si="58"/>
        <v>no</v>
      </c>
      <c r="T12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2" s="2" t="b">
        <f t="shared" si="59"/>
        <v>1</v>
      </c>
      <c r="V1222" s="2">
        <f>IF(Table4[[#This Row],[linear?]],Table4[[#This Row],[av]],10^(Table4[[#This Row],[av]]/10))</f>
        <v>3.8700617283950613E-2</v>
      </c>
      <c r="W1222" s="2">
        <f>IF(Table4[[#This Row],[linear?]],Table4[[#This Row],[av]],10^(Table4[[#This Row],[av]]/10))</f>
        <v>3.8700617283950613E-2</v>
      </c>
      <c r="X1222" s="2">
        <f>Table4[[#This Row],[av_lin]]-2*Table4[[#This Row],[std_lin]]</f>
        <v>-3.8700617283950613E-2</v>
      </c>
      <c r="Y1222" s="2">
        <f>Table4[[#This Row],[av_lin]]+2*Table4[[#This Row],[std_lin]]</f>
        <v>0.11610185185185184</v>
      </c>
    </row>
    <row r="1223" spans="1:25" x14ac:dyDescent="0.35">
      <c r="A1223" s="1">
        <v>1913</v>
      </c>
      <c r="B1223" t="s">
        <v>829</v>
      </c>
      <c r="C1223" t="s">
        <v>549</v>
      </c>
      <c r="D1223" t="s">
        <v>805</v>
      </c>
      <c r="E1223" s="2">
        <v>3.5739012345679007E-2</v>
      </c>
      <c r="F1223" s="2">
        <v>8.5563555316449345E-3</v>
      </c>
      <c r="G1223">
        <v>27</v>
      </c>
      <c r="H1223" t="s">
        <v>58</v>
      </c>
      <c r="M1223" s="2">
        <v>5.2851723408968883E-2</v>
      </c>
      <c r="N1223" s="2">
        <v>1.8626301282389141E-2</v>
      </c>
      <c r="O1223" s="2">
        <v>3.4225422126579738E-2</v>
      </c>
      <c r="P1223" s="2">
        <v>4.1768966020055371</v>
      </c>
      <c r="R1223" t="str">
        <f t="shared" si="57"/>
        <v>yes</v>
      </c>
      <c r="S1223" t="str">
        <f t="shared" si="58"/>
        <v>no</v>
      </c>
      <c r="T12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3" s="2" t="b">
        <f t="shared" si="59"/>
        <v>1</v>
      </c>
      <c r="V1223" s="2">
        <f>IF(Table4[[#This Row],[linear?]],Table4[[#This Row],[av]],10^(Table4[[#This Row],[av]]/10))</f>
        <v>3.5739012345679007E-2</v>
      </c>
      <c r="W1223" s="2">
        <f>IF(Table4[[#This Row],[linear?]],Table4[[#This Row],[av]],10^(Table4[[#This Row],[av]]/10))</f>
        <v>3.5739012345679007E-2</v>
      </c>
      <c r="X1223" s="2">
        <f>Table4[[#This Row],[av_lin]]-2*Table4[[#This Row],[std_lin]]</f>
        <v>-3.5739012345679007E-2</v>
      </c>
      <c r="Y1223" s="2">
        <f>Table4[[#This Row],[av_lin]]+2*Table4[[#This Row],[std_lin]]</f>
        <v>0.10721703703703703</v>
      </c>
    </row>
    <row r="1224" spans="1:25" x14ac:dyDescent="0.35">
      <c r="A1224" s="1">
        <v>1914</v>
      </c>
      <c r="B1224" t="s">
        <v>829</v>
      </c>
      <c r="C1224" t="s">
        <v>549</v>
      </c>
      <c r="D1224" t="s">
        <v>806</v>
      </c>
      <c r="E1224" s="2">
        <v>8.0207283950617284E-2</v>
      </c>
      <c r="F1224" s="2">
        <v>9.9840245245986121E-3</v>
      </c>
      <c r="G1224">
        <v>27</v>
      </c>
      <c r="H1224" t="s">
        <v>58</v>
      </c>
      <c r="M1224" s="2">
        <v>0.1001753329998145</v>
      </c>
      <c r="N1224" s="2">
        <v>6.0239234901420059E-2</v>
      </c>
      <c r="O1224" s="2">
        <v>3.9936098098394462E-2</v>
      </c>
      <c r="P1224" s="2">
        <v>8.0335623929010591</v>
      </c>
      <c r="R1224" t="str">
        <f t="shared" si="57"/>
        <v>yes</v>
      </c>
      <c r="S1224" t="str">
        <f t="shared" si="58"/>
        <v>no</v>
      </c>
      <c r="T12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4" s="2" t="b">
        <f t="shared" si="59"/>
        <v>1</v>
      </c>
      <c r="V1224" s="2">
        <f>IF(Table4[[#This Row],[linear?]],Table4[[#This Row],[av]],10^(Table4[[#This Row],[av]]/10))</f>
        <v>8.0207283950617284E-2</v>
      </c>
      <c r="W1224" s="2">
        <f>IF(Table4[[#This Row],[linear?]],Table4[[#This Row],[av]],10^(Table4[[#This Row],[av]]/10))</f>
        <v>8.0207283950617284E-2</v>
      </c>
      <c r="X1224" s="2">
        <f>Table4[[#This Row],[av_lin]]-2*Table4[[#This Row],[std_lin]]</f>
        <v>-8.0207283950617284E-2</v>
      </c>
      <c r="Y1224" s="2">
        <f>Table4[[#This Row],[av_lin]]+2*Table4[[#This Row],[std_lin]]</f>
        <v>0.24062185185185186</v>
      </c>
    </row>
    <row r="1225" spans="1:25" x14ac:dyDescent="0.35">
      <c r="A1225" s="1">
        <v>1916</v>
      </c>
      <c r="B1225" t="s">
        <v>829</v>
      </c>
      <c r="C1225" t="s">
        <v>549</v>
      </c>
      <c r="D1225" t="s">
        <v>808</v>
      </c>
      <c r="E1225" s="2">
        <v>4.7240740740740743E-2</v>
      </c>
      <c r="F1225" s="2">
        <v>1.150917526755379E-2</v>
      </c>
      <c r="G1225">
        <v>27</v>
      </c>
      <c r="H1225" t="s">
        <v>58</v>
      </c>
      <c r="M1225" s="2">
        <v>7.0259091275848326E-2</v>
      </c>
      <c r="N1225" s="2">
        <v>2.422239020563316E-2</v>
      </c>
      <c r="O1225" s="2">
        <v>4.6036701070215173E-2</v>
      </c>
      <c r="P1225" s="2">
        <v>4.1046156342687699</v>
      </c>
      <c r="R1225" t="str">
        <f t="shared" si="57"/>
        <v>yes</v>
      </c>
      <c r="S1225" t="str">
        <f t="shared" si="58"/>
        <v>no</v>
      </c>
      <c r="T12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5" s="2" t="b">
        <f t="shared" si="59"/>
        <v>1</v>
      </c>
      <c r="V1225" s="2">
        <f>IF(Table4[[#This Row],[linear?]],Table4[[#This Row],[av]],10^(Table4[[#This Row],[av]]/10))</f>
        <v>4.7240740740740743E-2</v>
      </c>
      <c r="W1225" s="2">
        <f>IF(Table4[[#This Row],[linear?]],Table4[[#This Row],[av]],10^(Table4[[#This Row],[av]]/10))</f>
        <v>4.7240740740740743E-2</v>
      </c>
      <c r="X1225" s="2">
        <f>Table4[[#This Row],[av_lin]]-2*Table4[[#This Row],[std_lin]]</f>
        <v>-4.7240740740740743E-2</v>
      </c>
      <c r="Y1225" s="2">
        <f>Table4[[#This Row],[av_lin]]+2*Table4[[#This Row],[std_lin]]</f>
        <v>0.14172222222222222</v>
      </c>
    </row>
    <row r="1226" spans="1:25" x14ac:dyDescent="0.35">
      <c r="A1226" s="1">
        <v>1917</v>
      </c>
      <c r="B1226" t="s">
        <v>829</v>
      </c>
      <c r="C1226" t="s">
        <v>549</v>
      </c>
      <c r="D1226" t="s">
        <v>809</v>
      </c>
      <c r="E1226" s="2">
        <v>5.1908888888888893E-2</v>
      </c>
      <c r="F1226" s="2">
        <v>1.1719291152093921E-2</v>
      </c>
      <c r="G1226">
        <v>27</v>
      </c>
      <c r="H1226" t="s">
        <v>58</v>
      </c>
      <c r="M1226" s="2">
        <v>7.5347471193076734E-2</v>
      </c>
      <c r="N1226" s="2">
        <v>2.8470306584701049E-2</v>
      </c>
      <c r="O1226" s="2">
        <v>4.6877164608375682E-2</v>
      </c>
      <c r="P1226" s="2">
        <v>4.4293539784284803</v>
      </c>
      <c r="R1226" t="str">
        <f t="shared" si="57"/>
        <v>yes</v>
      </c>
      <c r="S1226" t="str">
        <f t="shared" si="58"/>
        <v>no</v>
      </c>
      <c r="T12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6" s="2" t="b">
        <f t="shared" si="59"/>
        <v>1</v>
      </c>
      <c r="V1226" s="2">
        <f>IF(Table4[[#This Row],[linear?]],Table4[[#This Row],[av]],10^(Table4[[#This Row],[av]]/10))</f>
        <v>5.1908888888888893E-2</v>
      </c>
      <c r="W1226" s="2">
        <f>IF(Table4[[#This Row],[linear?]],Table4[[#This Row],[av]],10^(Table4[[#This Row],[av]]/10))</f>
        <v>5.1908888888888893E-2</v>
      </c>
      <c r="X1226" s="2">
        <f>Table4[[#This Row],[av_lin]]-2*Table4[[#This Row],[std_lin]]</f>
        <v>-5.1908888888888893E-2</v>
      </c>
      <c r="Y1226" s="2">
        <f>Table4[[#This Row],[av_lin]]+2*Table4[[#This Row],[std_lin]]</f>
        <v>0.15572666666666668</v>
      </c>
    </row>
    <row r="1227" spans="1:25" x14ac:dyDescent="0.35">
      <c r="A1227" s="1">
        <v>1918</v>
      </c>
      <c r="B1227" t="s">
        <v>829</v>
      </c>
      <c r="C1227" t="s">
        <v>549</v>
      </c>
      <c r="D1227" t="s">
        <v>810</v>
      </c>
      <c r="E1227" s="2">
        <v>5.0519259259259257E-2</v>
      </c>
      <c r="F1227" s="2">
        <v>1.4754353286023919E-2</v>
      </c>
      <c r="G1227">
        <v>27</v>
      </c>
      <c r="H1227" t="s">
        <v>58</v>
      </c>
      <c r="M1227" s="2">
        <v>8.0027965831307099E-2</v>
      </c>
      <c r="N1227" s="2">
        <v>2.1010552687211421E-2</v>
      </c>
      <c r="O1227" s="2">
        <v>5.9017413144095678E-2</v>
      </c>
      <c r="P1227" s="2">
        <v>3.4240239663444751</v>
      </c>
      <c r="R1227" t="str">
        <f t="shared" si="57"/>
        <v>yes</v>
      </c>
      <c r="S1227" t="str">
        <f t="shared" si="58"/>
        <v>no</v>
      </c>
      <c r="T12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7" s="2" t="b">
        <f t="shared" si="59"/>
        <v>1</v>
      </c>
      <c r="V1227" s="2">
        <f>IF(Table4[[#This Row],[linear?]],Table4[[#This Row],[av]],10^(Table4[[#This Row],[av]]/10))</f>
        <v>5.0519259259259257E-2</v>
      </c>
      <c r="W1227" s="2">
        <f>IF(Table4[[#This Row],[linear?]],Table4[[#This Row],[av]],10^(Table4[[#This Row],[av]]/10))</f>
        <v>5.0519259259259257E-2</v>
      </c>
      <c r="X1227" s="2">
        <f>Table4[[#This Row],[av_lin]]-2*Table4[[#This Row],[std_lin]]</f>
        <v>-5.0519259259259257E-2</v>
      </c>
      <c r="Y1227" s="2">
        <f>Table4[[#This Row],[av_lin]]+2*Table4[[#This Row],[std_lin]]</f>
        <v>0.15155777777777776</v>
      </c>
    </row>
    <row r="1228" spans="1:25" x14ac:dyDescent="0.35">
      <c r="A1228" s="1">
        <v>1920</v>
      </c>
      <c r="B1228" t="s">
        <v>829</v>
      </c>
      <c r="C1228" t="s">
        <v>549</v>
      </c>
      <c r="D1228" t="s">
        <v>812</v>
      </c>
      <c r="E1228" s="2">
        <v>4.1107407407407398E-2</v>
      </c>
      <c r="F1228" s="2">
        <v>9.1461847975296811E-3</v>
      </c>
      <c r="G1228">
        <v>27</v>
      </c>
      <c r="H1228" t="s">
        <v>58</v>
      </c>
      <c r="M1228" s="2">
        <v>5.9399777002466757E-2</v>
      </c>
      <c r="N1228" s="2">
        <v>2.2815037812348039E-2</v>
      </c>
      <c r="O1228" s="2">
        <v>3.6584739190118731E-2</v>
      </c>
      <c r="P1228" s="2">
        <v>4.4944868617251439</v>
      </c>
      <c r="R1228" t="str">
        <f t="shared" si="57"/>
        <v>yes</v>
      </c>
      <c r="S1228" t="str">
        <f t="shared" si="58"/>
        <v>no</v>
      </c>
      <c r="T12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8" s="2" t="b">
        <f t="shared" si="59"/>
        <v>1</v>
      </c>
      <c r="V1228" s="2">
        <f>IF(Table4[[#This Row],[linear?]],Table4[[#This Row],[av]],10^(Table4[[#This Row],[av]]/10))</f>
        <v>4.1107407407407398E-2</v>
      </c>
      <c r="W1228" s="2">
        <f>IF(Table4[[#This Row],[linear?]],Table4[[#This Row],[av]],10^(Table4[[#This Row],[av]]/10))</f>
        <v>4.1107407407407398E-2</v>
      </c>
      <c r="X1228" s="2">
        <f>Table4[[#This Row],[av_lin]]-2*Table4[[#This Row],[std_lin]]</f>
        <v>-4.1107407407407398E-2</v>
      </c>
      <c r="Y1228" s="2">
        <f>Table4[[#This Row],[av_lin]]+2*Table4[[#This Row],[std_lin]]</f>
        <v>0.12332222222222219</v>
      </c>
    </row>
    <row r="1229" spans="1:25" x14ac:dyDescent="0.35">
      <c r="A1229" s="1">
        <v>1921</v>
      </c>
      <c r="B1229" t="s">
        <v>829</v>
      </c>
      <c r="C1229" t="s">
        <v>549</v>
      </c>
      <c r="D1229" t="s">
        <v>813</v>
      </c>
      <c r="E1229" s="2">
        <v>3.7030123456790118E-2</v>
      </c>
      <c r="F1229" s="2">
        <v>9.3988160080757267E-3</v>
      </c>
      <c r="G1229">
        <v>27</v>
      </c>
      <c r="H1229" t="s">
        <v>58</v>
      </c>
      <c r="M1229" s="2">
        <v>5.5827755472941568E-2</v>
      </c>
      <c r="N1229" s="2">
        <v>1.8232491440638661E-2</v>
      </c>
      <c r="O1229" s="2">
        <v>3.75952640323029E-2</v>
      </c>
      <c r="P1229" s="2">
        <v>3.9398710885469819</v>
      </c>
      <c r="R1229" t="str">
        <f t="shared" si="57"/>
        <v>yes</v>
      </c>
      <c r="S1229" t="str">
        <f t="shared" si="58"/>
        <v>no</v>
      </c>
      <c r="T12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9" s="2" t="b">
        <f t="shared" si="59"/>
        <v>1</v>
      </c>
      <c r="V1229" s="2">
        <f>IF(Table4[[#This Row],[linear?]],Table4[[#This Row],[av]],10^(Table4[[#This Row],[av]]/10))</f>
        <v>3.7030123456790118E-2</v>
      </c>
      <c r="W1229" s="2">
        <f>IF(Table4[[#This Row],[linear?]],Table4[[#This Row],[av]],10^(Table4[[#This Row],[av]]/10))</f>
        <v>3.7030123456790118E-2</v>
      </c>
      <c r="X1229" s="2">
        <f>Table4[[#This Row],[av_lin]]-2*Table4[[#This Row],[std_lin]]</f>
        <v>-3.7030123456790118E-2</v>
      </c>
      <c r="Y1229" s="2">
        <f>Table4[[#This Row],[av_lin]]+2*Table4[[#This Row],[std_lin]]</f>
        <v>0.11109037037037035</v>
      </c>
    </row>
    <row r="1230" spans="1:25" x14ac:dyDescent="0.35">
      <c r="A1230" s="1">
        <v>1922</v>
      </c>
      <c r="B1230" t="s">
        <v>829</v>
      </c>
      <c r="C1230" t="s">
        <v>549</v>
      </c>
      <c r="D1230" t="s">
        <v>814</v>
      </c>
      <c r="E1230" s="2">
        <v>3.7954197530864188E-2</v>
      </c>
      <c r="F1230" s="2">
        <v>9.1443962173718939E-3</v>
      </c>
      <c r="G1230">
        <v>27</v>
      </c>
      <c r="H1230" t="s">
        <v>58</v>
      </c>
      <c r="M1230" s="2">
        <v>5.6242989965607983E-2</v>
      </c>
      <c r="N1230" s="2">
        <v>1.96654050961204E-2</v>
      </c>
      <c r="O1230" s="2">
        <v>3.6577584869487582E-2</v>
      </c>
      <c r="P1230" s="2">
        <v>4.1505416682143998</v>
      </c>
      <c r="R1230" t="str">
        <f t="shared" si="57"/>
        <v>yes</v>
      </c>
      <c r="S1230" t="str">
        <f t="shared" si="58"/>
        <v>no</v>
      </c>
      <c r="T12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0" s="2" t="b">
        <f t="shared" si="59"/>
        <v>1</v>
      </c>
      <c r="V1230" s="2">
        <f>IF(Table4[[#This Row],[linear?]],Table4[[#This Row],[av]],10^(Table4[[#This Row],[av]]/10))</f>
        <v>3.7954197530864188E-2</v>
      </c>
      <c r="W1230" s="2">
        <f>IF(Table4[[#This Row],[linear?]],Table4[[#This Row],[av]],10^(Table4[[#This Row],[av]]/10))</f>
        <v>3.7954197530864188E-2</v>
      </c>
      <c r="X1230" s="2">
        <f>Table4[[#This Row],[av_lin]]-2*Table4[[#This Row],[std_lin]]</f>
        <v>-3.7954197530864188E-2</v>
      </c>
      <c r="Y1230" s="2">
        <f>Table4[[#This Row],[av_lin]]+2*Table4[[#This Row],[std_lin]]</f>
        <v>0.11386259259259257</v>
      </c>
    </row>
    <row r="1231" spans="1:25" x14ac:dyDescent="0.35">
      <c r="A1231" s="1">
        <v>1923</v>
      </c>
      <c r="B1231" t="s">
        <v>829</v>
      </c>
      <c r="C1231" t="s">
        <v>549</v>
      </c>
      <c r="D1231" t="s">
        <v>815</v>
      </c>
      <c r="E1231" s="2">
        <v>8.0053950617283945E-2</v>
      </c>
      <c r="F1231" s="2">
        <v>8.8120243389775699E-3</v>
      </c>
      <c r="G1231">
        <v>27</v>
      </c>
      <c r="H1231" t="s">
        <v>58</v>
      </c>
      <c r="M1231" s="2">
        <v>9.7677999295239085E-2</v>
      </c>
      <c r="N1231" s="2">
        <v>6.2429901939328812E-2</v>
      </c>
      <c r="O1231" s="2">
        <v>3.5248097355910279E-2</v>
      </c>
      <c r="P1231" s="2">
        <v>9.0846265895098899</v>
      </c>
      <c r="R1231" t="str">
        <f t="shared" si="57"/>
        <v>yes</v>
      </c>
      <c r="S1231" t="str">
        <f t="shared" si="58"/>
        <v>no</v>
      </c>
      <c r="T12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1" s="2" t="b">
        <f t="shared" si="59"/>
        <v>1</v>
      </c>
      <c r="V1231" s="2">
        <f>IF(Table4[[#This Row],[linear?]],Table4[[#This Row],[av]],10^(Table4[[#This Row],[av]]/10))</f>
        <v>8.0053950617283945E-2</v>
      </c>
      <c r="W1231" s="2">
        <f>IF(Table4[[#This Row],[linear?]],Table4[[#This Row],[av]],10^(Table4[[#This Row],[av]]/10))</f>
        <v>8.0053950617283945E-2</v>
      </c>
      <c r="X1231" s="2">
        <f>Table4[[#This Row],[av_lin]]-2*Table4[[#This Row],[std_lin]]</f>
        <v>-8.0053950617283945E-2</v>
      </c>
      <c r="Y1231" s="2">
        <f>Table4[[#This Row],[av_lin]]+2*Table4[[#This Row],[std_lin]]</f>
        <v>0.24016185185185185</v>
      </c>
    </row>
    <row r="1232" spans="1:25" x14ac:dyDescent="0.35">
      <c r="A1232" s="1">
        <v>1925</v>
      </c>
      <c r="B1232" t="s">
        <v>829</v>
      </c>
      <c r="C1232" t="s">
        <v>549</v>
      </c>
      <c r="D1232" t="s">
        <v>817</v>
      </c>
      <c r="E1232" s="2">
        <v>4.9275555555555552E-2</v>
      </c>
      <c r="F1232" s="2">
        <v>1.504027914756834E-2</v>
      </c>
      <c r="G1232">
        <v>27</v>
      </c>
      <c r="H1232" t="s">
        <v>58</v>
      </c>
      <c r="M1232" s="2">
        <v>7.9356113850692231E-2</v>
      </c>
      <c r="N1232" s="2">
        <v>1.9194997260418869E-2</v>
      </c>
      <c r="O1232" s="2">
        <v>6.0161116590273359E-2</v>
      </c>
      <c r="P1232" s="2">
        <v>3.2762394282769849</v>
      </c>
      <c r="R1232" t="str">
        <f t="shared" si="57"/>
        <v>yes</v>
      </c>
      <c r="S1232" t="str">
        <f t="shared" si="58"/>
        <v>no</v>
      </c>
      <c r="T12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2" s="2" t="b">
        <f t="shared" si="59"/>
        <v>1</v>
      </c>
      <c r="V1232" s="2">
        <f>IF(Table4[[#This Row],[linear?]],Table4[[#This Row],[av]],10^(Table4[[#This Row],[av]]/10))</f>
        <v>4.9275555555555552E-2</v>
      </c>
      <c r="W1232" s="2">
        <f>IF(Table4[[#This Row],[linear?]],Table4[[#This Row],[av]],10^(Table4[[#This Row],[av]]/10))</f>
        <v>4.9275555555555552E-2</v>
      </c>
      <c r="X1232" s="2">
        <f>Table4[[#This Row],[av_lin]]-2*Table4[[#This Row],[std_lin]]</f>
        <v>-4.9275555555555552E-2</v>
      </c>
      <c r="Y1232" s="2">
        <f>Table4[[#This Row],[av_lin]]+2*Table4[[#This Row],[std_lin]]</f>
        <v>0.14782666666666666</v>
      </c>
    </row>
    <row r="1233" spans="1:25" x14ac:dyDescent="0.35">
      <c r="A1233" s="1">
        <v>1926</v>
      </c>
      <c r="B1233" t="s">
        <v>829</v>
      </c>
      <c r="C1233" t="s">
        <v>549</v>
      </c>
      <c r="D1233" t="s">
        <v>818</v>
      </c>
      <c r="E1233" s="2">
        <v>4.9644691358024698E-2</v>
      </c>
      <c r="F1233" s="2">
        <v>9.4720529764226926E-3</v>
      </c>
      <c r="G1233">
        <v>27</v>
      </c>
      <c r="H1233" t="s">
        <v>58</v>
      </c>
      <c r="M1233" s="2">
        <v>6.8588797310870087E-2</v>
      </c>
      <c r="N1233" s="2">
        <v>3.0700585405179309E-2</v>
      </c>
      <c r="O1233" s="2">
        <v>3.7888211905690777E-2</v>
      </c>
      <c r="P1233" s="2">
        <v>5.241175432780782</v>
      </c>
      <c r="R1233" t="str">
        <f t="shared" si="57"/>
        <v>yes</v>
      </c>
      <c r="S1233" t="str">
        <f t="shared" si="58"/>
        <v>no</v>
      </c>
      <c r="T12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3" s="2" t="b">
        <f t="shared" si="59"/>
        <v>1</v>
      </c>
      <c r="V1233" s="2">
        <f>IF(Table4[[#This Row],[linear?]],Table4[[#This Row],[av]],10^(Table4[[#This Row],[av]]/10))</f>
        <v>4.9644691358024698E-2</v>
      </c>
      <c r="W1233" s="2">
        <f>IF(Table4[[#This Row],[linear?]],Table4[[#This Row],[av]],10^(Table4[[#This Row],[av]]/10))</f>
        <v>4.9644691358024698E-2</v>
      </c>
      <c r="X1233" s="2">
        <f>Table4[[#This Row],[av_lin]]-2*Table4[[#This Row],[std_lin]]</f>
        <v>-4.9644691358024698E-2</v>
      </c>
      <c r="Y1233" s="2">
        <f>Table4[[#This Row],[av_lin]]+2*Table4[[#This Row],[std_lin]]</f>
        <v>0.14893407407407411</v>
      </c>
    </row>
    <row r="1234" spans="1:25" x14ac:dyDescent="0.35">
      <c r="A1234" s="1">
        <v>1927</v>
      </c>
      <c r="B1234" t="s">
        <v>829</v>
      </c>
      <c r="C1234" t="s">
        <v>549</v>
      </c>
      <c r="D1234" t="s">
        <v>819</v>
      </c>
      <c r="E1234" s="2">
        <v>4.7540246913580241E-2</v>
      </c>
      <c r="F1234" s="2">
        <v>1.3197375769180611E-2</v>
      </c>
      <c r="G1234">
        <v>27</v>
      </c>
      <c r="H1234" t="s">
        <v>58</v>
      </c>
      <c r="M1234" s="2">
        <v>7.3934998451941458E-2</v>
      </c>
      <c r="N1234" s="2">
        <v>2.1145495375219019E-2</v>
      </c>
      <c r="O1234" s="2">
        <v>5.2789503076722442E-2</v>
      </c>
      <c r="P1234" s="2">
        <v>3.602250003716601</v>
      </c>
      <c r="R1234" t="str">
        <f t="shared" si="57"/>
        <v>yes</v>
      </c>
      <c r="S1234" t="str">
        <f t="shared" si="58"/>
        <v>no</v>
      </c>
      <c r="T12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4" s="2" t="b">
        <f t="shared" si="59"/>
        <v>1</v>
      </c>
      <c r="V1234" s="2">
        <f>IF(Table4[[#This Row],[linear?]],Table4[[#This Row],[av]],10^(Table4[[#This Row],[av]]/10))</f>
        <v>4.7540246913580241E-2</v>
      </c>
      <c r="W1234" s="2">
        <f>IF(Table4[[#This Row],[linear?]],Table4[[#This Row],[av]],10^(Table4[[#This Row],[av]]/10))</f>
        <v>4.7540246913580241E-2</v>
      </c>
      <c r="X1234" s="2">
        <f>Table4[[#This Row],[av_lin]]-2*Table4[[#This Row],[std_lin]]</f>
        <v>-4.7540246913580241E-2</v>
      </c>
      <c r="Y1234" s="2">
        <f>Table4[[#This Row],[av_lin]]+2*Table4[[#This Row],[std_lin]]</f>
        <v>0.14262074074074071</v>
      </c>
    </row>
    <row r="1235" spans="1:25" x14ac:dyDescent="0.35">
      <c r="A1235" s="1">
        <v>1928</v>
      </c>
      <c r="B1235" t="s">
        <v>829</v>
      </c>
      <c r="C1235" t="s">
        <v>820</v>
      </c>
      <c r="D1235" t="s">
        <v>821</v>
      </c>
      <c r="G1235">
        <v>27</v>
      </c>
      <c r="H1235" t="s">
        <v>58</v>
      </c>
      <c r="R1235" t="str">
        <f t="shared" si="57"/>
        <v>yes</v>
      </c>
      <c r="S1235" t="str">
        <f t="shared" si="58"/>
        <v>no</v>
      </c>
      <c r="T12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5" s="2" t="b">
        <f t="shared" si="59"/>
        <v>1</v>
      </c>
      <c r="V1235" s="2">
        <f>IF(Table4[[#This Row],[linear?]],Table4[[#This Row],[av]],10^(Table4[[#This Row],[av]]/10))</f>
        <v>0</v>
      </c>
      <c r="W1235" s="2">
        <f>IF(Table4[[#This Row],[linear?]],Table4[[#This Row],[av]],10^(Table4[[#This Row],[av]]/10))</f>
        <v>0</v>
      </c>
      <c r="X1235" s="2">
        <f>Table4[[#This Row],[av_lin]]-2*Table4[[#This Row],[std_lin]]</f>
        <v>0</v>
      </c>
      <c r="Y1235" s="2">
        <f>Table4[[#This Row],[av_lin]]+2*Table4[[#This Row],[std_lin]]</f>
        <v>0</v>
      </c>
    </row>
    <row r="1236" spans="1:25" x14ac:dyDescent="0.35">
      <c r="A1236" s="1">
        <v>1929</v>
      </c>
      <c r="B1236" t="s">
        <v>829</v>
      </c>
      <c r="C1236" t="s">
        <v>820</v>
      </c>
      <c r="D1236" t="s">
        <v>822</v>
      </c>
      <c r="E1236" s="2">
        <v>28.46097407407408</v>
      </c>
      <c r="F1236" s="2">
        <v>3.8497400450423158</v>
      </c>
      <c r="G1236">
        <v>27</v>
      </c>
      <c r="H1236" t="s">
        <v>58</v>
      </c>
      <c r="M1236" s="2">
        <v>36.160454164158708</v>
      </c>
      <c r="N1236" s="2">
        <v>20.76149398398945</v>
      </c>
      <c r="O1236" s="2">
        <v>15.39896018016927</v>
      </c>
      <c r="P1236" s="2">
        <v>7.3929599767979246</v>
      </c>
      <c r="R1236" t="str">
        <f t="shared" si="57"/>
        <v>yes</v>
      </c>
      <c r="S1236" t="str">
        <f t="shared" si="58"/>
        <v>no</v>
      </c>
      <c r="T12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6" s="2" t="b">
        <f t="shared" si="59"/>
        <v>1</v>
      </c>
      <c r="V1236" s="2">
        <f>IF(Table4[[#This Row],[linear?]],Table4[[#This Row],[av]],10^(Table4[[#This Row],[av]]/10))</f>
        <v>28.46097407407408</v>
      </c>
      <c r="W1236" s="2">
        <f>IF(Table4[[#This Row],[linear?]],Table4[[#This Row],[av]],10^(Table4[[#This Row],[av]]/10))</f>
        <v>28.46097407407408</v>
      </c>
      <c r="X1236" s="2">
        <f>Table4[[#This Row],[av_lin]]-2*Table4[[#This Row],[std_lin]]</f>
        <v>-28.46097407407408</v>
      </c>
      <c r="Y1236" s="2">
        <f>Table4[[#This Row],[av_lin]]+2*Table4[[#This Row],[std_lin]]</f>
        <v>85.382922222222248</v>
      </c>
    </row>
    <row r="1237" spans="1:25" x14ac:dyDescent="0.35">
      <c r="A1237" s="1">
        <v>1930</v>
      </c>
      <c r="B1237" t="s">
        <v>829</v>
      </c>
      <c r="C1237" t="s">
        <v>820</v>
      </c>
      <c r="D1237" t="s">
        <v>823</v>
      </c>
      <c r="E1237" s="2">
        <v>0.1481481481481482</v>
      </c>
      <c r="F1237" s="2">
        <v>0.44752022124424351</v>
      </c>
      <c r="G1237">
        <v>27</v>
      </c>
      <c r="H1237" t="s">
        <v>58</v>
      </c>
      <c r="M1237" s="2">
        <v>1.0431885906366349</v>
      </c>
      <c r="N1237" s="2">
        <v>-0.74689229434033888</v>
      </c>
      <c r="O1237" s="2">
        <v>1.790080884976974</v>
      </c>
      <c r="P1237" s="2">
        <v>0.33104235544094718</v>
      </c>
      <c r="R1237" t="str">
        <f t="shared" si="57"/>
        <v>yes</v>
      </c>
      <c r="S1237" t="str">
        <f t="shared" si="58"/>
        <v>no</v>
      </c>
      <c r="T12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7" s="2" t="b">
        <f t="shared" si="59"/>
        <v>1</v>
      </c>
      <c r="V1237" s="2">
        <f>IF(Table4[[#This Row],[linear?]],Table4[[#This Row],[av]],10^(Table4[[#This Row],[av]]/10))</f>
        <v>0.1481481481481482</v>
      </c>
      <c r="W1237" s="2">
        <f>IF(Table4[[#This Row],[linear?]],Table4[[#This Row],[av]],10^(Table4[[#This Row],[av]]/10))</f>
        <v>0.1481481481481482</v>
      </c>
      <c r="X1237" s="2">
        <f>Table4[[#This Row],[av_lin]]-2*Table4[[#This Row],[std_lin]]</f>
        <v>-0.1481481481481482</v>
      </c>
      <c r="Y1237" s="2">
        <f>Table4[[#This Row],[av_lin]]+2*Table4[[#This Row],[std_lin]]</f>
        <v>0.44444444444444459</v>
      </c>
    </row>
    <row r="1238" spans="1:25" x14ac:dyDescent="0.35">
      <c r="A1238" s="1">
        <v>1931</v>
      </c>
      <c r="B1238" t="s">
        <v>829</v>
      </c>
      <c r="C1238" t="s">
        <v>820</v>
      </c>
      <c r="D1238" t="s">
        <v>824</v>
      </c>
      <c r="G1238">
        <v>27</v>
      </c>
      <c r="H1238" t="s">
        <v>58</v>
      </c>
      <c r="R1238" t="str">
        <f t="shared" si="57"/>
        <v>yes</v>
      </c>
      <c r="S1238" t="str">
        <f t="shared" si="58"/>
        <v>no</v>
      </c>
      <c r="T12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8" s="2" t="b">
        <f t="shared" si="59"/>
        <v>1</v>
      </c>
      <c r="V1238" s="2">
        <f>IF(Table4[[#This Row],[linear?]],Table4[[#This Row],[av]],10^(Table4[[#This Row],[av]]/10))</f>
        <v>0</v>
      </c>
      <c r="W1238" s="2">
        <f>IF(Table4[[#This Row],[linear?]],Table4[[#This Row],[av]],10^(Table4[[#This Row],[av]]/10))</f>
        <v>0</v>
      </c>
      <c r="X1238" s="2">
        <f>Table4[[#This Row],[av_lin]]-2*Table4[[#This Row],[std_lin]]</f>
        <v>0</v>
      </c>
      <c r="Y1238" s="2">
        <f>Table4[[#This Row],[av_lin]]+2*Table4[[#This Row],[std_lin]]</f>
        <v>0</v>
      </c>
    </row>
    <row r="1239" spans="1:25" x14ac:dyDescent="0.35">
      <c r="A1239" s="1">
        <v>1932</v>
      </c>
      <c r="B1239" t="s">
        <v>829</v>
      </c>
      <c r="C1239" t="s">
        <v>820</v>
      </c>
      <c r="D1239" t="s">
        <v>825</v>
      </c>
      <c r="E1239" s="2">
        <v>100096395.5925926</v>
      </c>
      <c r="F1239" s="2">
        <v>15.52837130869448</v>
      </c>
      <c r="G1239">
        <v>27</v>
      </c>
      <c r="H1239" t="s">
        <v>58</v>
      </c>
      <c r="M1239" s="2">
        <v>100096426.64933521</v>
      </c>
      <c r="N1239" s="2">
        <v>100096364.53585</v>
      </c>
      <c r="O1239" s="2">
        <v>62.113485246896737</v>
      </c>
      <c r="P1239" s="2">
        <v>6446033.1095088953</v>
      </c>
      <c r="R1239" t="str">
        <f t="shared" si="57"/>
        <v>yes</v>
      </c>
      <c r="S1239" t="str">
        <f t="shared" si="58"/>
        <v>no</v>
      </c>
      <c r="T12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9" s="2" t="b">
        <f t="shared" si="59"/>
        <v>1</v>
      </c>
      <c r="V1239" s="2">
        <f>IF(Table4[[#This Row],[linear?]],Table4[[#This Row],[av]],10^(Table4[[#This Row],[av]]/10))</f>
        <v>100096395.5925926</v>
      </c>
      <c r="W1239" s="2">
        <f>IF(Table4[[#This Row],[linear?]],Table4[[#This Row],[av]],10^(Table4[[#This Row],[av]]/10))</f>
        <v>100096395.5925926</v>
      </c>
      <c r="X1239" s="2">
        <f>Table4[[#This Row],[av_lin]]-2*Table4[[#This Row],[std_lin]]</f>
        <v>-100096395.5925926</v>
      </c>
      <c r="Y1239" s="2">
        <f>Table4[[#This Row],[av_lin]]+2*Table4[[#This Row],[std_lin]]</f>
        <v>300289186.77777779</v>
      </c>
    </row>
    <row r="1240" spans="1:25" x14ac:dyDescent="0.35">
      <c r="A1240" s="1">
        <v>0</v>
      </c>
      <c r="B1240" t="s">
        <v>16</v>
      </c>
      <c r="C1240" t="s">
        <v>17</v>
      </c>
      <c r="D1240" t="s">
        <v>18</v>
      </c>
      <c r="E1240" s="2">
        <v>7526.1533333333336</v>
      </c>
      <c r="F1240" s="2">
        <v>124.28993876638241</v>
      </c>
      <c r="G1240">
        <v>45</v>
      </c>
      <c r="H1240" t="s">
        <v>19</v>
      </c>
      <c r="M1240" s="2">
        <v>7774.7332108660976</v>
      </c>
      <c r="N1240" s="2">
        <v>7277.5734558005688</v>
      </c>
      <c r="O1240" s="2">
        <v>497.15975506552968</v>
      </c>
      <c r="P1240" s="2">
        <v>60.553198497262329</v>
      </c>
      <c r="R1240" t="str">
        <f t="shared" si="57"/>
        <v>no</v>
      </c>
      <c r="S1240" t="str">
        <f t="shared" si="58"/>
        <v>no</v>
      </c>
      <c r="T12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0" s="2" t="b">
        <f t="shared" si="59"/>
        <v>1</v>
      </c>
      <c r="V1240" s="2">
        <f>IF(Table4[[#This Row],[linear?]],Table4[[#This Row],[av]],10^(Table4[[#This Row],[av]]/10))</f>
        <v>7526.1533333333336</v>
      </c>
      <c r="W1240" s="2">
        <f>IF(Table4[[#This Row],[linear?]],Table4[[#This Row],[av]],10^(Table4[[#This Row],[av]]/10))</f>
        <v>7526.1533333333336</v>
      </c>
      <c r="X1240" s="2">
        <f>Table4[[#This Row],[av_lin]]-2*Table4[[#This Row],[std_lin]]</f>
        <v>-7526.1533333333336</v>
      </c>
      <c r="Y1240" s="2">
        <f>Table4[[#This Row],[av_lin]]+2*Table4[[#This Row],[std_lin]]</f>
        <v>22578.46</v>
      </c>
    </row>
    <row r="1241" spans="1:25" x14ac:dyDescent="0.35">
      <c r="A1241" s="1">
        <v>1</v>
      </c>
      <c r="B1241" t="s">
        <v>16</v>
      </c>
      <c r="C1241" t="s">
        <v>17</v>
      </c>
      <c r="D1241" t="s">
        <v>20</v>
      </c>
      <c r="E1241" s="2">
        <v>1</v>
      </c>
      <c r="F1241" s="2">
        <v>0</v>
      </c>
      <c r="G1241">
        <v>45</v>
      </c>
      <c r="H1241" t="s">
        <v>19</v>
      </c>
      <c r="M1241" s="2">
        <v>1</v>
      </c>
      <c r="N1241" s="2">
        <v>1</v>
      </c>
      <c r="O1241" s="2">
        <v>0</v>
      </c>
      <c r="P1241" s="2" t="s">
        <v>21</v>
      </c>
      <c r="R1241" t="str">
        <f t="shared" si="57"/>
        <v>no</v>
      </c>
      <c r="S1241" t="str">
        <f t="shared" si="58"/>
        <v>no</v>
      </c>
      <c r="T12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1" s="2" t="b">
        <f t="shared" si="59"/>
        <v>1</v>
      </c>
      <c r="V1241" s="2">
        <f>IF(Table4[[#This Row],[linear?]],Table4[[#This Row],[av]],10^(Table4[[#This Row],[av]]/10))</f>
        <v>1</v>
      </c>
      <c r="W1241" s="2">
        <f>IF(Table4[[#This Row],[linear?]],Table4[[#This Row],[av]],10^(Table4[[#This Row],[av]]/10))</f>
        <v>1</v>
      </c>
      <c r="X1241" s="2">
        <f>Table4[[#This Row],[av_lin]]-2*Table4[[#This Row],[std_lin]]</f>
        <v>-1</v>
      </c>
      <c r="Y1241" s="2">
        <f>Table4[[#This Row],[av_lin]]+2*Table4[[#This Row],[std_lin]]</f>
        <v>3</v>
      </c>
    </row>
    <row r="1242" spans="1:25" x14ac:dyDescent="0.35">
      <c r="A1242" s="1">
        <v>2</v>
      </c>
      <c r="B1242" t="s">
        <v>16</v>
      </c>
      <c r="C1242" t="s">
        <v>17</v>
      </c>
      <c r="D1242" t="s">
        <v>22</v>
      </c>
      <c r="E1242" s="2">
        <v>7535.5822222222223</v>
      </c>
      <c r="F1242" s="2">
        <v>127.40664011227049</v>
      </c>
      <c r="G1242">
        <v>45</v>
      </c>
      <c r="H1242" t="s">
        <v>19</v>
      </c>
      <c r="M1242" s="2">
        <v>7790.3955024467632</v>
      </c>
      <c r="N1242" s="2">
        <v>7280.7689419976814</v>
      </c>
      <c r="O1242" s="2">
        <v>509.62656044908181</v>
      </c>
      <c r="P1242" s="2">
        <v>59.145914338388337</v>
      </c>
      <c r="R1242" t="str">
        <f t="shared" si="57"/>
        <v>no</v>
      </c>
      <c r="S1242" t="str">
        <f t="shared" si="58"/>
        <v>no</v>
      </c>
      <c r="T12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2" s="2" t="b">
        <f t="shared" si="59"/>
        <v>1</v>
      </c>
      <c r="V1242" s="2">
        <f>IF(Table4[[#This Row],[linear?]],Table4[[#This Row],[av]],10^(Table4[[#This Row],[av]]/10))</f>
        <v>7535.5822222222223</v>
      </c>
      <c r="W1242" s="2">
        <f>IF(Table4[[#This Row],[linear?]],Table4[[#This Row],[av]],10^(Table4[[#This Row],[av]]/10))</f>
        <v>7535.5822222222223</v>
      </c>
      <c r="X1242" s="2">
        <f>Table4[[#This Row],[av_lin]]-2*Table4[[#This Row],[std_lin]]</f>
        <v>-7535.5822222222223</v>
      </c>
      <c r="Y1242" s="2">
        <f>Table4[[#This Row],[av_lin]]+2*Table4[[#This Row],[std_lin]]</f>
        <v>22606.746666666666</v>
      </c>
    </row>
    <row r="1243" spans="1:25" x14ac:dyDescent="0.35">
      <c r="A1243" s="1">
        <v>3</v>
      </c>
      <c r="B1243" t="s">
        <v>16</v>
      </c>
      <c r="C1243" t="s">
        <v>17</v>
      </c>
      <c r="D1243" t="s">
        <v>23</v>
      </c>
      <c r="E1243" s="2">
        <v>1</v>
      </c>
      <c r="F1243" s="2">
        <v>0</v>
      </c>
      <c r="G1243">
        <v>45</v>
      </c>
      <c r="H1243" t="s">
        <v>19</v>
      </c>
      <c r="M1243" s="2">
        <v>1</v>
      </c>
      <c r="N1243" s="2">
        <v>1</v>
      </c>
      <c r="O1243" s="2">
        <v>0</v>
      </c>
      <c r="P1243" s="2" t="s">
        <v>21</v>
      </c>
      <c r="R1243" t="str">
        <f t="shared" si="57"/>
        <v>no</v>
      </c>
      <c r="S1243" t="str">
        <f t="shared" si="58"/>
        <v>no</v>
      </c>
      <c r="T12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3" s="2" t="b">
        <f t="shared" si="59"/>
        <v>1</v>
      </c>
      <c r="V1243" s="2">
        <f>IF(Table4[[#This Row],[linear?]],Table4[[#This Row],[av]],10^(Table4[[#This Row],[av]]/10))</f>
        <v>1</v>
      </c>
      <c r="W1243" s="2">
        <f>IF(Table4[[#This Row],[linear?]],Table4[[#This Row],[av]],10^(Table4[[#This Row],[av]]/10))</f>
        <v>1</v>
      </c>
      <c r="X1243" s="2">
        <f>Table4[[#This Row],[av_lin]]-2*Table4[[#This Row],[std_lin]]</f>
        <v>-1</v>
      </c>
      <c r="Y1243" s="2">
        <f>Table4[[#This Row],[av_lin]]+2*Table4[[#This Row],[std_lin]]</f>
        <v>3</v>
      </c>
    </row>
    <row r="1244" spans="1:25" x14ac:dyDescent="0.35">
      <c r="A1244" s="1">
        <v>4</v>
      </c>
      <c r="B1244" t="s">
        <v>16</v>
      </c>
      <c r="C1244" t="s">
        <v>17</v>
      </c>
      <c r="D1244" t="s">
        <v>24</v>
      </c>
      <c r="E1244" s="2">
        <v>7550.9925925925927</v>
      </c>
      <c r="F1244" s="2">
        <v>105.4538426358438</v>
      </c>
      <c r="G1244">
        <v>45</v>
      </c>
      <c r="H1244" t="s">
        <v>19</v>
      </c>
      <c r="M1244" s="2">
        <v>7761.9002778642807</v>
      </c>
      <c r="N1244" s="2">
        <v>7340.0849073209047</v>
      </c>
      <c r="O1244" s="2">
        <v>421.81537054337599</v>
      </c>
      <c r="P1244" s="2">
        <v>71.604717323273789</v>
      </c>
      <c r="R1244" t="str">
        <f t="shared" si="57"/>
        <v>no</v>
      </c>
      <c r="S1244" t="str">
        <f t="shared" si="58"/>
        <v>no</v>
      </c>
      <c r="T12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4" s="2" t="b">
        <f t="shared" si="59"/>
        <v>1</v>
      </c>
      <c r="V1244" s="2">
        <f>IF(Table4[[#This Row],[linear?]],Table4[[#This Row],[av]],10^(Table4[[#This Row],[av]]/10))</f>
        <v>7550.9925925925927</v>
      </c>
      <c r="W1244" s="2">
        <f>IF(Table4[[#This Row],[linear?]],Table4[[#This Row],[av]],10^(Table4[[#This Row],[av]]/10))</f>
        <v>7550.9925925925927</v>
      </c>
      <c r="X1244" s="2">
        <f>Table4[[#This Row],[av_lin]]-2*Table4[[#This Row],[std_lin]]</f>
        <v>-7550.9925925925927</v>
      </c>
      <c r="Y1244" s="2">
        <f>Table4[[#This Row],[av_lin]]+2*Table4[[#This Row],[std_lin]]</f>
        <v>22652.977777777778</v>
      </c>
    </row>
    <row r="1245" spans="1:25" x14ac:dyDescent="0.35">
      <c r="A1245" s="1">
        <v>5</v>
      </c>
      <c r="B1245" t="s">
        <v>16</v>
      </c>
      <c r="C1245" t="s">
        <v>17</v>
      </c>
      <c r="D1245" t="s">
        <v>25</v>
      </c>
      <c r="E1245" s="2">
        <v>1</v>
      </c>
      <c r="F1245" s="2">
        <v>0</v>
      </c>
      <c r="G1245">
        <v>45</v>
      </c>
      <c r="H1245" t="s">
        <v>19</v>
      </c>
      <c r="M1245" s="2">
        <v>1</v>
      </c>
      <c r="N1245" s="2">
        <v>1</v>
      </c>
      <c r="O1245" s="2">
        <v>0</v>
      </c>
      <c r="P1245" s="2" t="s">
        <v>21</v>
      </c>
      <c r="R1245" t="str">
        <f t="shared" si="57"/>
        <v>no</v>
      </c>
      <c r="S1245" t="str">
        <f t="shared" si="58"/>
        <v>no</v>
      </c>
      <c r="T12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5" s="2" t="b">
        <f t="shared" si="59"/>
        <v>1</v>
      </c>
      <c r="V1245" s="2">
        <f>IF(Table4[[#This Row],[linear?]],Table4[[#This Row],[av]],10^(Table4[[#This Row],[av]]/10))</f>
        <v>1</v>
      </c>
      <c r="W1245" s="2">
        <f>IF(Table4[[#This Row],[linear?]],Table4[[#This Row],[av]],10^(Table4[[#This Row],[av]]/10))</f>
        <v>1</v>
      </c>
      <c r="X1245" s="2">
        <f>Table4[[#This Row],[av_lin]]-2*Table4[[#This Row],[std_lin]]</f>
        <v>-1</v>
      </c>
      <c r="Y1245" s="2">
        <f>Table4[[#This Row],[av_lin]]+2*Table4[[#This Row],[std_lin]]</f>
        <v>3</v>
      </c>
    </row>
    <row r="1246" spans="1:25" x14ac:dyDescent="0.35">
      <c r="A1246" s="1">
        <v>6</v>
      </c>
      <c r="B1246" t="s">
        <v>16</v>
      </c>
      <c r="C1246" t="s">
        <v>17</v>
      </c>
      <c r="D1246" t="s">
        <v>26</v>
      </c>
      <c r="E1246" s="2">
        <v>7543.0103703703699</v>
      </c>
      <c r="F1246" s="2">
        <v>100.3271882715121</v>
      </c>
      <c r="G1246">
        <v>45</v>
      </c>
      <c r="H1246" t="s">
        <v>19</v>
      </c>
      <c r="M1246" s="2">
        <v>7743.6647469133941</v>
      </c>
      <c r="N1246" s="2">
        <v>7342.3559938273456</v>
      </c>
      <c r="O1246" s="2">
        <v>401.30875308604851</v>
      </c>
      <c r="P1246" s="2">
        <v>75.184110113372</v>
      </c>
      <c r="R1246" t="str">
        <f t="shared" si="57"/>
        <v>no</v>
      </c>
      <c r="S1246" t="str">
        <f t="shared" si="58"/>
        <v>no</v>
      </c>
      <c r="T12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6" s="2" t="b">
        <f t="shared" si="59"/>
        <v>1</v>
      </c>
      <c r="V1246" s="2">
        <f>IF(Table4[[#This Row],[linear?]],Table4[[#This Row],[av]],10^(Table4[[#This Row],[av]]/10))</f>
        <v>7543.0103703703699</v>
      </c>
      <c r="W1246" s="2">
        <f>IF(Table4[[#This Row],[linear?]],Table4[[#This Row],[av]],10^(Table4[[#This Row],[av]]/10))</f>
        <v>7543.0103703703699</v>
      </c>
      <c r="X1246" s="2">
        <f>Table4[[#This Row],[av_lin]]-2*Table4[[#This Row],[std_lin]]</f>
        <v>-7543.0103703703699</v>
      </c>
      <c r="Y1246" s="2">
        <f>Table4[[#This Row],[av_lin]]+2*Table4[[#This Row],[std_lin]]</f>
        <v>22629.031111111108</v>
      </c>
    </row>
    <row r="1247" spans="1:25" x14ac:dyDescent="0.35">
      <c r="A1247" s="1">
        <v>7</v>
      </c>
      <c r="B1247" t="s">
        <v>16</v>
      </c>
      <c r="C1247" t="s">
        <v>17</v>
      </c>
      <c r="D1247" t="s">
        <v>27</v>
      </c>
      <c r="E1247" s="2">
        <v>1</v>
      </c>
      <c r="F1247" s="2">
        <v>0</v>
      </c>
      <c r="G1247">
        <v>45</v>
      </c>
      <c r="H1247" t="s">
        <v>19</v>
      </c>
      <c r="M1247" s="2">
        <v>1</v>
      </c>
      <c r="N1247" s="2">
        <v>1</v>
      </c>
      <c r="O1247" s="2">
        <v>0</v>
      </c>
      <c r="P1247" s="2" t="s">
        <v>21</v>
      </c>
      <c r="R1247" t="str">
        <f t="shared" si="57"/>
        <v>no</v>
      </c>
      <c r="S1247" t="str">
        <f t="shared" si="58"/>
        <v>no</v>
      </c>
      <c r="T12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7" s="2" t="b">
        <f t="shared" si="59"/>
        <v>1</v>
      </c>
      <c r="V1247" s="2">
        <f>IF(Table4[[#This Row],[linear?]],Table4[[#This Row],[av]],10^(Table4[[#This Row],[av]]/10))</f>
        <v>1</v>
      </c>
      <c r="W1247" s="2">
        <f>IF(Table4[[#This Row],[linear?]],Table4[[#This Row],[av]],10^(Table4[[#This Row],[av]]/10))</f>
        <v>1</v>
      </c>
      <c r="X1247" s="2">
        <f>Table4[[#This Row],[av_lin]]-2*Table4[[#This Row],[std_lin]]</f>
        <v>-1</v>
      </c>
      <c r="Y1247" s="2">
        <f>Table4[[#This Row],[av_lin]]+2*Table4[[#This Row],[std_lin]]</f>
        <v>3</v>
      </c>
    </row>
    <row r="1248" spans="1:25" x14ac:dyDescent="0.35">
      <c r="A1248" s="1">
        <v>8</v>
      </c>
      <c r="B1248" t="s">
        <v>16</v>
      </c>
      <c r="C1248" t="s">
        <v>17</v>
      </c>
      <c r="D1248" t="s">
        <v>28</v>
      </c>
      <c r="E1248" s="2">
        <v>7571.3762962962955</v>
      </c>
      <c r="F1248" s="2">
        <v>110.2128900225771</v>
      </c>
      <c r="G1248">
        <v>45</v>
      </c>
      <c r="H1248" t="s">
        <v>19</v>
      </c>
      <c r="M1248" s="2">
        <v>7791.8020763414497</v>
      </c>
      <c r="N1248" s="2">
        <v>7350.9505162511414</v>
      </c>
      <c r="O1248" s="2">
        <v>440.85156009030828</v>
      </c>
      <c r="P1248" s="2">
        <v>68.697738483631994</v>
      </c>
      <c r="R1248" t="str">
        <f t="shared" si="57"/>
        <v>no</v>
      </c>
      <c r="S1248" t="str">
        <f t="shared" si="58"/>
        <v>no</v>
      </c>
      <c r="T12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8" s="2" t="b">
        <f t="shared" si="59"/>
        <v>1</v>
      </c>
      <c r="V1248" s="2">
        <f>IF(Table4[[#This Row],[linear?]],Table4[[#This Row],[av]],10^(Table4[[#This Row],[av]]/10))</f>
        <v>7571.3762962962955</v>
      </c>
      <c r="W1248" s="2">
        <f>IF(Table4[[#This Row],[linear?]],Table4[[#This Row],[av]],10^(Table4[[#This Row],[av]]/10))</f>
        <v>7571.3762962962955</v>
      </c>
      <c r="X1248" s="2">
        <f>Table4[[#This Row],[av_lin]]-2*Table4[[#This Row],[std_lin]]</f>
        <v>-7571.3762962962955</v>
      </c>
      <c r="Y1248" s="2">
        <f>Table4[[#This Row],[av_lin]]+2*Table4[[#This Row],[std_lin]]</f>
        <v>22714.128888888888</v>
      </c>
    </row>
    <row r="1249" spans="1:25" x14ac:dyDescent="0.35">
      <c r="A1249" s="1">
        <v>9</v>
      </c>
      <c r="B1249" t="s">
        <v>16</v>
      </c>
      <c r="C1249" t="s">
        <v>17</v>
      </c>
      <c r="D1249" t="s">
        <v>29</v>
      </c>
      <c r="E1249" s="2">
        <v>1</v>
      </c>
      <c r="F1249" s="2">
        <v>0</v>
      </c>
      <c r="G1249">
        <v>45</v>
      </c>
      <c r="H1249" t="s">
        <v>19</v>
      </c>
      <c r="M1249" s="2">
        <v>1</v>
      </c>
      <c r="N1249" s="2">
        <v>1</v>
      </c>
      <c r="O1249" s="2">
        <v>0</v>
      </c>
      <c r="P1249" s="2" t="s">
        <v>21</v>
      </c>
      <c r="R1249" t="str">
        <f t="shared" si="57"/>
        <v>no</v>
      </c>
      <c r="S1249" t="str">
        <f t="shared" si="58"/>
        <v>no</v>
      </c>
      <c r="T12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9" s="2" t="b">
        <f t="shared" si="59"/>
        <v>1</v>
      </c>
      <c r="V1249" s="2">
        <f>IF(Table4[[#This Row],[linear?]],Table4[[#This Row],[av]],10^(Table4[[#This Row],[av]]/10))</f>
        <v>1</v>
      </c>
      <c r="W1249" s="2">
        <f>IF(Table4[[#This Row],[linear?]],Table4[[#This Row],[av]],10^(Table4[[#This Row],[av]]/10))</f>
        <v>1</v>
      </c>
      <c r="X1249" s="2">
        <f>Table4[[#This Row],[av_lin]]-2*Table4[[#This Row],[std_lin]]</f>
        <v>-1</v>
      </c>
      <c r="Y1249" s="2">
        <f>Table4[[#This Row],[av_lin]]+2*Table4[[#This Row],[std_lin]]</f>
        <v>3</v>
      </c>
    </row>
    <row r="1250" spans="1:25" x14ac:dyDescent="0.35">
      <c r="A1250" s="1">
        <v>10</v>
      </c>
      <c r="B1250" t="s">
        <v>16</v>
      </c>
      <c r="C1250" t="s">
        <v>17</v>
      </c>
      <c r="D1250" t="s">
        <v>30</v>
      </c>
      <c r="E1250" s="2">
        <v>7554.2659259259253</v>
      </c>
      <c r="F1250" s="2">
        <v>122.8610223828734</v>
      </c>
      <c r="G1250">
        <v>45</v>
      </c>
      <c r="H1250" t="s">
        <v>19</v>
      </c>
      <c r="M1250" s="2">
        <v>7799.9879706916718</v>
      </c>
      <c r="N1250" s="2">
        <v>7308.5438811601789</v>
      </c>
      <c r="O1250" s="2">
        <v>491.44408953149292</v>
      </c>
      <c r="P1250" s="2">
        <v>61.486269440152213</v>
      </c>
      <c r="R1250" t="str">
        <f t="shared" si="57"/>
        <v>no</v>
      </c>
      <c r="S1250" t="str">
        <f t="shared" si="58"/>
        <v>no</v>
      </c>
      <c r="T12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0" s="2" t="b">
        <f t="shared" si="59"/>
        <v>1</v>
      </c>
      <c r="V1250" s="2">
        <f>IF(Table4[[#This Row],[linear?]],Table4[[#This Row],[av]],10^(Table4[[#This Row],[av]]/10))</f>
        <v>7554.2659259259253</v>
      </c>
      <c r="W1250" s="2">
        <f>IF(Table4[[#This Row],[linear?]],Table4[[#This Row],[av]],10^(Table4[[#This Row],[av]]/10))</f>
        <v>7554.2659259259253</v>
      </c>
      <c r="X1250" s="2">
        <f>Table4[[#This Row],[av_lin]]-2*Table4[[#This Row],[std_lin]]</f>
        <v>-7554.2659259259253</v>
      </c>
      <c r="Y1250" s="2">
        <f>Table4[[#This Row],[av_lin]]+2*Table4[[#This Row],[std_lin]]</f>
        <v>22662.797777777778</v>
      </c>
    </row>
    <row r="1251" spans="1:25" x14ac:dyDescent="0.35">
      <c r="A1251" s="1">
        <v>11</v>
      </c>
      <c r="B1251" t="s">
        <v>16</v>
      </c>
      <c r="C1251" t="s">
        <v>17</v>
      </c>
      <c r="D1251" t="s">
        <v>31</v>
      </c>
      <c r="E1251" s="2">
        <v>1</v>
      </c>
      <c r="F1251" s="2">
        <v>0</v>
      </c>
      <c r="G1251">
        <v>45</v>
      </c>
      <c r="H1251" t="s">
        <v>19</v>
      </c>
      <c r="M1251" s="2">
        <v>1</v>
      </c>
      <c r="N1251" s="2">
        <v>1</v>
      </c>
      <c r="O1251" s="2">
        <v>0</v>
      </c>
      <c r="P1251" s="2" t="s">
        <v>21</v>
      </c>
      <c r="R1251" t="str">
        <f t="shared" si="57"/>
        <v>no</v>
      </c>
      <c r="S1251" t="str">
        <f t="shared" si="58"/>
        <v>no</v>
      </c>
      <c r="T12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1" s="2" t="b">
        <f t="shared" si="59"/>
        <v>1</v>
      </c>
      <c r="V1251" s="2">
        <f>IF(Table4[[#This Row],[linear?]],Table4[[#This Row],[av]],10^(Table4[[#This Row],[av]]/10))</f>
        <v>1</v>
      </c>
      <c r="W1251" s="2">
        <f>IF(Table4[[#This Row],[linear?]],Table4[[#This Row],[av]],10^(Table4[[#This Row],[av]]/10))</f>
        <v>1</v>
      </c>
      <c r="X1251" s="2">
        <f>Table4[[#This Row],[av_lin]]-2*Table4[[#This Row],[std_lin]]</f>
        <v>-1</v>
      </c>
      <c r="Y1251" s="2">
        <f>Table4[[#This Row],[av_lin]]+2*Table4[[#This Row],[std_lin]]</f>
        <v>3</v>
      </c>
    </row>
    <row r="1252" spans="1:25" x14ac:dyDescent="0.35">
      <c r="A1252" s="1">
        <v>12</v>
      </c>
      <c r="B1252" t="s">
        <v>16</v>
      </c>
      <c r="C1252" t="s">
        <v>17</v>
      </c>
      <c r="D1252" t="s">
        <v>32</v>
      </c>
      <c r="E1252" s="2">
        <v>7595.0044444444447</v>
      </c>
      <c r="F1252" s="2">
        <v>117.7024599520698</v>
      </c>
      <c r="G1252">
        <v>45</v>
      </c>
      <c r="H1252" t="s">
        <v>19</v>
      </c>
      <c r="M1252" s="2">
        <v>7830.4093643485839</v>
      </c>
      <c r="N1252" s="2">
        <v>7359.5995245403064</v>
      </c>
      <c r="O1252" s="2">
        <v>470.80983980827841</v>
      </c>
      <c r="P1252" s="2">
        <v>64.52715132323695</v>
      </c>
      <c r="R1252" t="str">
        <f t="shared" si="57"/>
        <v>no</v>
      </c>
      <c r="S1252" t="str">
        <f t="shared" si="58"/>
        <v>no</v>
      </c>
      <c r="T12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2" s="2" t="b">
        <f t="shared" si="59"/>
        <v>1</v>
      </c>
      <c r="V1252" s="2">
        <f>IF(Table4[[#This Row],[linear?]],Table4[[#This Row],[av]],10^(Table4[[#This Row],[av]]/10))</f>
        <v>7595.0044444444447</v>
      </c>
      <c r="W1252" s="2">
        <f>IF(Table4[[#This Row],[linear?]],Table4[[#This Row],[av]],10^(Table4[[#This Row],[av]]/10))</f>
        <v>7595.0044444444447</v>
      </c>
      <c r="X1252" s="2">
        <f>Table4[[#This Row],[av_lin]]-2*Table4[[#This Row],[std_lin]]</f>
        <v>-7595.0044444444447</v>
      </c>
      <c r="Y1252" s="2">
        <f>Table4[[#This Row],[av_lin]]+2*Table4[[#This Row],[std_lin]]</f>
        <v>22785.013333333336</v>
      </c>
    </row>
    <row r="1253" spans="1:25" x14ac:dyDescent="0.35">
      <c r="A1253" s="1">
        <v>13</v>
      </c>
      <c r="B1253" t="s">
        <v>16</v>
      </c>
      <c r="C1253" t="s">
        <v>17</v>
      </c>
      <c r="D1253" t="s">
        <v>33</v>
      </c>
      <c r="E1253" s="2">
        <v>1</v>
      </c>
      <c r="F1253" s="2">
        <v>0</v>
      </c>
      <c r="G1253">
        <v>45</v>
      </c>
      <c r="H1253" t="s">
        <v>19</v>
      </c>
      <c r="M1253" s="2">
        <v>1</v>
      </c>
      <c r="N1253" s="2">
        <v>1</v>
      </c>
      <c r="O1253" s="2">
        <v>0</v>
      </c>
      <c r="P1253" s="2" t="s">
        <v>21</v>
      </c>
      <c r="R1253" t="str">
        <f t="shared" si="57"/>
        <v>no</v>
      </c>
      <c r="S1253" t="str">
        <f t="shared" si="58"/>
        <v>no</v>
      </c>
      <c r="T12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3" s="2" t="b">
        <f t="shared" si="59"/>
        <v>1</v>
      </c>
      <c r="V1253" s="2">
        <f>IF(Table4[[#This Row],[linear?]],Table4[[#This Row],[av]],10^(Table4[[#This Row],[av]]/10))</f>
        <v>1</v>
      </c>
      <c r="W1253" s="2">
        <f>IF(Table4[[#This Row],[linear?]],Table4[[#This Row],[av]],10^(Table4[[#This Row],[av]]/10))</f>
        <v>1</v>
      </c>
      <c r="X1253" s="2">
        <f>Table4[[#This Row],[av_lin]]-2*Table4[[#This Row],[std_lin]]</f>
        <v>-1</v>
      </c>
      <c r="Y1253" s="2">
        <f>Table4[[#This Row],[av_lin]]+2*Table4[[#This Row],[std_lin]]</f>
        <v>3</v>
      </c>
    </row>
    <row r="1254" spans="1:25" x14ac:dyDescent="0.35">
      <c r="A1254" s="1">
        <v>14</v>
      </c>
      <c r="B1254" t="s">
        <v>16</v>
      </c>
      <c r="C1254" t="s">
        <v>17</v>
      </c>
      <c r="D1254" t="s">
        <v>34</v>
      </c>
      <c r="E1254" s="2">
        <v>7553.3814814814814</v>
      </c>
      <c r="F1254" s="2">
        <v>116.6398698842295</v>
      </c>
      <c r="G1254">
        <v>45</v>
      </c>
      <c r="H1254" t="s">
        <v>19</v>
      </c>
      <c r="M1254" s="2">
        <v>7786.6612212499404</v>
      </c>
      <c r="N1254" s="2">
        <v>7320.1017417130224</v>
      </c>
      <c r="O1254" s="2">
        <v>466.55947953691788</v>
      </c>
      <c r="P1254" s="2">
        <v>64.758143926074027</v>
      </c>
      <c r="R1254" t="str">
        <f t="shared" si="57"/>
        <v>no</v>
      </c>
      <c r="S1254" t="str">
        <f t="shared" si="58"/>
        <v>no</v>
      </c>
      <c r="T12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4" s="2" t="b">
        <f t="shared" si="59"/>
        <v>1</v>
      </c>
      <c r="V1254" s="2">
        <f>IF(Table4[[#This Row],[linear?]],Table4[[#This Row],[av]],10^(Table4[[#This Row],[av]]/10))</f>
        <v>7553.3814814814814</v>
      </c>
      <c r="W1254" s="2">
        <f>IF(Table4[[#This Row],[linear?]],Table4[[#This Row],[av]],10^(Table4[[#This Row],[av]]/10))</f>
        <v>7553.3814814814814</v>
      </c>
      <c r="X1254" s="2">
        <f>Table4[[#This Row],[av_lin]]-2*Table4[[#This Row],[std_lin]]</f>
        <v>-7553.3814814814814</v>
      </c>
      <c r="Y1254" s="2">
        <f>Table4[[#This Row],[av_lin]]+2*Table4[[#This Row],[std_lin]]</f>
        <v>22660.144444444442</v>
      </c>
    </row>
    <row r="1255" spans="1:25" x14ac:dyDescent="0.35">
      <c r="A1255" s="1">
        <v>15</v>
      </c>
      <c r="B1255" t="s">
        <v>16</v>
      </c>
      <c r="C1255" t="s">
        <v>17</v>
      </c>
      <c r="D1255" t="s">
        <v>35</v>
      </c>
      <c r="E1255" s="2">
        <v>1</v>
      </c>
      <c r="F1255" s="2">
        <v>0</v>
      </c>
      <c r="G1255">
        <v>45</v>
      </c>
      <c r="H1255" t="s">
        <v>19</v>
      </c>
      <c r="M1255" s="2">
        <v>1</v>
      </c>
      <c r="N1255" s="2">
        <v>1</v>
      </c>
      <c r="O1255" s="2">
        <v>0</v>
      </c>
      <c r="P1255" s="2" t="s">
        <v>21</v>
      </c>
      <c r="R1255" t="str">
        <f t="shared" si="57"/>
        <v>no</v>
      </c>
      <c r="S1255" t="str">
        <f t="shared" si="58"/>
        <v>no</v>
      </c>
      <c r="T12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5" s="2" t="b">
        <f t="shared" si="59"/>
        <v>1</v>
      </c>
      <c r="V1255" s="2">
        <f>IF(Table4[[#This Row],[linear?]],Table4[[#This Row],[av]],10^(Table4[[#This Row],[av]]/10))</f>
        <v>1</v>
      </c>
      <c r="W1255" s="2">
        <f>IF(Table4[[#This Row],[linear?]],Table4[[#This Row],[av]],10^(Table4[[#This Row],[av]]/10))</f>
        <v>1</v>
      </c>
      <c r="X1255" s="2">
        <f>Table4[[#This Row],[av_lin]]-2*Table4[[#This Row],[std_lin]]</f>
        <v>-1</v>
      </c>
      <c r="Y1255" s="2">
        <f>Table4[[#This Row],[av_lin]]+2*Table4[[#This Row],[std_lin]]</f>
        <v>3</v>
      </c>
    </row>
    <row r="1256" spans="1:25" x14ac:dyDescent="0.35">
      <c r="A1256" s="1">
        <v>16</v>
      </c>
      <c r="B1256" t="s">
        <v>16</v>
      </c>
      <c r="C1256" t="s">
        <v>17</v>
      </c>
      <c r="D1256" t="s">
        <v>36</v>
      </c>
      <c r="E1256" s="2">
        <v>5.5261996261843231</v>
      </c>
      <c r="F1256" s="2">
        <v>6.851321245483491E-2</v>
      </c>
      <c r="G1256">
        <v>45</v>
      </c>
      <c r="H1256" t="s">
        <v>19</v>
      </c>
      <c r="M1256" s="2">
        <v>5.6632260510939929</v>
      </c>
      <c r="N1256" s="2">
        <v>5.3891732012746534</v>
      </c>
      <c r="O1256" s="2">
        <v>0.27405284981933947</v>
      </c>
      <c r="P1256" s="2">
        <v>80.658889405124441</v>
      </c>
      <c r="R1256" t="str">
        <f t="shared" si="57"/>
        <v>no</v>
      </c>
      <c r="S1256" t="str">
        <f t="shared" si="58"/>
        <v>no</v>
      </c>
      <c r="T12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6" s="2" t="b">
        <f t="shared" si="59"/>
        <v>1</v>
      </c>
      <c r="V1256" s="2">
        <f>IF(Table4[[#This Row],[linear?]],Table4[[#This Row],[av]],10^(Table4[[#This Row],[av]]/10))</f>
        <v>5.5261996261843231</v>
      </c>
      <c r="W1256" s="2">
        <f>IF(Table4[[#This Row],[linear?]],Table4[[#This Row],[av]],10^(Table4[[#This Row],[av]]/10))</f>
        <v>5.5261996261843231</v>
      </c>
      <c r="X1256" s="2">
        <f>Table4[[#This Row],[av_lin]]-2*Table4[[#This Row],[std_lin]]</f>
        <v>-5.5261996261843231</v>
      </c>
      <c r="Y1256" s="2">
        <f>Table4[[#This Row],[av_lin]]+2*Table4[[#This Row],[std_lin]]</f>
        <v>16.57859887855297</v>
      </c>
    </row>
    <row r="1257" spans="1:25" x14ac:dyDescent="0.35">
      <c r="A1257" s="1">
        <v>17</v>
      </c>
      <c r="B1257" t="s">
        <v>16</v>
      </c>
      <c r="C1257" t="s">
        <v>17</v>
      </c>
      <c r="D1257" t="s">
        <v>37</v>
      </c>
      <c r="E1257" s="2">
        <v>23.784964775193799</v>
      </c>
      <c r="F1257" s="2">
        <v>0.27958322613344849</v>
      </c>
      <c r="G1257">
        <v>45</v>
      </c>
      <c r="H1257" t="s">
        <v>19</v>
      </c>
      <c r="M1257" s="2">
        <v>24.3441312274607</v>
      </c>
      <c r="N1257" s="2">
        <v>23.225798322926899</v>
      </c>
      <c r="O1257" s="2">
        <v>1.118332904533794</v>
      </c>
      <c r="P1257" s="2">
        <v>85.072931964240752</v>
      </c>
      <c r="R1257" t="str">
        <f t="shared" si="57"/>
        <v>no</v>
      </c>
      <c r="S1257" t="str">
        <f t="shared" si="58"/>
        <v>no</v>
      </c>
      <c r="T12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7" s="2" t="b">
        <f t="shared" si="59"/>
        <v>1</v>
      </c>
      <c r="V1257" s="2">
        <f>IF(Table4[[#This Row],[linear?]],Table4[[#This Row],[av]],10^(Table4[[#This Row],[av]]/10))</f>
        <v>23.784964775193799</v>
      </c>
      <c r="W1257" s="2">
        <f>IF(Table4[[#This Row],[linear?]],Table4[[#This Row],[av]],10^(Table4[[#This Row],[av]]/10))</f>
        <v>23.784964775193799</v>
      </c>
      <c r="X1257" s="2">
        <f>Table4[[#This Row],[av_lin]]-2*Table4[[#This Row],[std_lin]]</f>
        <v>-23.784964775193799</v>
      </c>
      <c r="Y1257" s="2">
        <f>Table4[[#This Row],[av_lin]]+2*Table4[[#This Row],[std_lin]]</f>
        <v>71.354894325581398</v>
      </c>
    </row>
    <row r="1258" spans="1:25" x14ac:dyDescent="0.35">
      <c r="A1258" s="1">
        <v>18</v>
      </c>
      <c r="B1258" t="s">
        <v>16</v>
      </c>
      <c r="C1258" t="s">
        <v>17</v>
      </c>
      <c r="D1258" t="s">
        <v>38</v>
      </c>
      <c r="E1258" s="2">
        <v>2.345343324720069E-2</v>
      </c>
      <c r="F1258" s="2">
        <v>1.3354878959361339E-2</v>
      </c>
      <c r="G1258">
        <v>45</v>
      </c>
      <c r="H1258" t="s">
        <v>19</v>
      </c>
      <c r="M1258" s="2">
        <v>5.0163191165923368E-2</v>
      </c>
      <c r="N1258" s="2">
        <v>-3.2563246715219892E-3</v>
      </c>
      <c r="O1258" s="2">
        <v>5.3419515837445357E-2</v>
      </c>
      <c r="P1258" s="2">
        <v>1.756169660434143</v>
      </c>
      <c r="R1258" t="str">
        <f t="shared" si="57"/>
        <v>no</v>
      </c>
      <c r="S1258" t="str">
        <f t="shared" si="58"/>
        <v>no</v>
      </c>
      <c r="T12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8" s="2" t="b">
        <f t="shared" si="59"/>
        <v>1</v>
      </c>
      <c r="V1258" s="2">
        <f>IF(Table4[[#This Row],[linear?]],Table4[[#This Row],[av]],10^(Table4[[#This Row],[av]]/10))</f>
        <v>2.345343324720069E-2</v>
      </c>
      <c r="W1258" s="2">
        <f>IF(Table4[[#This Row],[linear?]],Table4[[#This Row],[av]],10^(Table4[[#This Row],[av]]/10))</f>
        <v>2.345343324720069E-2</v>
      </c>
      <c r="X1258" s="2">
        <f>Table4[[#This Row],[av_lin]]-2*Table4[[#This Row],[std_lin]]</f>
        <v>-2.345343324720069E-2</v>
      </c>
      <c r="Y1258" s="2">
        <f>Table4[[#This Row],[av_lin]]+2*Table4[[#This Row],[std_lin]]</f>
        <v>7.0360299741602073E-2</v>
      </c>
    </row>
    <row r="1259" spans="1:25" x14ac:dyDescent="0.35">
      <c r="A1259" s="1">
        <v>19</v>
      </c>
      <c r="B1259" t="s">
        <v>16</v>
      </c>
      <c r="C1259" t="s">
        <v>17</v>
      </c>
      <c r="D1259" t="s">
        <v>39</v>
      </c>
      <c r="E1259" s="2">
        <v>23.828358532299742</v>
      </c>
      <c r="F1259" s="2">
        <v>0.28287122892223748</v>
      </c>
      <c r="G1259">
        <v>45</v>
      </c>
      <c r="H1259" t="s">
        <v>19</v>
      </c>
      <c r="M1259" s="2">
        <v>24.394100990144221</v>
      </c>
      <c r="N1259" s="2">
        <v>23.26261607445527</v>
      </c>
      <c r="O1259" s="2">
        <v>1.131484915688951</v>
      </c>
      <c r="P1259" s="2">
        <v>84.237476618204468</v>
      </c>
      <c r="R1259" t="str">
        <f t="shared" si="57"/>
        <v>no</v>
      </c>
      <c r="S1259" t="str">
        <f t="shared" si="58"/>
        <v>no</v>
      </c>
      <c r="T12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9" s="2" t="b">
        <f t="shared" si="59"/>
        <v>1</v>
      </c>
      <c r="V1259" s="2">
        <f>IF(Table4[[#This Row],[linear?]],Table4[[#This Row],[av]],10^(Table4[[#This Row],[av]]/10))</f>
        <v>23.828358532299742</v>
      </c>
      <c r="W1259" s="2">
        <f>IF(Table4[[#This Row],[linear?]],Table4[[#This Row],[av]],10^(Table4[[#This Row],[av]]/10))</f>
        <v>23.828358532299742</v>
      </c>
      <c r="X1259" s="2">
        <f>Table4[[#This Row],[av_lin]]-2*Table4[[#This Row],[std_lin]]</f>
        <v>-23.828358532299742</v>
      </c>
      <c r="Y1259" s="2">
        <f>Table4[[#This Row],[av_lin]]+2*Table4[[#This Row],[std_lin]]</f>
        <v>71.485075596899222</v>
      </c>
    </row>
    <row r="1260" spans="1:25" x14ac:dyDescent="0.35">
      <c r="A1260" s="1">
        <v>20</v>
      </c>
      <c r="B1260" t="s">
        <v>16</v>
      </c>
      <c r="C1260" t="s">
        <v>17</v>
      </c>
      <c r="D1260" t="s">
        <v>40</v>
      </c>
      <c r="E1260" s="2">
        <v>1.168298880275624E-2</v>
      </c>
      <c r="F1260" s="2">
        <v>6.210943890819224E-3</v>
      </c>
      <c r="G1260">
        <v>45</v>
      </c>
      <c r="H1260" t="s">
        <v>19</v>
      </c>
      <c r="M1260" s="2">
        <v>2.410487658439469E-2</v>
      </c>
      <c r="N1260" s="2">
        <v>-7.3889897888220792E-4</v>
      </c>
      <c r="O1260" s="2">
        <v>2.4843775563276899E-2</v>
      </c>
      <c r="P1260" s="2">
        <v>1.881032739649376</v>
      </c>
      <c r="R1260" t="str">
        <f t="shared" si="57"/>
        <v>no</v>
      </c>
      <c r="S1260" t="str">
        <f t="shared" si="58"/>
        <v>no</v>
      </c>
      <c r="T12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0" s="2" t="b">
        <f t="shared" si="59"/>
        <v>1</v>
      </c>
      <c r="V1260" s="2">
        <f>IF(Table4[[#This Row],[linear?]],Table4[[#This Row],[av]],10^(Table4[[#This Row],[av]]/10))</f>
        <v>1.168298880275624E-2</v>
      </c>
      <c r="W1260" s="2">
        <f>IF(Table4[[#This Row],[linear?]],Table4[[#This Row],[av]],10^(Table4[[#This Row],[av]]/10))</f>
        <v>1.168298880275624E-2</v>
      </c>
      <c r="X1260" s="2">
        <f>Table4[[#This Row],[av_lin]]-2*Table4[[#This Row],[std_lin]]</f>
        <v>-1.168298880275624E-2</v>
      </c>
      <c r="Y1260" s="2">
        <f>Table4[[#This Row],[av_lin]]+2*Table4[[#This Row],[std_lin]]</f>
        <v>3.5048966408268718E-2</v>
      </c>
    </row>
    <row r="1261" spans="1:25" x14ac:dyDescent="0.35">
      <c r="A1261" s="1">
        <v>21</v>
      </c>
      <c r="B1261" t="s">
        <v>16</v>
      </c>
      <c r="C1261" t="s">
        <v>17</v>
      </c>
      <c r="D1261" t="s">
        <v>41</v>
      </c>
      <c r="E1261" s="2">
        <v>23.81109615159345</v>
      </c>
      <c r="F1261" s="2">
        <v>0.25405101051956269</v>
      </c>
      <c r="G1261">
        <v>45</v>
      </c>
      <c r="H1261" t="s">
        <v>19</v>
      </c>
      <c r="M1261" s="2">
        <v>24.319198172632571</v>
      </c>
      <c r="N1261" s="2">
        <v>23.302994130554321</v>
      </c>
      <c r="O1261" s="2">
        <v>1.0162040420782501</v>
      </c>
      <c r="P1261" s="2">
        <v>93.7256502262955</v>
      </c>
      <c r="R1261" t="str">
        <f t="shared" si="57"/>
        <v>no</v>
      </c>
      <c r="S1261" t="str">
        <f t="shared" si="58"/>
        <v>no</v>
      </c>
      <c r="T12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1" s="2" t="b">
        <f t="shared" si="59"/>
        <v>1</v>
      </c>
      <c r="V1261" s="2">
        <f>IF(Table4[[#This Row],[linear?]],Table4[[#This Row],[av]],10^(Table4[[#This Row],[av]]/10))</f>
        <v>23.81109615159345</v>
      </c>
      <c r="W1261" s="2">
        <f>IF(Table4[[#This Row],[linear?]],Table4[[#This Row],[av]],10^(Table4[[#This Row],[av]]/10))</f>
        <v>23.81109615159345</v>
      </c>
      <c r="X1261" s="2">
        <f>Table4[[#This Row],[av_lin]]-2*Table4[[#This Row],[std_lin]]</f>
        <v>-23.81109615159345</v>
      </c>
      <c r="Y1261" s="2">
        <f>Table4[[#This Row],[av_lin]]+2*Table4[[#This Row],[std_lin]]</f>
        <v>71.433288454780353</v>
      </c>
    </row>
    <row r="1262" spans="1:25" x14ac:dyDescent="0.35">
      <c r="A1262" s="1">
        <v>22</v>
      </c>
      <c r="B1262" t="s">
        <v>16</v>
      </c>
      <c r="C1262" t="s">
        <v>17</v>
      </c>
      <c r="D1262" t="s">
        <v>42</v>
      </c>
      <c r="E1262" s="2">
        <v>1.4301595176571921E-2</v>
      </c>
      <c r="F1262" s="2">
        <v>7.5390910187436537E-3</v>
      </c>
      <c r="G1262">
        <v>45</v>
      </c>
      <c r="H1262" t="s">
        <v>19</v>
      </c>
      <c r="M1262" s="2">
        <v>2.9379777214059231E-2</v>
      </c>
      <c r="N1262" s="2">
        <v>-7.7658686091538684E-4</v>
      </c>
      <c r="O1262" s="2">
        <v>3.0156364074974611E-2</v>
      </c>
      <c r="P1262" s="2">
        <v>1.896991977018895</v>
      </c>
      <c r="R1262" t="str">
        <f t="shared" si="57"/>
        <v>no</v>
      </c>
      <c r="S1262" t="str">
        <f t="shared" si="58"/>
        <v>no</v>
      </c>
      <c r="T12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2" s="2" t="b">
        <f t="shared" si="59"/>
        <v>1</v>
      </c>
      <c r="V1262" s="2">
        <f>IF(Table4[[#This Row],[linear?]],Table4[[#This Row],[av]],10^(Table4[[#This Row],[av]]/10))</f>
        <v>1.4301595176571921E-2</v>
      </c>
      <c r="W1262" s="2">
        <f>IF(Table4[[#This Row],[linear?]],Table4[[#This Row],[av]],10^(Table4[[#This Row],[av]]/10))</f>
        <v>1.4301595176571921E-2</v>
      </c>
      <c r="X1262" s="2">
        <f>Table4[[#This Row],[av_lin]]-2*Table4[[#This Row],[std_lin]]</f>
        <v>-1.4301595176571921E-2</v>
      </c>
      <c r="Y1262" s="2">
        <f>Table4[[#This Row],[av_lin]]+2*Table4[[#This Row],[std_lin]]</f>
        <v>4.2904785529715758E-2</v>
      </c>
    </row>
    <row r="1263" spans="1:25" x14ac:dyDescent="0.35">
      <c r="A1263" s="1">
        <v>23</v>
      </c>
      <c r="B1263" t="s">
        <v>16</v>
      </c>
      <c r="C1263" t="s">
        <v>17</v>
      </c>
      <c r="D1263" t="s">
        <v>43</v>
      </c>
      <c r="E1263" s="2">
        <v>23.83939255641689</v>
      </c>
      <c r="F1263" s="2">
        <v>0.2395661663369193</v>
      </c>
      <c r="G1263">
        <v>45</v>
      </c>
      <c r="H1263" t="s">
        <v>19</v>
      </c>
      <c r="M1263" s="2">
        <v>24.318524889090732</v>
      </c>
      <c r="N1263" s="2">
        <v>23.360260223743051</v>
      </c>
      <c r="O1263" s="2">
        <v>0.95826466534767718</v>
      </c>
      <c r="P1263" s="2">
        <v>99.510681833468169</v>
      </c>
      <c r="R1263" t="str">
        <f t="shared" si="57"/>
        <v>no</v>
      </c>
      <c r="S1263" t="str">
        <f t="shared" si="58"/>
        <v>no</v>
      </c>
      <c r="T12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3" s="2" t="b">
        <f t="shared" si="59"/>
        <v>1</v>
      </c>
      <c r="V1263" s="2">
        <f>IF(Table4[[#This Row],[linear?]],Table4[[#This Row],[av]],10^(Table4[[#This Row],[av]]/10))</f>
        <v>23.83939255641689</v>
      </c>
      <c r="W1263" s="2">
        <f>IF(Table4[[#This Row],[linear?]],Table4[[#This Row],[av]],10^(Table4[[#This Row],[av]]/10))</f>
        <v>23.83939255641689</v>
      </c>
      <c r="X1263" s="2">
        <f>Table4[[#This Row],[av_lin]]-2*Table4[[#This Row],[std_lin]]</f>
        <v>-23.83939255641689</v>
      </c>
      <c r="Y1263" s="2">
        <f>Table4[[#This Row],[av_lin]]+2*Table4[[#This Row],[std_lin]]</f>
        <v>71.518177669250662</v>
      </c>
    </row>
    <row r="1264" spans="1:25" x14ac:dyDescent="0.35">
      <c r="A1264" s="1">
        <v>24</v>
      </c>
      <c r="B1264" t="s">
        <v>16</v>
      </c>
      <c r="C1264" t="s">
        <v>17</v>
      </c>
      <c r="D1264" t="s">
        <v>44</v>
      </c>
      <c r="E1264" s="2">
        <v>3.8034156813092159</v>
      </c>
      <c r="F1264" s="2">
        <v>0.18251788920451481</v>
      </c>
      <c r="G1264">
        <v>45</v>
      </c>
      <c r="H1264" t="s">
        <v>19</v>
      </c>
      <c r="M1264" s="2">
        <v>4.1684514597182458</v>
      </c>
      <c r="N1264" s="2">
        <v>3.438379902900186</v>
      </c>
      <c r="O1264" s="2">
        <v>0.73007155681805935</v>
      </c>
      <c r="P1264" s="2">
        <v>20.838591208160508</v>
      </c>
      <c r="R1264" t="str">
        <f t="shared" si="57"/>
        <v>no</v>
      </c>
      <c r="S1264" t="str">
        <f t="shared" si="58"/>
        <v>no</v>
      </c>
      <c r="T12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4" s="2" t="b">
        <f t="shared" si="59"/>
        <v>1</v>
      </c>
      <c r="V1264" s="2">
        <f>IF(Table4[[#This Row],[linear?]],Table4[[#This Row],[av]],10^(Table4[[#This Row],[av]]/10))</f>
        <v>3.8034156813092159</v>
      </c>
      <c r="W1264" s="2">
        <f>IF(Table4[[#This Row],[linear?]],Table4[[#This Row],[av]],10^(Table4[[#This Row],[av]]/10))</f>
        <v>3.8034156813092159</v>
      </c>
      <c r="X1264" s="2">
        <f>Table4[[#This Row],[av_lin]]-2*Table4[[#This Row],[std_lin]]</f>
        <v>-3.8034156813092159</v>
      </c>
      <c r="Y1264" s="2">
        <f>Table4[[#This Row],[av_lin]]+2*Table4[[#This Row],[std_lin]]</f>
        <v>11.410247043927647</v>
      </c>
    </row>
    <row r="1265" spans="1:25" x14ac:dyDescent="0.35">
      <c r="A1265" s="1">
        <v>25</v>
      </c>
      <c r="B1265" t="s">
        <v>16</v>
      </c>
      <c r="C1265" t="s">
        <v>17</v>
      </c>
      <c r="D1265" t="s">
        <v>45</v>
      </c>
      <c r="E1265" s="2">
        <v>35.906192639104233</v>
      </c>
      <c r="F1265" s="2">
        <v>0.1330579698352688</v>
      </c>
      <c r="G1265">
        <v>45</v>
      </c>
      <c r="H1265" t="s">
        <v>19</v>
      </c>
      <c r="M1265" s="2">
        <v>36.172308578774768</v>
      </c>
      <c r="N1265" s="2">
        <v>35.640076699433699</v>
      </c>
      <c r="O1265" s="2">
        <v>0.53223187934106875</v>
      </c>
      <c r="P1265" s="2">
        <v>269.85375384546728</v>
      </c>
      <c r="R1265" t="str">
        <f t="shared" si="57"/>
        <v>no</v>
      </c>
      <c r="S1265" t="str">
        <f t="shared" si="58"/>
        <v>no</v>
      </c>
      <c r="T12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5" s="2" t="b">
        <f t="shared" si="59"/>
        <v>1</v>
      </c>
      <c r="V1265" s="2">
        <f>IF(Table4[[#This Row],[linear?]],Table4[[#This Row],[av]],10^(Table4[[#This Row],[av]]/10))</f>
        <v>35.906192639104233</v>
      </c>
      <c r="W1265" s="2">
        <f>IF(Table4[[#This Row],[linear?]],Table4[[#This Row],[av]],10^(Table4[[#This Row],[av]]/10))</f>
        <v>35.906192639104233</v>
      </c>
      <c r="X1265" s="2">
        <f>Table4[[#This Row],[av_lin]]-2*Table4[[#This Row],[std_lin]]</f>
        <v>-35.906192639104233</v>
      </c>
      <c r="Y1265" s="2">
        <f>Table4[[#This Row],[av_lin]]+2*Table4[[#This Row],[std_lin]]</f>
        <v>107.7185779173127</v>
      </c>
    </row>
    <row r="1266" spans="1:25" x14ac:dyDescent="0.35">
      <c r="A1266" s="1">
        <v>26</v>
      </c>
      <c r="B1266" t="s">
        <v>16</v>
      </c>
      <c r="C1266" t="s">
        <v>17</v>
      </c>
      <c r="D1266" t="s">
        <v>46</v>
      </c>
      <c r="E1266" s="2">
        <v>3.6601160878552972</v>
      </c>
      <c r="F1266" s="2">
        <v>0.2246513838216623</v>
      </c>
      <c r="G1266">
        <v>45</v>
      </c>
      <c r="H1266" t="s">
        <v>19</v>
      </c>
      <c r="M1266" s="2">
        <v>4.109418855498622</v>
      </c>
      <c r="N1266" s="2">
        <v>3.210813320211972</v>
      </c>
      <c r="O1266" s="2">
        <v>0.89860553528664955</v>
      </c>
      <c r="P1266" s="2">
        <v>16.29242618314273</v>
      </c>
      <c r="R1266" t="str">
        <f t="shared" si="57"/>
        <v>no</v>
      </c>
      <c r="S1266" t="str">
        <f t="shared" si="58"/>
        <v>no</v>
      </c>
      <c r="T12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6" s="2" t="b">
        <f t="shared" si="59"/>
        <v>1</v>
      </c>
      <c r="V1266" s="2">
        <f>IF(Table4[[#This Row],[linear?]],Table4[[#This Row],[av]],10^(Table4[[#This Row],[av]]/10))</f>
        <v>3.6601160878552972</v>
      </c>
      <c r="W1266" s="2">
        <f>IF(Table4[[#This Row],[linear?]],Table4[[#This Row],[av]],10^(Table4[[#This Row],[av]]/10))</f>
        <v>3.6601160878552972</v>
      </c>
      <c r="X1266" s="2">
        <f>Table4[[#This Row],[av_lin]]-2*Table4[[#This Row],[std_lin]]</f>
        <v>-3.6601160878552972</v>
      </c>
      <c r="Y1266" s="2">
        <f>Table4[[#This Row],[av_lin]]+2*Table4[[#This Row],[std_lin]]</f>
        <v>10.980348263565892</v>
      </c>
    </row>
    <row r="1267" spans="1:25" x14ac:dyDescent="0.35">
      <c r="A1267" s="1">
        <v>27</v>
      </c>
      <c r="B1267" t="s">
        <v>16</v>
      </c>
      <c r="C1267" t="s">
        <v>17</v>
      </c>
      <c r="D1267" t="s">
        <v>47</v>
      </c>
      <c r="E1267" s="2">
        <v>35.89730291300603</v>
      </c>
      <c r="F1267" s="2">
        <v>0.1550848476731807</v>
      </c>
      <c r="G1267">
        <v>45</v>
      </c>
      <c r="H1267" t="s">
        <v>19</v>
      </c>
      <c r="M1267" s="2">
        <v>36.20747260835239</v>
      </c>
      <c r="N1267" s="2">
        <v>35.58713321765967</v>
      </c>
      <c r="O1267" s="2">
        <v>0.62033939069272037</v>
      </c>
      <c r="P1267" s="2">
        <v>231.46879564052901</v>
      </c>
      <c r="R1267" t="str">
        <f t="shared" si="57"/>
        <v>no</v>
      </c>
      <c r="S1267" t="str">
        <f t="shared" si="58"/>
        <v>no</v>
      </c>
      <c r="T12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7" s="2" t="b">
        <f t="shared" si="59"/>
        <v>1</v>
      </c>
      <c r="V1267" s="2">
        <f>IF(Table4[[#This Row],[linear?]],Table4[[#This Row],[av]],10^(Table4[[#This Row],[av]]/10))</f>
        <v>35.89730291300603</v>
      </c>
      <c r="W1267" s="2">
        <f>IF(Table4[[#This Row],[linear?]],Table4[[#This Row],[av]],10^(Table4[[#This Row],[av]]/10))</f>
        <v>35.89730291300603</v>
      </c>
      <c r="X1267" s="2">
        <f>Table4[[#This Row],[av_lin]]-2*Table4[[#This Row],[std_lin]]</f>
        <v>-35.89730291300603</v>
      </c>
      <c r="Y1267" s="2">
        <f>Table4[[#This Row],[av_lin]]+2*Table4[[#This Row],[std_lin]]</f>
        <v>107.69190873901809</v>
      </c>
    </row>
    <row r="1268" spans="1:25" x14ac:dyDescent="0.35">
      <c r="A1268" s="1">
        <v>28</v>
      </c>
      <c r="B1268" t="s">
        <v>16</v>
      </c>
      <c r="C1268" t="s">
        <v>17</v>
      </c>
      <c r="D1268" t="s">
        <v>48</v>
      </c>
      <c r="E1268" s="2">
        <v>3.4939418828596041</v>
      </c>
      <c r="F1268" s="2">
        <v>0.27392821067596018</v>
      </c>
      <c r="G1268">
        <v>45</v>
      </c>
      <c r="H1268" t="s">
        <v>19</v>
      </c>
      <c r="M1268" s="2">
        <v>4.0417983042115244</v>
      </c>
      <c r="N1268" s="2">
        <v>2.9460854615076841</v>
      </c>
      <c r="O1268" s="2">
        <v>1.095712842703841</v>
      </c>
      <c r="P1268" s="2">
        <v>12.754954570899301</v>
      </c>
      <c r="R1268" t="str">
        <f t="shared" si="57"/>
        <v>no</v>
      </c>
      <c r="S1268" t="str">
        <f t="shared" si="58"/>
        <v>no</v>
      </c>
      <c r="T12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8" s="2" t="b">
        <f t="shared" si="59"/>
        <v>1</v>
      </c>
      <c r="V1268" s="2">
        <f>IF(Table4[[#This Row],[linear?]],Table4[[#This Row],[av]],10^(Table4[[#This Row],[av]]/10))</f>
        <v>3.4939418828596041</v>
      </c>
      <c r="W1268" s="2">
        <f>IF(Table4[[#This Row],[linear?]],Table4[[#This Row],[av]],10^(Table4[[#This Row],[av]]/10))</f>
        <v>3.4939418828596041</v>
      </c>
      <c r="X1268" s="2">
        <f>Table4[[#This Row],[av_lin]]-2*Table4[[#This Row],[std_lin]]</f>
        <v>-3.4939418828596041</v>
      </c>
      <c r="Y1268" s="2">
        <f>Table4[[#This Row],[av_lin]]+2*Table4[[#This Row],[std_lin]]</f>
        <v>10.481825648578813</v>
      </c>
    </row>
    <row r="1269" spans="1:25" x14ac:dyDescent="0.35">
      <c r="A1269" s="1">
        <v>29</v>
      </c>
      <c r="B1269" t="s">
        <v>16</v>
      </c>
      <c r="C1269" t="s">
        <v>17</v>
      </c>
      <c r="D1269" t="s">
        <v>49</v>
      </c>
      <c r="E1269" s="2">
        <v>35.738971064599482</v>
      </c>
      <c r="F1269" s="2">
        <v>0.1589551350350154</v>
      </c>
      <c r="G1269">
        <v>45</v>
      </c>
      <c r="H1269" t="s">
        <v>19</v>
      </c>
      <c r="M1269" s="2">
        <v>36.056881334669512</v>
      </c>
      <c r="N1269" s="2">
        <v>35.421060794529453</v>
      </c>
      <c r="O1269" s="2">
        <v>0.63582054014005962</v>
      </c>
      <c r="P1269" s="2">
        <v>224.8368450426388</v>
      </c>
      <c r="R1269" t="str">
        <f t="shared" si="57"/>
        <v>no</v>
      </c>
      <c r="S1269" t="str">
        <f t="shared" si="58"/>
        <v>no</v>
      </c>
      <c r="T12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9" s="2" t="b">
        <f t="shared" si="59"/>
        <v>1</v>
      </c>
      <c r="V1269" s="2">
        <f>IF(Table4[[#This Row],[linear?]],Table4[[#This Row],[av]],10^(Table4[[#This Row],[av]]/10))</f>
        <v>35.738971064599482</v>
      </c>
      <c r="W1269" s="2">
        <f>IF(Table4[[#This Row],[linear?]],Table4[[#This Row],[av]],10^(Table4[[#This Row],[av]]/10))</f>
        <v>35.738971064599482</v>
      </c>
      <c r="X1269" s="2">
        <f>Table4[[#This Row],[av_lin]]-2*Table4[[#This Row],[std_lin]]</f>
        <v>-35.738971064599482</v>
      </c>
      <c r="Y1269" s="2">
        <f>Table4[[#This Row],[av_lin]]+2*Table4[[#This Row],[std_lin]]</f>
        <v>107.21691319379845</v>
      </c>
    </row>
    <row r="1270" spans="1:25" x14ac:dyDescent="0.35">
      <c r="A1270" s="1">
        <v>30</v>
      </c>
      <c r="B1270" t="s">
        <v>16</v>
      </c>
      <c r="C1270" t="s">
        <v>17</v>
      </c>
      <c r="D1270" t="s">
        <v>50</v>
      </c>
      <c r="E1270" s="2">
        <v>3.606734282515073</v>
      </c>
      <c r="F1270" s="2">
        <v>0.59315388686711157</v>
      </c>
      <c r="G1270">
        <v>45</v>
      </c>
      <c r="H1270" t="s">
        <v>19</v>
      </c>
      <c r="M1270" s="2">
        <v>4.7930420562492966</v>
      </c>
      <c r="N1270" s="2">
        <v>2.4204265087808499</v>
      </c>
      <c r="O1270" s="2">
        <v>2.3726155474684472</v>
      </c>
      <c r="P1270" s="2">
        <v>6.0806046497729769</v>
      </c>
      <c r="R1270" t="str">
        <f t="shared" si="57"/>
        <v>no</v>
      </c>
      <c r="S1270" t="str">
        <f t="shared" si="58"/>
        <v>no</v>
      </c>
      <c r="T12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0" s="2" t="b">
        <f t="shared" si="59"/>
        <v>1</v>
      </c>
      <c r="V1270" s="2">
        <f>IF(Table4[[#This Row],[linear?]],Table4[[#This Row],[av]],10^(Table4[[#This Row],[av]]/10))</f>
        <v>3.606734282515073</v>
      </c>
      <c r="W1270" s="2">
        <f>IF(Table4[[#This Row],[linear?]],Table4[[#This Row],[av]],10^(Table4[[#This Row],[av]]/10))</f>
        <v>3.606734282515073</v>
      </c>
      <c r="X1270" s="2">
        <f>Table4[[#This Row],[av_lin]]-2*Table4[[#This Row],[std_lin]]</f>
        <v>-3.606734282515073</v>
      </c>
      <c r="Y1270" s="2">
        <f>Table4[[#This Row],[av_lin]]+2*Table4[[#This Row],[std_lin]]</f>
        <v>10.820202847545218</v>
      </c>
    </row>
    <row r="1271" spans="1:25" x14ac:dyDescent="0.35">
      <c r="A1271" s="1">
        <v>31</v>
      </c>
      <c r="B1271" t="s">
        <v>16</v>
      </c>
      <c r="C1271" t="s">
        <v>17</v>
      </c>
      <c r="D1271" t="s">
        <v>51</v>
      </c>
      <c r="E1271" s="2">
        <v>35.830406804478898</v>
      </c>
      <c r="F1271" s="2">
        <v>0.14725548129318269</v>
      </c>
      <c r="G1271">
        <v>45</v>
      </c>
      <c r="H1271" t="s">
        <v>19</v>
      </c>
      <c r="M1271" s="2">
        <v>36.124917767065263</v>
      </c>
      <c r="N1271" s="2">
        <v>35.535895841892533</v>
      </c>
      <c r="O1271" s="2">
        <v>0.58902192517273022</v>
      </c>
      <c r="P1271" s="2">
        <v>243.32137920992761</v>
      </c>
      <c r="R1271" t="str">
        <f t="shared" si="57"/>
        <v>no</v>
      </c>
      <c r="S1271" t="str">
        <f t="shared" si="58"/>
        <v>no</v>
      </c>
      <c r="T12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1" s="2" t="b">
        <f t="shared" si="59"/>
        <v>1</v>
      </c>
      <c r="V1271" s="2">
        <f>IF(Table4[[#This Row],[linear?]],Table4[[#This Row],[av]],10^(Table4[[#This Row],[av]]/10))</f>
        <v>35.830406804478898</v>
      </c>
      <c r="W1271" s="2">
        <f>IF(Table4[[#This Row],[linear?]],Table4[[#This Row],[av]],10^(Table4[[#This Row],[av]]/10))</f>
        <v>35.830406804478898</v>
      </c>
      <c r="X1271" s="2">
        <f>Table4[[#This Row],[av_lin]]-2*Table4[[#This Row],[std_lin]]</f>
        <v>-35.830406804478898</v>
      </c>
      <c r="Y1271" s="2">
        <f>Table4[[#This Row],[av_lin]]+2*Table4[[#This Row],[std_lin]]</f>
        <v>107.49122041343669</v>
      </c>
    </row>
    <row r="1272" spans="1:25" x14ac:dyDescent="0.35">
      <c r="A1272" s="1">
        <v>32</v>
      </c>
      <c r="B1272" t="s">
        <v>16</v>
      </c>
      <c r="C1272" t="s">
        <v>17</v>
      </c>
      <c r="D1272" t="s">
        <v>52</v>
      </c>
      <c r="E1272" s="2">
        <v>3.5126990835486649</v>
      </c>
      <c r="F1272" s="2">
        <v>0.22315128103873541</v>
      </c>
      <c r="G1272">
        <v>45</v>
      </c>
      <c r="H1272" t="s">
        <v>19</v>
      </c>
      <c r="M1272" s="2">
        <v>3.9590016456261359</v>
      </c>
      <c r="N1272" s="2">
        <v>3.0663965214711939</v>
      </c>
      <c r="O1272" s="2">
        <v>0.89260512415494198</v>
      </c>
      <c r="P1272" s="2">
        <v>15.74133505843024</v>
      </c>
      <c r="R1272" t="str">
        <f t="shared" si="57"/>
        <v>no</v>
      </c>
      <c r="S1272" t="str">
        <f t="shared" si="58"/>
        <v>no</v>
      </c>
      <c r="T12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2" s="2" t="b">
        <f t="shared" si="59"/>
        <v>1</v>
      </c>
      <c r="V1272" s="2">
        <f>IF(Table4[[#This Row],[linear?]],Table4[[#This Row],[av]],10^(Table4[[#This Row],[av]]/10))</f>
        <v>3.5126990835486649</v>
      </c>
      <c r="W1272" s="2">
        <f>IF(Table4[[#This Row],[linear?]],Table4[[#This Row],[av]],10^(Table4[[#This Row],[av]]/10))</f>
        <v>3.5126990835486649</v>
      </c>
      <c r="X1272" s="2">
        <f>Table4[[#This Row],[av_lin]]-2*Table4[[#This Row],[std_lin]]</f>
        <v>-3.5126990835486649</v>
      </c>
      <c r="Y1272" s="2">
        <f>Table4[[#This Row],[av_lin]]+2*Table4[[#This Row],[std_lin]]</f>
        <v>10.538097250645995</v>
      </c>
    </row>
    <row r="1273" spans="1:25" x14ac:dyDescent="0.35">
      <c r="A1273" s="1">
        <v>33</v>
      </c>
      <c r="B1273" t="s">
        <v>16</v>
      </c>
      <c r="C1273" t="s">
        <v>17</v>
      </c>
      <c r="D1273" t="s">
        <v>53</v>
      </c>
      <c r="E1273" s="2">
        <v>35.866871033591721</v>
      </c>
      <c r="F1273" s="2">
        <v>0.20719006947011909</v>
      </c>
      <c r="G1273">
        <v>45</v>
      </c>
      <c r="H1273" t="s">
        <v>19</v>
      </c>
      <c r="M1273" s="2">
        <v>36.28125117253196</v>
      </c>
      <c r="N1273" s="2">
        <v>35.452490894651483</v>
      </c>
      <c r="O1273" s="2">
        <v>0.82876027788047679</v>
      </c>
      <c r="P1273" s="2">
        <v>173.11095616368061</v>
      </c>
      <c r="R1273" t="str">
        <f t="shared" si="57"/>
        <v>no</v>
      </c>
      <c r="S1273" t="str">
        <f t="shared" si="58"/>
        <v>no</v>
      </c>
      <c r="T12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3" s="2" t="b">
        <f t="shared" si="59"/>
        <v>1</v>
      </c>
      <c r="V1273" s="2">
        <f>IF(Table4[[#This Row],[linear?]],Table4[[#This Row],[av]],10^(Table4[[#This Row],[av]]/10))</f>
        <v>35.866871033591721</v>
      </c>
      <c r="W1273" s="2">
        <f>IF(Table4[[#This Row],[linear?]],Table4[[#This Row],[av]],10^(Table4[[#This Row],[av]]/10))</f>
        <v>35.866871033591721</v>
      </c>
      <c r="X1273" s="2">
        <f>Table4[[#This Row],[av_lin]]-2*Table4[[#This Row],[std_lin]]</f>
        <v>-35.866871033591721</v>
      </c>
      <c r="Y1273" s="2">
        <f>Table4[[#This Row],[av_lin]]+2*Table4[[#This Row],[std_lin]]</f>
        <v>107.60061310077516</v>
      </c>
    </row>
    <row r="1274" spans="1:25" x14ac:dyDescent="0.35">
      <c r="A1274" s="1">
        <v>34</v>
      </c>
      <c r="B1274" t="s">
        <v>16</v>
      </c>
      <c r="C1274" t="s">
        <v>17</v>
      </c>
      <c r="D1274" t="s">
        <v>54</v>
      </c>
      <c r="E1274" s="2">
        <v>3.5745753488372092</v>
      </c>
      <c r="F1274" s="2">
        <v>0.25886639825147439</v>
      </c>
      <c r="G1274">
        <v>45</v>
      </c>
      <c r="H1274" t="s">
        <v>19</v>
      </c>
      <c r="M1274" s="2">
        <v>4.0923081453401577</v>
      </c>
      <c r="N1274" s="2">
        <v>3.0568425523342611</v>
      </c>
      <c r="O1274" s="2">
        <v>1.0354655930058969</v>
      </c>
      <c r="P1274" s="2">
        <v>13.808572193926491</v>
      </c>
      <c r="R1274" t="str">
        <f t="shared" si="57"/>
        <v>no</v>
      </c>
      <c r="S1274" t="str">
        <f t="shared" si="58"/>
        <v>no</v>
      </c>
      <c r="T12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4" s="2" t="b">
        <f t="shared" si="59"/>
        <v>1</v>
      </c>
      <c r="V1274" s="2">
        <f>IF(Table4[[#This Row],[linear?]],Table4[[#This Row],[av]],10^(Table4[[#This Row],[av]]/10))</f>
        <v>3.5745753488372092</v>
      </c>
      <c r="W1274" s="2">
        <f>IF(Table4[[#This Row],[linear?]],Table4[[#This Row],[av]],10^(Table4[[#This Row],[av]]/10))</f>
        <v>3.5745753488372092</v>
      </c>
      <c r="X1274" s="2">
        <f>Table4[[#This Row],[av_lin]]-2*Table4[[#This Row],[std_lin]]</f>
        <v>-3.5745753488372092</v>
      </c>
      <c r="Y1274" s="2">
        <f>Table4[[#This Row],[av_lin]]+2*Table4[[#This Row],[std_lin]]</f>
        <v>10.723726046511628</v>
      </c>
    </row>
    <row r="1275" spans="1:25" x14ac:dyDescent="0.35">
      <c r="A1275" s="1">
        <v>35</v>
      </c>
      <c r="B1275" t="s">
        <v>16</v>
      </c>
      <c r="C1275" t="s">
        <v>17</v>
      </c>
      <c r="D1275" t="s">
        <v>55</v>
      </c>
      <c r="E1275" s="2">
        <v>35.821274244616703</v>
      </c>
      <c r="F1275" s="2">
        <v>9.3214889107751789E-2</v>
      </c>
      <c r="G1275">
        <v>45</v>
      </c>
      <c r="H1275" t="s">
        <v>19</v>
      </c>
      <c r="M1275" s="2">
        <v>36.007704022832208</v>
      </c>
      <c r="N1275" s="2">
        <v>35.634844466401198</v>
      </c>
      <c r="O1275" s="2">
        <v>0.37285955643100982</v>
      </c>
      <c r="P1275" s="2">
        <v>384.28704456440522</v>
      </c>
      <c r="R1275" t="str">
        <f t="shared" si="57"/>
        <v>no</v>
      </c>
      <c r="S1275" t="str">
        <f t="shared" si="58"/>
        <v>no</v>
      </c>
      <c r="T12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5" s="2" t="b">
        <f t="shared" si="59"/>
        <v>1</v>
      </c>
      <c r="V1275" s="2">
        <f>IF(Table4[[#This Row],[linear?]],Table4[[#This Row],[av]],10^(Table4[[#This Row],[av]]/10))</f>
        <v>35.821274244616703</v>
      </c>
      <c r="W1275" s="2">
        <f>IF(Table4[[#This Row],[linear?]],Table4[[#This Row],[av]],10^(Table4[[#This Row],[av]]/10))</f>
        <v>35.821274244616703</v>
      </c>
      <c r="X1275" s="2">
        <f>Table4[[#This Row],[av_lin]]-2*Table4[[#This Row],[std_lin]]</f>
        <v>-35.821274244616703</v>
      </c>
      <c r="Y1275" s="2">
        <f>Table4[[#This Row],[av_lin]]+2*Table4[[#This Row],[std_lin]]</f>
        <v>107.46382273385011</v>
      </c>
    </row>
    <row r="1276" spans="1:25" x14ac:dyDescent="0.35">
      <c r="A1276" s="1">
        <v>53</v>
      </c>
      <c r="B1276" t="s">
        <v>75</v>
      </c>
      <c r="C1276" t="s">
        <v>76</v>
      </c>
      <c r="D1276" t="s">
        <v>77</v>
      </c>
      <c r="G1276">
        <v>27</v>
      </c>
      <c r="H1276" t="s">
        <v>19</v>
      </c>
      <c r="R1276" t="str">
        <f t="shared" si="57"/>
        <v>no</v>
      </c>
      <c r="S1276" t="str">
        <f t="shared" si="58"/>
        <v>no</v>
      </c>
      <c r="T12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6" s="2" t="b">
        <f t="shared" si="59"/>
        <v>1</v>
      </c>
      <c r="V1276" s="2">
        <f>IF(Table4[[#This Row],[linear?]],Table4[[#This Row],[av]],10^(Table4[[#This Row],[av]]/10))</f>
        <v>0</v>
      </c>
      <c r="W1276" s="2">
        <f>IF(Table4[[#This Row],[linear?]],Table4[[#This Row],[av]],10^(Table4[[#This Row],[av]]/10))</f>
        <v>0</v>
      </c>
      <c r="X1276" s="2">
        <f>Table4[[#This Row],[av_lin]]-2*Table4[[#This Row],[std_lin]]</f>
        <v>0</v>
      </c>
      <c r="Y1276" s="2">
        <f>Table4[[#This Row],[av_lin]]+2*Table4[[#This Row],[std_lin]]</f>
        <v>0</v>
      </c>
    </row>
    <row r="1277" spans="1:25" x14ac:dyDescent="0.35">
      <c r="A1277" s="1">
        <v>54</v>
      </c>
      <c r="B1277" t="s">
        <v>75</v>
      </c>
      <c r="C1277" t="s">
        <v>76</v>
      </c>
      <c r="D1277" t="s">
        <v>78</v>
      </c>
      <c r="E1277" s="2">
        <v>1</v>
      </c>
      <c r="F1277" s="2">
        <v>0</v>
      </c>
      <c r="G1277">
        <v>27</v>
      </c>
      <c r="H1277" t="s">
        <v>19</v>
      </c>
      <c r="M1277" s="2">
        <v>1</v>
      </c>
      <c r="N1277" s="2">
        <v>1</v>
      </c>
      <c r="O1277" s="2">
        <v>0</v>
      </c>
      <c r="P1277" s="2" t="s">
        <v>21</v>
      </c>
      <c r="R1277" t="str">
        <f t="shared" si="57"/>
        <v>no</v>
      </c>
      <c r="S1277" t="str">
        <f t="shared" si="58"/>
        <v>no</v>
      </c>
      <c r="T12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7" s="2" t="b">
        <f t="shared" si="59"/>
        <v>1</v>
      </c>
      <c r="V1277" s="2">
        <f>IF(Table4[[#This Row],[linear?]],Table4[[#This Row],[av]],10^(Table4[[#This Row],[av]]/10))</f>
        <v>1</v>
      </c>
      <c r="W1277" s="2">
        <f>IF(Table4[[#This Row],[linear?]],Table4[[#This Row],[av]],10^(Table4[[#This Row],[av]]/10))</f>
        <v>1</v>
      </c>
      <c r="X1277" s="2">
        <f>Table4[[#This Row],[av_lin]]-2*Table4[[#This Row],[std_lin]]</f>
        <v>-1</v>
      </c>
      <c r="Y1277" s="2">
        <f>Table4[[#This Row],[av_lin]]+2*Table4[[#This Row],[std_lin]]</f>
        <v>3</v>
      </c>
    </row>
    <row r="1278" spans="1:25" x14ac:dyDescent="0.35">
      <c r="A1278" s="1">
        <v>55</v>
      </c>
      <c r="B1278" t="s">
        <v>75</v>
      </c>
      <c r="C1278" t="s">
        <v>76</v>
      </c>
      <c r="D1278" t="s">
        <v>79</v>
      </c>
      <c r="E1278" s="2">
        <v>1</v>
      </c>
      <c r="F1278" s="2">
        <v>0</v>
      </c>
      <c r="G1278">
        <v>27</v>
      </c>
      <c r="H1278" t="s">
        <v>19</v>
      </c>
      <c r="M1278" s="2">
        <v>1</v>
      </c>
      <c r="N1278" s="2">
        <v>1</v>
      </c>
      <c r="O1278" s="2">
        <v>0</v>
      </c>
      <c r="P1278" s="2" t="s">
        <v>21</v>
      </c>
      <c r="R1278" t="str">
        <f t="shared" si="57"/>
        <v>no</v>
      </c>
      <c r="S1278" t="str">
        <f t="shared" si="58"/>
        <v>no</v>
      </c>
      <c r="T12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8" s="2" t="b">
        <f t="shared" si="59"/>
        <v>1</v>
      </c>
      <c r="V1278" s="2">
        <f>IF(Table4[[#This Row],[linear?]],Table4[[#This Row],[av]],10^(Table4[[#This Row],[av]]/10))</f>
        <v>1</v>
      </c>
      <c r="W1278" s="2">
        <f>IF(Table4[[#This Row],[linear?]],Table4[[#This Row],[av]],10^(Table4[[#This Row],[av]]/10))</f>
        <v>1</v>
      </c>
      <c r="X1278" s="2">
        <f>Table4[[#This Row],[av_lin]]-2*Table4[[#This Row],[std_lin]]</f>
        <v>-1</v>
      </c>
      <c r="Y1278" s="2">
        <f>Table4[[#This Row],[av_lin]]+2*Table4[[#This Row],[std_lin]]</f>
        <v>3</v>
      </c>
    </row>
    <row r="1279" spans="1:25" x14ac:dyDescent="0.35">
      <c r="A1279" s="1">
        <v>56</v>
      </c>
      <c r="B1279" t="s">
        <v>75</v>
      </c>
      <c r="C1279" t="s">
        <v>76</v>
      </c>
      <c r="D1279" t="s">
        <v>80</v>
      </c>
      <c r="E1279" s="2">
        <v>1</v>
      </c>
      <c r="F1279" s="2">
        <v>0</v>
      </c>
      <c r="G1279">
        <v>27</v>
      </c>
      <c r="H1279" t="s">
        <v>19</v>
      </c>
      <c r="M1279" s="2">
        <v>1</v>
      </c>
      <c r="N1279" s="2">
        <v>1</v>
      </c>
      <c r="O1279" s="2">
        <v>0</v>
      </c>
      <c r="P1279" s="2" t="s">
        <v>21</v>
      </c>
      <c r="R1279" t="str">
        <f t="shared" si="57"/>
        <v>no</v>
      </c>
      <c r="S1279" t="str">
        <f t="shared" si="58"/>
        <v>no</v>
      </c>
      <c r="T12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9" s="2" t="b">
        <f t="shared" si="59"/>
        <v>1</v>
      </c>
      <c r="V1279" s="2">
        <f>IF(Table4[[#This Row],[linear?]],Table4[[#This Row],[av]],10^(Table4[[#This Row],[av]]/10))</f>
        <v>1</v>
      </c>
      <c r="W1279" s="2">
        <f>IF(Table4[[#This Row],[linear?]],Table4[[#This Row],[av]],10^(Table4[[#This Row],[av]]/10))</f>
        <v>1</v>
      </c>
      <c r="X1279" s="2">
        <f>Table4[[#This Row],[av_lin]]-2*Table4[[#This Row],[std_lin]]</f>
        <v>-1</v>
      </c>
      <c r="Y1279" s="2">
        <f>Table4[[#This Row],[av_lin]]+2*Table4[[#This Row],[std_lin]]</f>
        <v>3</v>
      </c>
    </row>
    <row r="1280" spans="1:25" x14ac:dyDescent="0.35">
      <c r="A1280" s="1">
        <v>57</v>
      </c>
      <c r="B1280" t="s">
        <v>75</v>
      </c>
      <c r="C1280" t="s">
        <v>76</v>
      </c>
      <c r="D1280" t="s">
        <v>81</v>
      </c>
      <c r="E1280" s="2">
        <v>1</v>
      </c>
      <c r="F1280" s="2">
        <v>0</v>
      </c>
      <c r="G1280">
        <v>27</v>
      </c>
      <c r="H1280" t="s">
        <v>19</v>
      </c>
      <c r="M1280" s="2">
        <v>1</v>
      </c>
      <c r="N1280" s="2">
        <v>1</v>
      </c>
      <c r="O1280" s="2">
        <v>0</v>
      </c>
      <c r="P1280" s="2" t="s">
        <v>21</v>
      </c>
      <c r="R1280" t="str">
        <f t="shared" si="57"/>
        <v>no</v>
      </c>
      <c r="S1280" t="str">
        <f t="shared" si="58"/>
        <v>no</v>
      </c>
      <c r="T12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0" s="2" t="b">
        <f t="shared" si="59"/>
        <v>1</v>
      </c>
      <c r="V1280" s="2">
        <f>IF(Table4[[#This Row],[linear?]],Table4[[#This Row],[av]],10^(Table4[[#This Row],[av]]/10))</f>
        <v>1</v>
      </c>
      <c r="W1280" s="2">
        <f>IF(Table4[[#This Row],[linear?]],Table4[[#This Row],[av]],10^(Table4[[#This Row],[av]]/10))</f>
        <v>1</v>
      </c>
      <c r="X1280" s="2">
        <f>Table4[[#This Row],[av_lin]]-2*Table4[[#This Row],[std_lin]]</f>
        <v>-1</v>
      </c>
      <c r="Y1280" s="2">
        <f>Table4[[#This Row],[av_lin]]+2*Table4[[#This Row],[std_lin]]</f>
        <v>3</v>
      </c>
    </row>
    <row r="1281" spans="1:25" x14ac:dyDescent="0.35">
      <c r="A1281" s="1">
        <v>58</v>
      </c>
      <c r="B1281" t="s">
        <v>75</v>
      </c>
      <c r="C1281" t="s">
        <v>76</v>
      </c>
      <c r="D1281" t="s">
        <v>82</v>
      </c>
      <c r="E1281" s="2">
        <v>1</v>
      </c>
      <c r="F1281" s="2">
        <v>0</v>
      </c>
      <c r="G1281">
        <v>27</v>
      </c>
      <c r="H1281" t="s">
        <v>19</v>
      </c>
      <c r="M1281" s="2">
        <v>1</v>
      </c>
      <c r="N1281" s="2">
        <v>1</v>
      </c>
      <c r="O1281" s="2">
        <v>0</v>
      </c>
      <c r="P1281" s="2" t="s">
        <v>21</v>
      </c>
      <c r="R1281" t="str">
        <f t="shared" si="57"/>
        <v>no</v>
      </c>
      <c r="S1281" t="str">
        <f t="shared" si="58"/>
        <v>no</v>
      </c>
      <c r="T12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1" s="2" t="b">
        <f t="shared" si="59"/>
        <v>1</v>
      </c>
      <c r="V1281" s="2">
        <f>IF(Table4[[#This Row],[linear?]],Table4[[#This Row],[av]],10^(Table4[[#This Row],[av]]/10))</f>
        <v>1</v>
      </c>
      <c r="W1281" s="2">
        <f>IF(Table4[[#This Row],[linear?]],Table4[[#This Row],[av]],10^(Table4[[#This Row],[av]]/10))</f>
        <v>1</v>
      </c>
      <c r="X1281" s="2">
        <f>Table4[[#This Row],[av_lin]]-2*Table4[[#This Row],[std_lin]]</f>
        <v>-1</v>
      </c>
      <c r="Y1281" s="2">
        <f>Table4[[#This Row],[av_lin]]+2*Table4[[#This Row],[std_lin]]</f>
        <v>3</v>
      </c>
    </row>
    <row r="1282" spans="1:25" x14ac:dyDescent="0.35">
      <c r="A1282" s="1">
        <v>59</v>
      </c>
      <c r="B1282" t="s">
        <v>75</v>
      </c>
      <c r="C1282" t="s">
        <v>76</v>
      </c>
      <c r="D1282" t="s">
        <v>83</v>
      </c>
      <c r="E1282" s="2">
        <v>1</v>
      </c>
      <c r="F1282" s="2">
        <v>0</v>
      </c>
      <c r="G1282">
        <v>27</v>
      </c>
      <c r="H1282" t="s">
        <v>19</v>
      </c>
      <c r="M1282" s="2">
        <v>1</v>
      </c>
      <c r="N1282" s="2">
        <v>1</v>
      </c>
      <c r="O1282" s="2">
        <v>0</v>
      </c>
      <c r="P1282" s="2" t="s">
        <v>21</v>
      </c>
      <c r="R1282" t="str">
        <f t="shared" ref="R1282:R1345" si="60">IF(H1282="yes","yes","no")</f>
        <v>no</v>
      </c>
      <c r="S1282" t="str">
        <f t="shared" ref="S1282:S1345" si="61">IF(I1282,"yes","no")</f>
        <v>no</v>
      </c>
      <c r="T12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2" s="2" t="b">
        <f t="shared" ref="U1282:U1345" si="62">NOT(ISNUMBER(SEARCH("RFIC*POWER", D1282)))</f>
        <v>1</v>
      </c>
      <c r="V1282" s="2">
        <f>IF(Table4[[#This Row],[linear?]],Table4[[#This Row],[av]],10^(Table4[[#This Row],[av]]/10))</f>
        <v>1</v>
      </c>
      <c r="W1282" s="2">
        <f>IF(Table4[[#This Row],[linear?]],Table4[[#This Row],[av]],10^(Table4[[#This Row],[av]]/10))</f>
        <v>1</v>
      </c>
      <c r="X1282" s="2">
        <f>Table4[[#This Row],[av_lin]]-2*Table4[[#This Row],[std_lin]]</f>
        <v>-1</v>
      </c>
      <c r="Y1282" s="2">
        <f>Table4[[#This Row],[av_lin]]+2*Table4[[#This Row],[std_lin]]</f>
        <v>3</v>
      </c>
    </row>
    <row r="1283" spans="1:25" x14ac:dyDescent="0.35">
      <c r="A1283" s="1">
        <v>60</v>
      </c>
      <c r="B1283" t="s">
        <v>75</v>
      </c>
      <c r="C1283" t="s">
        <v>76</v>
      </c>
      <c r="D1283" t="s">
        <v>84</v>
      </c>
      <c r="E1283" s="2">
        <v>1</v>
      </c>
      <c r="F1283" s="2">
        <v>0</v>
      </c>
      <c r="G1283">
        <v>27</v>
      </c>
      <c r="H1283" t="s">
        <v>19</v>
      </c>
      <c r="M1283" s="2">
        <v>1</v>
      </c>
      <c r="N1283" s="2">
        <v>1</v>
      </c>
      <c r="O1283" s="2">
        <v>0</v>
      </c>
      <c r="P1283" s="2" t="s">
        <v>21</v>
      </c>
      <c r="R1283" t="str">
        <f t="shared" si="60"/>
        <v>no</v>
      </c>
      <c r="S1283" t="str">
        <f t="shared" si="61"/>
        <v>no</v>
      </c>
      <c r="T12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3" s="2" t="b">
        <f t="shared" si="62"/>
        <v>1</v>
      </c>
      <c r="V1283" s="2">
        <f>IF(Table4[[#This Row],[linear?]],Table4[[#This Row],[av]],10^(Table4[[#This Row],[av]]/10))</f>
        <v>1</v>
      </c>
      <c r="W1283" s="2">
        <f>IF(Table4[[#This Row],[linear?]],Table4[[#This Row],[av]],10^(Table4[[#This Row],[av]]/10))</f>
        <v>1</v>
      </c>
      <c r="X1283" s="2">
        <f>Table4[[#This Row],[av_lin]]-2*Table4[[#This Row],[std_lin]]</f>
        <v>-1</v>
      </c>
      <c r="Y1283" s="2">
        <f>Table4[[#This Row],[av_lin]]+2*Table4[[#This Row],[std_lin]]</f>
        <v>3</v>
      </c>
    </row>
    <row r="1284" spans="1:25" x14ac:dyDescent="0.35">
      <c r="A1284" s="1">
        <v>61</v>
      </c>
      <c r="B1284" t="s">
        <v>75</v>
      </c>
      <c r="C1284" t="s">
        <v>76</v>
      </c>
      <c r="D1284" t="s">
        <v>85</v>
      </c>
      <c r="E1284" s="2">
        <v>48.398895208641967</v>
      </c>
      <c r="F1284" s="2">
        <v>3.508381603602404</v>
      </c>
      <c r="G1284">
        <v>27</v>
      </c>
      <c r="H1284" t="s">
        <v>19</v>
      </c>
      <c r="M1284" s="2">
        <v>55.415658415846778</v>
      </c>
      <c r="N1284" s="2">
        <v>41.382132001437157</v>
      </c>
      <c r="O1284" s="2">
        <v>14.03352641440962</v>
      </c>
      <c r="P1284" s="2">
        <v>13.795219755726119</v>
      </c>
      <c r="R1284" t="str">
        <f t="shared" si="60"/>
        <v>no</v>
      </c>
      <c r="S1284" t="str">
        <f t="shared" si="61"/>
        <v>no</v>
      </c>
      <c r="T12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4" s="2" t="b">
        <f t="shared" si="62"/>
        <v>1</v>
      </c>
      <c r="V1284" s="2">
        <f>IF(Table4[[#This Row],[linear?]],Table4[[#This Row],[av]],10^(Table4[[#This Row],[av]]/10))</f>
        <v>48.398895208641967</v>
      </c>
      <c r="W1284" s="2">
        <f>IF(Table4[[#This Row],[linear?]],Table4[[#This Row],[av]],10^(Table4[[#This Row],[av]]/10))</f>
        <v>48.398895208641967</v>
      </c>
      <c r="X1284" s="2">
        <f>Table4[[#This Row],[av_lin]]-2*Table4[[#This Row],[std_lin]]</f>
        <v>-48.398895208641967</v>
      </c>
      <c r="Y1284" s="2">
        <f>Table4[[#This Row],[av_lin]]+2*Table4[[#This Row],[std_lin]]</f>
        <v>145.19668562592591</v>
      </c>
    </row>
    <row r="1285" spans="1:25" x14ac:dyDescent="0.35">
      <c r="A1285" s="1">
        <v>62</v>
      </c>
      <c r="B1285" t="s">
        <v>75</v>
      </c>
      <c r="C1285" t="s">
        <v>76</v>
      </c>
      <c r="D1285" t="s">
        <v>86</v>
      </c>
      <c r="G1285">
        <v>27</v>
      </c>
      <c r="H1285" t="s">
        <v>19</v>
      </c>
      <c r="R1285" t="str">
        <f t="shared" si="60"/>
        <v>no</v>
      </c>
      <c r="S1285" t="str">
        <f t="shared" si="61"/>
        <v>no</v>
      </c>
      <c r="T12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5" s="2" t="b">
        <f t="shared" si="62"/>
        <v>1</v>
      </c>
      <c r="V1285" s="2">
        <f>IF(Table4[[#This Row],[linear?]],Table4[[#This Row],[av]],10^(Table4[[#This Row],[av]]/10))</f>
        <v>0</v>
      </c>
      <c r="W1285" s="2">
        <f>IF(Table4[[#This Row],[linear?]],Table4[[#This Row],[av]],10^(Table4[[#This Row],[av]]/10))</f>
        <v>0</v>
      </c>
      <c r="X1285" s="2">
        <f>Table4[[#This Row],[av_lin]]-2*Table4[[#This Row],[std_lin]]</f>
        <v>0</v>
      </c>
      <c r="Y1285" s="2">
        <f>Table4[[#This Row],[av_lin]]+2*Table4[[#This Row],[std_lin]]</f>
        <v>0</v>
      </c>
    </row>
    <row r="1286" spans="1:25" x14ac:dyDescent="0.35">
      <c r="A1286" s="1">
        <v>63</v>
      </c>
      <c r="B1286" t="s">
        <v>75</v>
      </c>
      <c r="C1286" t="s">
        <v>87</v>
      </c>
      <c r="D1286" t="s">
        <v>88</v>
      </c>
      <c r="G1286">
        <v>27</v>
      </c>
      <c r="H1286" t="s">
        <v>19</v>
      </c>
      <c r="R1286" t="str">
        <f t="shared" si="60"/>
        <v>no</v>
      </c>
      <c r="S1286" t="str">
        <f t="shared" si="61"/>
        <v>no</v>
      </c>
      <c r="T12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6" s="2" t="b">
        <f t="shared" si="62"/>
        <v>1</v>
      </c>
      <c r="V1286" s="2">
        <f>IF(Table4[[#This Row],[linear?]],Table4[[#This Row],[av]],10^(Table4[[#This Row],[av]]/10))</f>
        <v>0</v>
      </c>
      <c r="W1286" s="2">
        <f>IF(Table4[[#This Row],[linear?]],Table4[[#This Row],[av]],10^(Table4[[#This Row],[av]]/10))</f>
        <v>0</v>
      </c>
      <c r="X1286" s="2">
        <f>Table4[[#This Row],[av_lin]]-2*Table4[[#This Row],[std_lin]]</f>
        <v>0</v>
      </c>
      <c r="Y1286" s="2">
        <f>Table4[[#This Row],[av_lin]]+2*Table4[[#This Row],[std_lin]]</f>
        <v>0</v>
      </c>
    </row>
    <row r="1287" spans="1:25" x14ac:dyDescent="0.35">
      <c r="A1287" s="1">
        <v>64</v>
      </c>
      <c r="B1287" t="s">
        <v>75</v>
      </c>
      <c r="C1287" t="s">
        <v>87</v>
      </c>
      <c r="D1287" t="s">
        <v>89</v>
      </c>
      <c r="E1287" s="2">
        <v>1</v>
      </c>
      <c r="F1287" s="2">
        <v>0</v>
      </c>
      <c r="G1287">
        <v>27</v>
      </c>
      <c r="H1287" t="s">
        <v>19</v>
      </c>
      <c r="M1287" s="2">
        <v>1</v>
      </c>
      <c r="N1287" s="2">
        <v>1</v>
      </c>
      <c r="O1287" s="2">
        <v>0</v>
      </c>
      <c r="P1287" s="2" t="s">
        <v>21</v>
      </c>
      <c r="R1287" t="str">
        <f t="shared" si="60"/>
        <v>no</v>
      </c>
      <c r="S1287" t="str">
        <f t="shared" si="61"/>
        <v>no</v>
      </c>
      <c r="T12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7" s="2" t="b">
        <f t="shared" si="62"/>
        <v>1</v>
      </c>
      <c r="V1287" s="2">
        <f>IF(Table4[[#This Row],[linear?]],Table4[[#This Row],[av]],10^(Table4[[#This Row],[av]]/10))</f>
        <v>1</v>
      </c>
      <c r="W1287" s="2">
        <f>IF(Table4[[#This Row],[linear?]],Table4[[#This Row],[av]],10^(Table4[[#This Row],[av]]/10))</f>
        <v>1</v>
      </c>
      <c r="X1287" s="2">
        <f>Table4[[#This Row],[av_lin]]-2*Table4[[#This Row],[std_lin]]</f>
        <v>-1</v>
      </c>
      <c r="Y1287" s="2">
        <f>Table4[[#This Row],[av_lin]]+2*Table4[[#This Row],[std_lin]]</f>
        <v>3</v>
      </c>
    </row>
    <row r="1288" spans="1:25" x14ac:dyDescent="0.35">
      <c r="A1288" s="1">
        <v>65</v>
      </c>
      <c r="B1288" t="s">
        <v>75</v>
      </c>
      <c r="C1288" t="s">
        <v>87</v>
      </c>
      <c r="D1288" t="s">
        <v>90</v>
      </c>
      <c r="E1288" s="2">
        <v>1</v>
      </c>
      <c r="F1288" s="2">
        <v>0</v>
      </c>
      <c r="G1288">
        <v>27</v>
      </c>
      <c r="H1288" t="s">
        <v>19</v>
      </c>
      <c r="M1288" s="2">
        <v>1</v>
      </c>
      <c r="N1288" s="2">
        <v>1</v>
      </c>
      <c r="O1288" s="2">
        <v>0</v>
      </c>
      <c r="P1288" s="2" t="s">
        <v>21</v>
      </c>
      <c r="R1288" t="str">
        <f t="shared" si="60"/>
        <v>no</v>
      </c>
      <c r="S1288" t="str">
        <f t="shared" si="61"/>
        <v>no</v>
      </c>
      <c r="T12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8" s="2" t="b">
        <f t="shared" si="62"/>
        <v>1</v>
      </c>
      <c r="V1288" s="2">
        <f>IF(Table4[[#This Row],[linear?]],Table4[[#This Row],[av]],10^(Table4[[#This Row],[av]]/10))</f>
        <v>1</v>
      </c>
      <c r="W1288" s="2">
        <f>IF(Table4[[#This Row],[linear?]],Table4[[#This Row],[av]],10^(Table4[[#This Row],[av]]/10))</f>
        <v>1</v>
      </c>
      <c r="X1288" s="2">
        <f>Table4[[#This Row],[av_lin]]-2*Table4[[#This Row],[std_lin]]</f>
        <v>-1</v>
      </c>
      <c r="Y1288" s="2">
        <f>Table4[[#This Row],[av_lin]]+2*Table4[[#This Row],[std_lin]]</f>
        <v>3</v>
      </c>
    </row>
    <row r="1289" spans="1:25" x14ac:dyDescent="0.35">
      <c r="A1289" s="1">
        <v>66</v>
      </c>
      <c r="B1289" t="s">
        <v>75</v>
      </c>
      <c r="C1289" t="s">
        <v>87</v>
      </c>
      <c r="D1289" t="s">
        <v>91</v>
      </c>
      <c r="G1289">
        <v>27</v>
      </c>
      <c r="H1289" t="s">
        <v>19</v>
      </c>
      <c r="R1289" t="str">
        <f t="shared" si="60"/>
        <v>no</v>
      </c>
      <c r="S1289" t="str">
        <f t="shared" si="61"/>
        <v>no</v>
      </c>
      <c r="T12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9" s="2" t="b">
        <f t="shared" si="62"/>
        <v>1</v>
      </c>
      <c r="V1289" s="2">
        <f>IF(Table4[[#This Row],[linear?]],Table4[[#This Row],[av]],10^(Table4[[#This Row],[av]]/10))</f>
        <v>0</v>
      </c>
      <c r="W1289" s="2">
        <f>IF(Table4[[#This Row],[linear?]],Table4[[#This Row],[av]],10^(Table4[[#This Row],[av]]/10))</f>
        <v>0</v>
      </c>
      <c r="X1289" s="2">
        <f>Table4[[#This Row],[av_lin]]-2*Table4[[#This Row],[std_lin]]</f>
        <v>0</v>
      </c>
      <c r="Y1289" s="2">
        <f>Table4[[#This Row],[av_lin]]+2*Table4[[#This Row],[std_lin]]</f>
        <v>0</v>
      </c>
    </row>
    <row r="1290" spans="1:25" x14ac:dyDescent="0.35">
      <c r="A1290" s="1">
        <v>67</v>
      </c>
      <c r="B1290" t="s">
        <v>75</v>
      </c>
      <c r="C1290" t="s">
        <v>87</v>
      </c>
      <c r="D1290" t="s">
        <v>92</v>
      </c>
      <c r="E1290" s="2">
        <v>35.836111111111109</v>
      </c>
      <c r="F1290" s="2">
        <v>4.1147458443690734</v>
      </c>
      <c r="G1290">
        <v>27</v>
      </c>
      <c r="H1290" t="s">
        <v>19</v>
      </c>
      <c r="M1290" s="2">
        <v>44.065602799849259</v>
      </c>
      <c r="N1290" s="2">
        <v>27.606619422372962</v>
      </c>
      <c r="O1290" s="2">
        <v>16.458983377476301</v>
      </c>
      <c r="P1290" s="2">
        <v>8.7091918836620081</v>
      </c>
      <c r="R1290" t="str">
        <f t="shared" si="60"/>
        <v>no</v>
      </c>
      <c r="S1290" t="str">
        <f t="shared" si="61"/>
        <v>no</v>
      </c>
      <c r="T12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0" s="2" t="b">
        <f t="shared" si="62"/>
        <v>1</v>
      </c>
      <c r="V1290" s="2">
        <f>IF(Table4[[#This Row],[linear?]],Table4[[#This Row],[av]],10^(Table4[[#This Row],[av]]/10))</f>
        <v>35.836111111111109</v>
      </c>
      <c r="W1290" s="2">
        <f>IF(Table4[[#This Row],[linear?]],Table4[[#This Row],[av]],10^(Table4[[#This Row],[av]]/10))</f>
        <v>35.836111111111109</v>
      </c>
      <c r="X1290" s="2">
        <f>Table4[[#This Row],[av_lin]]-2*Table4[[#This Row],[std_lin]]</f>
        <v>-35.836111111111109</v>
      </c>
      <c r="Y1290" s="2">
        <f>Table4[[#This Row],[av_lin]]+2*Table4[[#This Row],[std_lin]]</f>
        <v>107.50833333333333</v>
      </c>
    </row>
    <row r="1291" spans="1:25" x14ac:dyDescent="0.35">
      <c r="A1291" s="1">
        <v>68</v>
      </c>
      <c r="B1291" t="s">
        <v>75</v>
      </c>
      <c r="C1291" t="s">
        <v>87</v>
      </c>
      <c r="D1291" t="s">
        <v>93</v>
      </c>
      <c r="E1291" s="2">
        <v>37.305555555555557</v>
      </c>
      <c r="F1291" s="2">
        <v>4.087775765730167</v>
      </c>
      <c r="G1291">
        <v>27</v>
      </c>
      <c r="H1291" t="s">
        <v>19</v>
      </c>
      <c r="M1291" s="2">
        <v>45.481107087015893</v>
      </c>
      <c r="N1291" s="2">
        <v>29.130004024095221</v>
      </c>
      <c r="O1291" s="2">
        <v>16.351103062920672</v>
      </c>
      <c r="P1291" s="2">
        <v>9.1261257205706734</v>
      </c>
      <c r="R1291" t="str">
        <f t="shared" si="60"/>
        <v>no</v>
      </c>
      <c r="S1291" t="str">
        <f t="shared" si="61"/>
        <v>no</v>
      </c>
      <c r="T12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1" s="2" t="b">
        <f t="shared" si="62"/>
        <v>1</v>
      </c>
      <c r="V1291" s="2">
        <f>IF(Table4[[#This Row],[linear?]],Table4[[#This Row],[av]],10^(Table4[[#This Row],[av]]/10))</f>
        <v>37.305555555555557</v>
      </c>
      <c r="W1291" s="2">
        <f>IF(Table4[[#This Row],[linear?]],Table4[[#This Row],[av]],10^(Table4[[#This Row],[av]]/10))</f>
        <v>37.305555555555557</v>
      </c>
      <c r="X1291" s="2">
        <f>Table4[[#This Row],[av_lin]]-2*Table4[[#This Row],[std_lin]]</f>
        <v>-37.305555555555557</v>
      </c>
      <c r="Y1291" s="2">
        <f>Table4[[#This Row],[av_lin]]+2*Table4[[#This Row],[std_lin]]</f>
        <v>111.91666666666667</v>
      </c>
    </row>
    <row r="1292" spans="1:25" x14ac:dyDescent="0.35">
      <c r="A1292" s="1">
        <v>69</v>
      </c>
      <c r="B1292" t="s">
        <v>75</v>
      </c>
      <c r="C1292" t="s">
        <v>94</v>
      </c>
      <c r="D1292" t="s">
        <v>95</v>
      </c>
      <c r="E1292" s="2">
        <v>32.390012020987648</v>
      </c>
      <c r="F1292" s="2">
        <v>3.2190158864685992</v>
      </c>
      <c r="G1292">
        <v>27</v>
      </c>
      <c r="H1292" t="s">
        <v>19</v>
      </c>
      <c r="M1292" s="2">
        <v>38.828043793924849</v>
      </c>
      <c r="N1292" s="2">
        <v>25.95198024805045</v>
      </c>
      <c r="O1292" s="2">
        <v>12.8760635458744</v>
      </c>
      <c r="P1292" s="2">
        <v>10.06208517240991</v>
      </c>
      <c r="R1292" t="str">
        <f t="shared" si="60"/>
        <v>no</v>
      </c>
      <c r="S1292" t="str">
        <f t="shared" si="61"/>
        <v>no</v>
      </c>
      <c r="T12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2" s="2" t="b">
        <f t="shared" si="62"/>
        <v>1</v>
      </c>
      <c r="V1292" s="2">
        <f>IF(Table4[[#This Row],[linear?]],Table4[[#This Row],[av]],10^(Table4[[#This Row],[av]]/10))</f>
        <v>32.390012020987648</v>
      </c>
      <c r="W1292" s="2">
        <f>IF(Table4[[#This Row],[linear?]],Table4[[#This Row],[av]],10^(Table4[[#This Row],[av]]/10))</f>
        <v>32.390012020987648</v>
      </c>
      <c r="X1292" s="2">
        <f>Table4[[#This Row],[av_lin]]-2*Table4[[#This Row],[std_lin]]</f>
        <v>-32.390012020987648</v>
      </c>
      <c r="Y1292" s="2">
        <f>Table4[[#This Row],[av_lin]]+2*Table4[[#This Row],[std_lin]]</f>
        <v>97.170036062962936</v>
      </c>
    </row>
    <row r="1293" spans="1:25" x14ac:dyDescent="0.35">
      <c r="A1293" s="1">
        <v>70</v>
      </c>
      <c r="B1293" t="s">
        <v>75</v>
      </c>
      <c r="C1293" t="s">
        <v>94</v>
      </c>
      <c r="D1293" t="s">
        <v>96</v>
      </c>
      <c r="E1293" s="2">
        <v>60</v>
      </c>
      <c r="F1293" s="2">
        <v>0</v>
      </c>
      <c r="G1293">
        <v>27</v>
      </c>
      <c r="H1293" t="s">
        <v>19</v>
      </c>
      <c r="M1293" s="2">
        <v>60</v>
      </c>
      <c r="N1293" s="2">
        <v>60</v>
      </c>
      <c r="O1293" s="2">
        <v>0</v>
      </c>
      <c r="P1293" s="2" t="s">
        <v>21</v>
      </c>
      <c r="R1293" t="str">
        <f t="shared" si="60"/>
        <v>no</v>
      </c>
      <c r="S1293" t="str">
        <f t="shared" si="61"/>
        <v>no</v>
      </c>
      <c r="T12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3" s="2" t="b">
        <f t="shared" si="62"/>
        <v>1</v>
      </c>
      <c r="V1293" s="2">
        <f>IF(Table4[[#This Row],[linear?]],Table4[[#This Row],[av]],10^(Table4[[#This Row],[av]]/10))</f>
        <v>60</v>
      </c>
      <c r="W1293" s="2">
        <f>IF(Table4[[#This Row],[linear?]],Table4[[#This Row],[av]],10^(Table4[[#This Row],[av]]/10))</f>
        <v>60</v>
      </c>
      <c r="X1293" s="2">
        <f>Table4[[#This Row],[av_lin]]-2*Table4[[#This Row],[std_lin]]</f>
        <v>-60</v>
      </c>
      <c r="Y1293" s="2">
        <f>Table4[[#This Row],[av_lin]]+2*Table4[[#This Row],[std_lin]]</f>
        <v>180</v>
      </c>
    </row>
    <row r="1294" spans="1:25" x14ac:dyDescent="0.35">
      <c r="A1294" s="1">
        <v>71</v>
      </c>
      <c r="B1294" t="s">
        <v>75</v>
      </c>
      <c r="C1294" t="s">
        <v>94</v>
      </c>
      <c r="D1294" t="s">
        <v>97</v>
      </c>
      <c r="E1294" s="2">
        <v>34.844667435802457</v>
      </c>
      <c r="F1294" s="2">
        <v>3.8092287991949072</v>
      </c>
      <c r="G1294">
        <v>27</v>
      </c>
      <c r="H1294" t="s">
        <v>19</v>
      </c>
      <c r="M1294" s="2">
        <v>42.463125034192267</v>
      </c>
      <c r="N1294" s="2">
        <v>27.22620983741264</v>
      </c>
      <c r="O1294" s="2">
        <v>15.236915196779631</v>
      </c>
      <c r="P1294" s="2">
        <v>9.1474335810878546</v>
      </c>
      <c r="R1294" t="str">
        <f t="shared" si="60"/>
        <v>no</v>
      </c>
      <c r="S1294" t="str">
        <f t="shared" si="61"/>
        <v>no</v>
      </c>
      <c r="T12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4" s="2" t="b">
        <f t="shared" si="62"/>
        <v>1</v>
      </c>
      <c r="V1294" s="2">
        <f>IF(Table4[[#This Row],[linear?]],Table4[[#This Row],[av]],10^(Table4[[#This Row],[av]]/10))</f>
        <v>34.844667435802457</v>
      </c>
      <c r="W1294" s="2">
        <f>IF(Table4[[#This Row],[linear?]],Table4[[#This Row],[av]],10^(Table4[[#This Row],[av]]/10))</f>
        <v>34.844667435802457</v>
      </c>
      <c r="X1294" s="2">
        <f>Table4[[#This Row],[av_lin]]-2*Table4[[#This Row],[std_lin]]</f>
        <v>-34.844667435802457</v>
      </c>
      <c r="Y1294" s="2">
        <f>Table4[[#This Row],[av_lin]]+2*Table4[[#This Row],[std_lin]]</f>
        <v>104.53400230740738</v>
      </c>
    </row>
    <row r="1295" spans="1:25" x14ac:dyDescent="0.35">
      <c r="A1295" s="1">
        <v>72</v>
      </c>
      <c r="B1295" t="s">
        <v>75</v>
      </c>
      <c r="C1295" t="s">
        <v>94</v>
      </c>
      <c r="D1295" t="s">
        <v>98</v>
      </c>
      <c r="E1295" s="2">
        <v>29.935356666666671</v>
      </c>
      <c r="F1295" s="2">
        <v>2.6687437053481688</v>
      </c>
      <c r="G1295">
        <v>27</v>
      </c>
      <c r="H1295" t="s">
        <v>19</v>
      </c>
      <c r="M1295" s="2">
        <v>35.272844077363011</v>
      </c>
      <c r="N1295" s="2">
        <v>24.59786925597033</v>
      </c>
      <c r="O1295" s="2">
        <v>10.674974821392681</v>
      </c>
      <c r="P1295" s="2">
        <v>11.217021929335569</v>
      </c>
      <c r="R1295" t="str">
        <f t="shared" si="60"/>
        <v>no</v>
      </c>
      <c r="S1295" t="str">
        <f t="shared" si="61"/>
        <v>no</v>
      </c>
      <c r="T12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5" s="2" t="b">
        <f t="shared" si="62"/>
        <v>1</v>
      </c>
      <c r="V1295" s="2">
        <f>IF(Table4[[#This Row],[linear?]],Table4[[#This Row],[av]],10^(Table4[[#This Row],[av]]/10))</f>
        <v>29.935356666666671</v>
      </c>
      <c r="W1295" s="2">
        <f>IF(Table4[[#This Row],[linear?]],Table4[[#This Row],[av]],10^(Table4[[#This Row],[av]]/10))</f>
        <v>29.935356666666671</v>
      </c>
      <c r="X1295" s="2">
        <f>Table4[[#This Row],[av_lin]]-2*Table4[[#This Row],[std_lin]]</f>
        <v>-29.935356666666671</v>
      </c>
      <c r="Y1295" s="2">
        <f>Table4[[#This Row],[av_lin]]+2*Table4[[#This Row],[std_lin]]</f>
        <v>89.806070000000005</v>
      </c>
    </row>
    <row r="1296" spans="1:25" x14ac:dyDescent="0.35">
      <c r="A1296" s="1">
        <v>73</v>
      </c>
      <c r="B1296" t="s">
        <v>75</v>
      </c>
      <c r="C1296" t="s">
        <v>99</v>
      </c>
      <c r="D1296" t="s">
        <v>100</v>
      </c>
      <c r="G1296">
        <v>27</v>
      </c>
      <c r="H1296" t="s">
        <v>19</v>
      </c>
      <c r="R1296" t="str">
        <f t="shared" si="60"/>
        <v>no</v>
      </c>
      <c r="S1296" t="str">
        <f t="shared" si="61"/>
        <v>no</v>
      </c>
      <c r="T12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6" s="2" t="b">
        <f t="shared" si="62"/>
        <v>1</v>
      </c>
      <c r="V1296" s="2">
        <f>IF(Table4[[#This Row],[linear?]],Table4[[#This Row],[av]],10^(Table4[[#This Row],[av]]/10))</f>
        <v>0</v>
      </c>
      <c r="W1296" s="2">
        <f>IF(Table4[[#This Row],[linear?]],Table4[[#This Row],[av]],10^(Table4[[#This Row],[av]]/10))</f>
        <v>0</v>
      </c>
      <c r="X1296" s="2">
        <f>Table4[[#This Row],[av_lin]]-2*Table4[[#This Row],[std_lin]]</f>
        <v>0</v>
      </c>
      <c r="Y1296" s="2">
        <f>Table4[[#This Row],[av_lin]]+2*Table4[[#This Row],[std_lin]]</f>
        <v>0</v>
      </c>
    </row>
    <row r="1297" spans="1:25" x14ac:dyDescent="0.35">
      <c r="A1297" s="1">
        <v>74</v>
      </c>
      <c r="B1297" t="s">
        <v>75</v>
      </c>
      <c r="C1297" t="s">
        <v>99</v>
      </c>
      <c r="D1297" t="s">
        <v>101</v>
      </c>
      <c r="E1297" s="2">
        <v>1</v>
      </c>
      <c r="F1297" s="2">
        <v>0</v>
      </c>
      <c r="G1297">
        <v>27</v>
      </c>
      <c r="H1297" t="s">
        <v>19</v>
      </c>
      <c r="M1297" s="2">
        <v>1</v>
      </c>
      <c r="N1297" s="2">
        <v>1</v>
      </c>
      <c r="O1297" s="2">
        <v>0</v>
      </c>
      <c r="P1297" s="2" t="s">
        <v>21</v>
      </c>
      <c r="R1297" t="str">
        <f t="shared" si="60"/>
        <v>no</v>
      </c>
      <c r="S1297" t="str">
        <f t="shared" si="61"/>
        <v>no</v>
      </c>
      <c r="T12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7" s="2" t="b">
        <f t="shared" si="62"/>
        <v>1</v>
      </c>
      <c r="V1297" s="2">
        <f>IF(Table4[[#This Row],[linear?]],Table4[[#This Row],[av]],10^(Table4[[#This Row],[av]]/10))</f>
        <v>1</v>
      </c>
      <c r="W1297" s="2">
        <f>IF(Table4[[#This Row],[linear?]],Table4[[#This Row],[av]],10^(Table4[[#This Row],[av]]/10))</f>
        <v>1</v>
      </c>
      <c r="X1297" s="2">
        <f>Table4[[#This Row],[av_lin]]-2*Table4[[#This Row],[std_lin]]</f>
        <v>-1</v>
      </c>
      <c r="Y1297" s="2">
        <f>Table4[[#This Row],[av_lin]]+2*Table4[[#This Row],[std_lin]]</f>
        <v>3</v>
      </c>
    </row>
    <row r="1298" spans="1:25" x14ac:dyDescent="0.35">
      <c r="A1298" s="1">
        <v>75</v>
      </c>
      <c r="B1298" t="s">
        <v>75</v>
      </c>
      <c r="C1298" t="s">
        <v>99</v>
      </c>
      <c r="D1298" t="s">
        <v>102</v>
      </c>
      <c r="E1298" s="2">
        <v>1</v>
      </c>
      <c r="F1298" s="2">
        <v>0</v>
      </c>
      <c r="G1298">
        <v>27</v>
      </c>
      <c r="H1298" t="s">
        <v>19</v>
      </c>
      <c r="M1298" s="2">
        <v>1</v>
      </c>
      <c r="N1298" s="2">
        <v>1</v>
      </c>
      <c r="O1298" s="2">
        <v>0</v>
      </c>
      <c r="P1298" s="2" t="s">
        <v>21</v>
      </c>
      <c r="R1298" t="str">
        <f t="shared" si="60"/>
        <v>no</v>
      </c>
      <c r="S1298" t="str">
        <f t="shared" si="61"/>
        <v>no</v>
      </c>
      <c r="T12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8" s="2" t="b">
        <f t="shared" si="62"/>
        <v>1</v>
      </c>
      <c r="V1298" s="2">
        <f>IF(Table4[[#This Row],[linear?]],Table4[[#This Row],[av]],10^(Table4[[#This Row],[av]]/10))</f>
        <v>1</v>
      </c>
      <c r="W1298" s="2">
        <f>IF(Table4[[#This Row],[linear?]],Table4[[#This Row],[av]],10^(Table4[[#This Row],[av]]/10))</f>
        <v>1</v>
      </c>
      <c r="X1298" s="2">
        <f>Table4[[#This Row],[av_lin]]-2*Table4[[#This Row],[std_lin]]</f>
        <v>-1</v>
      </c>
      <c r="Y1298" s="2">
        <f>Table4[[#This Row],[av_lin]]+2*Table4[[#This Row],[std_lin]]</f>
        <v>3</v>
      </c>
    </row>
    <row r="1299" spans="1:25" x14ac:dyDescent="0.35">
      <c r="A1299" s="1">
        <v>76</v>
      </c>
      <c r="B1299" t="s">
        <v>75</v>
      </c>
      <c r="C1299" t="s">
        <v>99</v>
      </c>
      <c r="D1299" t="s">
        <v>103</v>
      </c>
      <c r="E1299" s="2">
        <v>1</v>
      </c>
      <c r="F1299" s="2">
        <v>0</v>
      </c>
      <c r="G1299">
        <v>27</v>
      </c>
      <c r="H1299" t="s">
        <v>19</v>
      </c>
      <c r="M1299" s="2">
        <v>1</v>
      </c>
      <c r="N1299" s="2">
        <v>1</v>
      </c>
      <c r="O1299" s="2">
        <v>0</v>
      </c>
      <c r="P1299" s="2" t="s">
        <v>21</v>
      </c>
      <c r="R1299" t="str">
        <f t="shared" si="60"/>
        <v>no</v>
      </c>
      <c r="S1299" t="str">
        <f t="shared" si="61"/>
        <v>no</v>
      </c>
      <c r="T12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9" s="2" t="b">
        <f t="shared" si="62"/>
        <v>1</v>
      </c>
      <c r="V1299" s="2">
        <f>IF(Table4[[#This Row],[linear?]],Table4[[#This Row],[av]],10^(Table4[[#This Row],[av]]/10))</f>
        <v>1</v>
      </c>
      <c r="W1299" s="2">
        <f>IF(Table4[[#This Row],[linear?]],Table4[[#This Row],[av]],10^(Table4[[#This Row],[av]]/10))</f>
        <v>1</v>
      </c>
      <c r="X1299" s="2">
        <f>Table4[[#This Row],[av_lin]]-2*Table4[[#This Row],[std_lin]]</f>
        <v>-1</v>
      </c>
      <c r="Y1299" s="2">
        <f>Table4[[#This Row],[av_lin]]+2*Table4[[#This Row],[std_lin]]</f>
        <v>3</v>
      </c>
    </row>
    <row r="1300" spans="1:25" x14ac:dyDescent="0.35">
      <c r="A1300" s="1">
        <v>77</v>
      </c>
      <c r="B1300" t="s">
        <v>75</v>
      </c>
      <c r="C1300" t="s">
        <v>99</v>
      </c>
      <c r="D1300" t="s">
        <v>104</v>
      </c>
      <c r="E1300" s="2">
        <v>1</v>
      </c>
      <c r="F1300" s="2">
        <v>0</v>
      </c>
      <c r="G1300">
        <v>27</v>
      </c>
      <c r="H1300" t="s">
        <v>19</v>
      </c>
      <c r="M1300" s="2">
        <v>1</v>
      </c>
      <c r="N1300" s="2">
        <v>1</v>
      </c>
      <c r="O1300" s="2">
        <v>0</v>
      </c>
      <c r="P1300" s="2" t="s">
        <v>21</v>
      </c>
      <c r="R1300" t="str">
        <f t="shared" si="60"/>
        <v>no</v>
      </c>
      <c r="S1300" t="str">
        <f t="shared" si="61"/>
        <v>no</v>
      </c>
      <c r="T13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0" s="2" t="b">
        <f t="shared" si="62"/>
        <v>1</v>
      </c>
      <c r="V1300" s="2">
        <f>IF(Table4[[#This Row],[linear?]],Table4[[#This Row],[av]],10^(Table4[[#This Row],[av]]/10))</f>
        <v>1</v>
      </c>
      <c r="W1300" s="2">
        <f>IF(Table4[[#This Row],[linear?]],Table4[[#This Row],[av]],10^(Table4[[#This Row],[av]]/10))</f>
        <v>1</v>
      </c>
      <c r="X1300" s="2">
        <f>Table4[[#This Row],[av_lin]]-2*Table4[[#This Row],[std_lin]]</f>
        <v>-1</v>
      </c>
      <c r="Y1300" s="2">
        <f>Table4[[#This Row],[av_lin]]+2*Table4[[#This Row],[std_lin]]</f>
        <v>3</v>
      </c>
    </row>
    <row r="1301" spans="1:25" x14ac:dyDescent="0.35">
      <c r="A1301" s="1">
        <v>78</v>
      </c>
      <c r="B1301" t="s">
        <v>75</v>
      </c>
      <c r="C1301" t="s">
        <v>99</v>
      </c>
      <c r="D1301" t="s">
        <v>105</v>
      </c>
      <c r="E1301" s="2">
        <v>42.828395061728401</v>
      </c>
      <c r="F1301" s="2">
        <v>6.4137556420875628</v>
      </c>
      <c r="G1301">
        <v>27</v>
      </c>
      <c r="H1301" t="s">
        <v>19</v>
      </c>
      <c r="M1301" s="2">
        <v>55.655906345903517</v>
      </c>
      <c r="N1301" s="2">
        <v>30.00088377755328</v>
      </c>
      <c r="O1301" s="2">
        <v>25.655022568350251</v>
      </c>
      <c r="P1301" s="2">
        <v>6.6775844687136416</v>
      </c>
      <c r="R1301" t="str">
        <f t="shared" si="60"/>
        <v>no</v>
      </c>
      <c r="S1301" t="str">
        <f t="shared" si="61"/>
        <v>no</v>
      </c>
      <c r="T13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1" s="2" t="b">
        <f t="shared" si="62"/>
        <v>1</v>
      </c>
      <c r="V1301" s="2">
        <f>IF(Table4[[#This Row],[linear?]],Table4[[#This Row],[av]],10^(Table4[[#This Row],[av]]/10))</f>
        <v>42.828395061728401</v>
      </c>
      <c r="W1301" s="2">
        <f>IF(Table4[[#This Row],[linear?]],Table4[[#This Row],[av]],10^(Table4[[#This Row],[av]]/10))</f>
        <v>42.828395061728401</v>
      </c>
      <c r="X1301" s="2">
        <f>Table4[[#This Row],[av_lin]]-2*Table4[[#This Row],[std_lin]]</f>
        <v>-42.828395061728401</v>
      </c>
      <c r="Y1301" s="2">
        <f>Table4[[#This Row],[av_lin]]+2*Table4[[#This Row],[std_lin]]</f>
        <v>128.4851851851852</v>
      </c>
    </row>
    <row r="1302" spans="1:25" x14ac:dyDescent="0.35">
      <c r="A1302" s="1">
        <v>79</v>
      </c>
      <c r="B1302" t="s">
        <v>75</v>
      </c>
      <c r="C1302" t="s">
        <v>99</v>
      </c>
      <c r="D1302" t="s">
        <v>106</v>
      </c>
      <c r="E1302" s="2">
        <v>42.027160493827161</v>
      </c>
      <c r="F1302" s="2">
        <v>5.8162710572076382</v>
      </c>
      <c r="G1302">
        <v>27</v>
      </c>
      <c r="H1302" t="s">
        <v>19</v>
      </c>
      <c r="M1302" s="2">
        <v>53.659702608242441</v>
      </c>
      <c r="N1302" s="2">
        <v>30.394618379411881</v>
      </c>
      <c r="O1302" s="2">
        <v>23.26508422883056</v>
      </c>
      <c r="P1302" s="2">
        <v>7.2257912467381091</v>
      </c>
      <c r="R1302" t="str">
        <f t="shared" si="60"/>
        <v>no</v>
      </c>
      <c r="S1302" t="str">
        <f t="shared" si="61"/>
        <v>no</v>
      </c>
      <c r="T13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2" s="2" t="b">
        <f t="shared" si="62"/>
        <v>1</v>
      </c>
      <c r="V1302" s="2">
        <f>IF(Table4[[#This Row],[linear?]],Table4[[#This Row],[av]],10^(Table4[[#This Row],[av]]/10))</f>
        <v>42.027160493827161</v>
      </c>
      <c r="W1302" s="2">
        <f>IF(Table4[[#This Row],[linear?]],Table4[[#This Row],[av]],10^(Table4[[#This Row],[av]]/10))</f>
        <v>42.027160493827161</v>
      </c>
      <c r="X1302" s="2">
        <f>Table4[[#This Row],[av_lin]]-2*Table4[[#This Row],[std_lin]]</f>
        <v>-42.027160493827161</v>
      </c>
      <c r="Y1302" s="2">
        <f>Table4[[#This Row],[av_lin]]+2*Table4[[#This Row],[std_lin]]</f>
        <v>126.08148148148149</v>
      </c>
    </row>
    <row r="1303" spans="1:25" x14ac:dyDescent="0.35">
      <c r="A1303" s="1">
        <v>80</v>
      </c>
      <c r="B1303" t="s">
        <v>75</v>
      </c>
      <c r="C1303" t="s">
        <v>99</v>
      </c>
      <c r="D1303" t="s">
        <v>107</v>
      </c>
      <c r="G1303">
        <v>27</v>
      </c>
      <c r="H1303" t="s">
        <v>19</v>
      </c>
      <c r="R1303" t="str">
        <f t="shared" si="60"/>
        <v>no</v>
      </c>
      <c r="S1303" t="str">
        <f t="shared" si="61"/>
        <v>no</v>
      </c>
      <c r="T13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3" s="2" t="b">
        <f t="shared" si="62"/>
        <v>1</v>
      </c>
      <c r="V1303" s="2">
        <f>IF(Table4[[#This Row],[linear?]],Table4[[#This Row],[av]],10^(Table4[[#This Row],[av]]/10))</f>
        <v>0</v>
      </c>
      <c r="W1303" s="2">
        <f>IF(Table4[[#This Row],[linear?]],Table4[[#This Row],[av]],10^(Table4[[#This Row],[av]]/10))</f>
        <v>0</v>
      </c>
      <c r="X1303" s="2">
        <f>Table4[[#This Row],[av_lin]]-2*Table4[[#This Row],[std_lin]]</f>
        <v>0</v>
      </c>
      <c r="Y1303" s="2">
        <f>Table4[[#This Row],[av_lin]]+2*Table4[[#This Row],[std_lin]]</f>
        <v>0</v>
      </c>
    </row>
    <row r="1304" spans="1:25" x14ac:dyDescent="0.35">
      <c r="A1304" s="1">
        <v>81</v>
      </c>
      <c r="B1304" t="s">
        <v>75</v>
      </c>
      <c r="C1304" t="s">
        <v>99</v>
      </c>
      <c r="D1304" t="s">
        <v>108</v>
      </c>
      <c r="E1304" s="2">
        <v>1</v>
      </c>
      <c r="F1304" s="2">
        <v>0</v>
      </c>
      <c r="G1304">
        <v>27</v>
      </c>
      <c r="H1304" t="s">
        <v>19</v>
      </c>
      <c r="M1304" s="2">
        <v>1</v>
      </c>
      <c r="N1304" s="2">
        <v>1</v>
      </c>
      <c r="O1304" s="2">
        <v>0</v>
      </c>
      <c r="P1304" s="2" t="s">
        <v>21</v>
      </c>
      <c r="R1304" t="str">
        <f t="shared" si="60"/>
        <v>no</v>
      </c>
      <c r="S1304" t="str">
        <f t="shared" si="61"/>
        <v>no</v>
      </c>
      <c r="T13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4" s="2" t="b">
        <f t="shared" si="62"/>
        <v>1</v>
      </c>
      <c r="V1304" s="2">
        <f>IF(Table4[[#This Row],[linear?]],Table4[[#This Row],[av]],10^(Table4[[#This Row],[av]]/10))</f>
        <v>1</v>
      </c>
      <c r="W1304" s="2">
        <f>IF(Table4[[#This Row],[linear?]],Table4[[#This Row],[av]],10^(Table4[[#This Row],[av]]/10))</f>
        <v>1</v>
      </c>
      <c r="X1304" s="2">
        <f>Table4[[#This Row],[av_lin]]-2*Table4[[#This Row],[std_lin]]</f>
        <v>-1</v>
      </c>
      <c r="Y1304" s="2">
        <f>Table4[[#This Row],[av_lin]]+2*Table4[[#This Row],[std_lin]]</f>
        <v>3</v>
      </c>
    </row>
    <row r="1305" spans="1:25" x14ac:dyDescent="0.35">
      <c r="A1305" s="1">
        <v>82</v>
      </c>
      <c r="B1305" t="s">
        <v>75</v>
      </c>
      <c r="C1305" t="s">
        <v>99</v>
      </c>
      <c r="D1305" t="s">
        <v>109</v>
      </c>
      <c r="E1305" s="2">
        <v>1</v>
      </c>
      <c r="F1305" s="2">
        <v>0</v>
      </c>
      <c r="G1305">
        <v>27</v>
      </c>
      <c r="H1305" t="s">
        <v>19</v>
      </c>
      <c r="M1305" s="2">
        <v>1</v>
      </c>
      <c r="N1305" s="2">
        <v>1</v>
      </c>
      <c r="O1305" s="2">
        <v>0</v>
      </c>
      <c r="P1305" s="2" t="s">
        <v>21</v>
      </c>
      <c r="R1305" t="str">
        <f t="shared" si="60"/>
        <v>no</v>
      </c>
      <c r="S1305" t="str">
        <f t="shared" si="61"/>
        <v>no</v>
      </c>
      <c r="T13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5" s="2" t="b">
        <f t="shared" si="62"/>
        <v>1</v>
      </c>
      <c r="V1305" s="2">
        <f>IF(Table4[[#This Row],[linear?]],Table4[[#This Row],[av]],10^(Table4[[#This Row],[av]]/10))</f>
        <v>1</v>
      </c>
      <c r="W1305" s="2">
        <f>IF(Table4[[#This Row],[linear?]],Table4[[#This Row],[av]],10^(Table4[[#This Row],[av]]/10))</f>
        <v>1</v>
      </c>
      <c r="X1305" s="2">
        <f>Table4[[#This Row],[av_lin]]-2*Table4[[#This Row],[std_lin]]</f>
        <v>-1</v>
      </c>
      <c r="Y1305" s="2">
        <f>Table4[[#This Row],[av_lin]]+2*Table4[[#This Row],[std_lin]]</f>
        <v>3</v>
      </c>
    </row>
    <row r="1306" spans="1:25" x14ac:dyDescent="0.35">
      <c r="A1306" s="1">
        <v>83</v>
      </c>
      <c r="B1306" t="s">
        <v>75</v>
      </c>
      <c r="C1306" t="s">
        <v>99</v>
      </c>
      <c r="D1306" t="s">
        <v>110</v>
      </c>
      <c r="E1306" s="2">
        <v>1</v>
      </c>
      <c r="F1306" s="2">
        <v>0</v>
      </c>
      <c r="G1306">
        <v>27</v>
      </c>
      <c r="H1306" t="s">
        <v>19</v>
      </c>
      <c r="M1306" s="2">
        <v>1</v>
      </c>
      <c r="N1306" s="2">
        <v>1</v>
      </c>
      <c r="O1306" s="2">
        <v>0</v>
      </c>
      <c r="P1306" s="2" t="s">
        <v>21</v>
      </c>
      <c r="R1306" t="str">
        <f t="shared" si="60"/>
        <v>no</v>
      </c>
      <c r="S1306" t="str">
        <f t="shared" si="61"/>
        <v>no</v>
      </c>
      <c r="T13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6" s="2" t="b">
        <f t="shared" si="62"/>
        <v>1</v>
      </c>
      <c r="V1306" s="2">
        <f>IF(Table4[[#This Row],[linear?]],Table4[[#This Row],[av]],10^(Table4[[#This Row],[av]]/10))</f>
        <v>1</v>
      </c>
      <c r="W1306" s="2">
        <f>IF(Table4[[#This Row],[linear?]],Table4[[#This Row],[av]],10^(Table4[[#This Row],[av]]/10))</f>
        <v>1</v>
      </c>
      <c r="X1306" s="2">
        <f>Table4[[#This Row],[av_lin]]-2*Table4[[#This Row],[std_lin]]</f>
        <v>-1</v>
      </c>
      <c r="Y1306" s="2">
        <f>Table4[[#This Row],[av_lin]]+2*Table4[[#This Row],[std_lin]]</f>
        <v>3</v>
      </c>
    </row>
    <row r="1307" spans="1:25" x14ac:dyDescent="0.35">
      <c r="A1307" s="1">
        <v>84</v>
      </c>
      <c r="B1307" t="s">
        <v>75</v>
      </c>
      <c r="C1307" t="s">
        <v>99</v>
      </c>
      <c r="D1307" t="s">
        <v>111</v>
      </c>
      <c r="E1307" s="2">
        <v>1</v>
      </c>
      <c r="F1307" s="2">
        <v>0</v>
      </c>
      <c r="G1307">
        <v>27</v>
      </c>
      <c r="H1307" t="s">
        <v>19</v>
      </c>
      <c r="M1307" s="2">
        <v>1</v>
      </c>
      <c r="N1307" s="2">
        <v>1</v>
      </c>
      <c r="O1307" s="2">
        <v>0</v>
      </c>
      <c r="P1307" s="2" t="s">
        <v>21</v>
      </c>
      <c r="R1307" t="str">
        <f t="shared" si="60"/>
        <v>no</v>
      </c>
      <c r="S1307" t="str">
        <f t="shared" si="61"/>
        <v>no</v>
      </c>
      <c r="T13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7" s="2" t="b">
        <f t="shared" si="62"/>
        <v>1</v>
      </c>
      <c r="V1307" s="2">
        <f>IF(Table4[[#This Row],[linear?]],Table4[[#This Row],[av]],10^(Table4[[#This Row],[av]]/10))</f>
        <v>1</v>
      </c>
      <c r="W1307" s="2">
        <f>IF(Table4[[#This Row],[linear?]],Table4[[#This Row],[av]],10^(Table4[[#This Row],[av]]/10))</f>
        <v>1</v>
      </c>
      <c r="X1307" s="2">
        <f>Table4[[#This Row],[av_lin]]-2*Table4[[#This Row],[std_lin]]</f>
        <v>-1</v>
      </c>
      <c r="Y1307" s="2">
        <f>Table4[[#This Row],[av_lin]]+2*Table4[[#This Row],[std_lin]]</f>
        <v>3</v>
      </c>
    </row>
    <row r="1308" spans="1:25" x14ac:dyDescent="0.35">
      <c r="A1308" s="1">
        <v>85</v>
      </c>
      <c r="B1308" t="s">
        <v>75</v>
      </c>
      <c r="C1308" t="s">
        <v>99</v>
      </c>
      <c r="D1308" t="s">
        <v>112</v>
      </c>
      <c r="E1308" s="2">
        <v>41.513580246913577</v>
      </c>
      <c r="F1308" s="2">
        <v>6.8104540129895472</v>
      </c>
      <c r="G1308">
        <v>27</v>
      </c>
      <c r="H1308" t="s">
        <v>19</v>
      </c>
      <c r="M1308" s="2">
        <v>55.134488272892668</v>
      </c>
      <c r="N1308" s="2">
        <v>27.892672220934479</v>
      </c>
      <c r="O1308" s="2">
        <v>27.241816051958189</v>
      </c>
      <c r="P1308" s="2">
        <v>6.0955672217644992</v>
      </c>
      <c r="R1308" t="str">
        <f t="shared" si="60"/>
        <v>no</v>
      </c>
      <c r="S1308" t="str">
        <f t="shared" si="61"/>
        <v>no</v>
      </c>
      <c r="T13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8" s="2" t="b">
        <f t="shared" si="62"/>
        <v>1</v>
      </c>
      <c r="V1308" s="2">
        <f>IF(Table4[[#This Row],[linear?]],Table4[[#This Row],[av]],10^(Table4[[#This Row],[av]]/10))</f>
        <v>41.513580246913577</v>
      </c>
      <c r="W1308" s="2">
        <f>IF(Table4[[#This Row],[linear?]],Table4[[#This Row],[av]],10^(Table4[[#This Row],[av]]/10))</f>
        <v>41.513580246913577</v>
      </c>
      <c r="X1308" s="2">
        <f>Table4[[#This Row],[av_lin]]-2*Table4[[#This Row],[std_lin]]</f>
        <v>-41.513580246913577</v>
      </c>
      <c r="Y1308" s="2">
        <f>Table4[[#This Row],[av_lin]]+2*Table4[[#This Row],[std_lin]]</f>
        <v>124.54074074074073</v>
      </c>
    </row>
    <row r="1309" spans="1:25" x14ac:dyDescent="0.35">
      <c r="A1309" s="1">
        <v>86</v>
      </c>
      <c r="B1309" t="s">
        <v>75</v>
      </c>
      <c r="C1309" t="s">
        <v>99</v>
      </c>
      <c r="D1309" t="s">
        <v>113</v>
      </c>
      <c r="E1309" s="2">
        <v>42.480246913580253</v>
      </c>
      <c r="F1309" s="2">
        <v>5.4044257984052102</v>
      </c>
      <c r="G1309">
        <v>27</v>
      </c>
      <c r="H1309" t="s">
        <v>19</v>
      </c>
      <c r="M1309" s="2">
        <v>53.289098510390673</v>
      </c>
      <c r="N1309" s="2">
        <v>31.671395316769829</v>
      </c>
      <c r="O1309" s="2">
        <v>21.617703193620841</v>
      </c>
      <c r="P1309" s="2">
        <v>7.8602701745143273</v>
      </c>
      <c r="R1309" t="str">
        <f t="shared" si="60"/>
        <v>no</v>
      </c>
      <c r="S1309" t="str">
        <f t="shared" si="61"/>
        <v>no</v>
      </c>
      <c r="T13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9" s="2" t="b">
        <f t="shared" si="62"/>
        <v>1</v>
      </c>
      <c r="V1309" s="2">
        <f>IF(Table4[[#This Row],[linear?]],Table4[[#This Row],[av]],10^(Table4[[#This Row],[av]]/10))</f>
        <v>42.480246913580253</v>
      </c>
      <c r="W1309" s="2">
        <f>IF(Table4[[#This Row],[linear?]],Table4[[#This Row],[av]],10^(Table4[[#This Row],[av]]/10))</f>
        <v>42.480246913580253</v>
      </c>
      <c r="X1309" s="2">
        <f>Table4[[#This Row],[av_lin]]-2*Table4[[#This Row],[std_lin]]</f>
        <v>-42.480246913580253</v>
      </c>
      <c r="Y1309" s="2">
        <f>Table4[[#This Row],[av_lin]]+2*Table4[[#This Row],[std_lin]]</f>
        <v>127.44074074074075</v>
      </c>
    </row>
    <row r="1310" spans="1:25" x14ac:dyDescent="0.35">
      <c r="A1310" s="1">
        <v>87</v>
      </c>
      <c r="B1310" t="s">
        <v>75</v>
      </c>
      <c r="C1310" t="s">
        <v>99</v>
      </c>
      <c r="D1310" t="s">
        <v>114</v>
      </c>
      <c r="G1310">
        <v>27</v>
      </c>
      <c r="H1310" t="s">
        <v>19</v>
      </c>
      <c r="R1310" t="str">
        <f t="shared" si="60"/>
        <v>no</v>
      </c>
      <c r="S1310" t="str">
        <f t="shared" si="61"/>
        <v>no</v>
      </c>
      <c r="T13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0" s="2" t="b">
        <f t="shared" si="62"/>
        <v>1</v>
      </c>
      <c r="V1310" s="2">
        <f>IF(Table4[[#This Row],[linear?]],Table4[[#This Row],[av]],10^(Table4[[#This Row],[av]]/10))</f>
        <v>0</v>
      </c>
      <c r="W1310" s="2">
        <f>IF(Table4[[#This Row],[linear?]],Table4[[#This Row],[av]],10^(Table4[[#This Row],[av]]/10))</f>
        <v>0</v>
      </c>
      <c r="X1310" s="2">
        <f>Table4[[#This Row],[av_lin]]-2*Table4[[#This Row],[std_lin]]</f>
        <v>0</v>
      </c>
      <c r="Y1310" s="2">
        <f>Table4[[#This Row],[av_lin]]+2*Table4[[#This Row],[std_lin]]</f>
        <v>0</v>
      </c>
    </row>
    <row r="1311" spans="1:25" x14ac:dyDescent="0.35">
      <c r="A1311" s="1">
        <v>88</v>
      </c>
      <c r="B1311" t="s">
        <v>75</v>
      </c>
      <c r="C1311" t="s">
        <v>99</v>
      </c>
      <c r="D1311" t="s">
        <v>115</v>
      </c>
      <c r="E1311" s="2">
        <v>1</v>
      </c>
      <c r="F1311" s="2">
        <v>0</v>
      </c>
      <c r="G1311">
        <v>27</v>
      </c>
      <c r="H1311" t="s">
        <v>19</v>
      </c>
      <c r="M1311" s="2">
        <v>1</v>
      </c>
      <c r="N1311" s="2">
        <v>1</v>
      </c>
      <c r="O1311" s="2">
        <v>0</v>
      </c>
      <c r="P1311" s="2" t="s">
        <v>21</v>
      </c>
      <c r="R1311" t="str">
        <f t="shared" si="60"/>
        <v>no</v>
      </c>
      <c r="S1311" t="str">
        <f t="shared" si="61"/>
        <v>no</v>
      </c>
      <c r="T13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1" s="2" t="b">
        <f t="shared" si="62"/>
        <v>1</v>
      </c>
      <c r="V1311" s="2">
        <f>IF(Table4[[#This Row],[linear?]],Table4[[#This Row],[av]],10^(Table4[[#This Row],[av]]/10))</f>
        <v>1</v>
      </c>
      <c r="W1311" s="2">
        <f>IF(Table4[[#This Row],[linear?]],Table4[[#This Row],[av]],10^(Table4[[#This Row],[av]]/10))</f>
        <v>1</v>
      </c>
      <c r="X1311" s="2">
        <f>Table4[[#This Row],[av_lin]]-2*Table4[[#This Row],[std_lin]]</f>
        <v>-1</v>
      </c>
      <c r="Y1311" s="2">
        <f>Table4[[#This Row],[av_lin]]+2*Table4[[#This Row],[std_lin]]</f>
        <v>3</v>
      </c>
    </row>
    <row r="1312" spans="1:25" x14ac:dyDescent="0.35">
      <c r="A1312" s="1">
        <v>89</v>
      </c>
      <c r="B1312" t="s">
        <v>75</v>
      </c>
      <c r="C1312" t="s">
        <v>99</v>
      </c>
      <c r="D1312" t="s">
        <v>116</v>
      </c>
      <c r="E1312" s="2">
        <v>1</v>
      </c>
      <c r="F1312" s="2">
        <v>0</v>
      </c>
      <c r="G1312">
        <v>27</v>
      </c>
      <c r="H1312" t="s">
        <v>19</v>
      </c>
      <c r="M1312" s="2">
        <v>1</v>
      </c>
      <c r="N1312" s="2">
        <v>1</v>
      </c>
      <c r="O1312" s="2">
        <v>0</v>
      </c>
      <c r="P1312" s="2" t="s">
        <v>21</v>
      </c>
      <c r="R1312" t="str">
        <f t="shared" si="60"/>
        <v>no</v>
      </c>
      <c r="S1312" t="str">
        <f t="shared" si="61"/>
        <v>no</v>
      </c>
      <c r="T13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2" s="2" t="b">
        <f t="shared" si="62"/>
        <v>1</v>
      </c>
      <c r="V1312" s="2">
        <f>IF(Table4[[#This Row],[linear?]],Table4[[#This Row],[av]],10^(Table4[[#This Row],[av]]/10))</f>
        <v>1</v>
      </c>
      <c r="W1312" s="2">
        <f>IF(Table4[[#This Row],[linear?]],Table4[[#This Row],[av]],10^(Table4[[#This Row],[av]]/10))</f>
        <v>1</v>
      </c>
      <c r="X1312" s="2">
        <f>Table4[[#This Row],[av_lin]]-2*Table4[[#This Row],[std_lin]]</f>
        <v>-1</v>
      </c>
      <c r="Y1312" s="2">
        <f>Table4[[#This Row],[av_lin]]+2*Table4[[#This Row],[std_lin]]</f>
        <v>3</v>
      </c>
    </row>
    <row r="1313" spans="1:25" x14ac:dyDescent="0.35">
      <c r="A1313" s="1">
        <v>90</v>
      </c>
      <c r="B1313" t="s">
        <v>75</v>
      </c>
      <c r="C1313" t="s">
        <v>99</v>
      </c>
      <c r="D1313" t="s">
        <v>117</v>
      </c>
      <c r="E1313" s="2">
        <v>1</v>
      </c>
      <c r="F1313" s="2">
        <v>0</v>
      </c>
      <c r="G1313">
        <v>27</v>
      </c>
      <c r="H1313" t="s">
        <v>19</v>
      </c>
      <c r="M1313" s="2">
        <v>1</v>
      </c>
      <c r="N1313" s="2">
        <v>1</v>
      </c>
      <c r="O1313" s="2">
        <v>0</v>
      </c>
      <c r="P1313" s="2" t="s">
        <v>21</v>
      </c>
      <c r="R1313" t="str">
        <f t="shared" si="60"/>
        <v>no</v>
      </c>
      <c r="S1313" t="str">
        <f t="shared" si="61"/>
        <v>no</v>
      </c>
      <c r="T13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3" s="2" t="b">
        <f t="shared" si="62"/>
        <v>1</v>
      </c>
      <c r="V1313" s="2">
        <f>IF(Table4[[#This Row],[linear?]],Table4[[#This Row],[av]],10^(Table4[[#This Row],[av]]/10))</f>
        <v>1</v>
      </c>
      <c r="W1313" s="2">
        <f>IF(Table4[[#This Row],[linear?]],Table4[[#This Row],[av]],10^(Table4[[#This Row],[av]]/10))</f>
        <v>1</v>
      </c>
      <c r="X1313" s="2">
        <f>Table4[[#This Row],[av_lin]]-2*Table4[[#This Row],[std_lin]]</f>
        <v>-1</v>
      </c>
      <c r="Y1313" s="2">
        <f>Table4[[#This Row],[av_lin]]+2*Table4[[#This Row],[std_lin]]</f>
        <v>3</v>
      </c>
    </row>
    <row r="1314" spans="1:25" x14ac:dyDescent="0.35">
      <c r="A1314" s="1">
        <v>91</v>
      </c>
      <c r="B1314" t="s">
        <v>75</v>
      </c>
      <c r="C1314" t="s">
        <v>99</v>
      </c>
      <c r="D1314" t="s">
        <v>118</v>
      </c>
      <c r="E1314" s="2">
        <v>1</v>
      </c>
      <c r="F1314" s="2">
        <v>0</v>
      </c>
      <c r="G1314">
        <v>27</v>
      </c>
      <c r="H1314" t="s">
        <v>19</v>
      </c>
      <c r="M1314" s="2">
        <v>1</v>
      </c>
      <c r="N1314" s="2">
        <v>1</v>
      </c>
      <c r="O1314" s="2">
        <v>0</v>
      </c>
      <c r="P1314" s="2" t="s">
        <v>21</v>
      </c>
      <c r="R1314" t="str">
        <f t="shared" si="60"/>
        <v>no</v>
      </c>
      <c r="S1314" t="str">
        <f t="shared" si="61"/>
        <v>no</v>
      </c>
      <c r="T13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4" s="2" t="b">
        <f t="shared" si="62"/>
        <v>1</v>
      </c>
      <c r="V1314" s="2">
        <f>IF(Table4[[#This Row],[linear?]],Table4[[#This Row],[av]],10^(Table4[[#This Row],[av]]/10))</f>
        <v>1</v>
      </c>
      <c r="W1314" s="2">
        <f>IF(Table4[[#This Row],[linear?]],Table4[[#This Row],[av]],10^(Table4[[#This Row],[av]]/10))</f>
        <v>1</v>
      </c>
      <c r="X1314" s="2">
        <f>Table4[[#This Row],[av_lin]]-2*Table4[[#This Row],[std_lin]]</f>
        <v>-1</v>
      </c>
      <c r="Y1314" s="2">
        <f>Table4[[#This Row],[av_lin]]+2*Table4[[#This Row],[std_lin]]</f>
        <v>3</v>
      </c>
    </row>
    <row r="1315" spans="1:25" x14ac:dyDescent="0.35">
      <c r="A1315" s="1">
        <v>92</v>
      </c>
      <c r="B1315" t="s">
        <v>75</v>
      </c>
      <c r="C1315" t="s">
        <v>99</v>
      </c>
      <c r="D1315" t="s">
        <v>119</v>
      </c>
      <c r="E1315" s="2">
        <v>46.845679012345677</v>
      </c>
      <c r="F1315" s="2">
        <v>7.8558216287398936</v>
      </c>
      <c r="G1315">
        <v>27</v>
      </c>
      <c r="H1315" t="s">
        <v>19</v>
      </c>
      <c r="M1315" s="2">
        <v>62.557322269825463</v>
      </c>
      <c r="N1315" s="2">
        <v>31.134035754865891</v>
      </c>
      <c r="O1315" s="2">
        <v>31.423286514959571</v>
      </c>
      <c r="P1315" s="2">
        <v>5.9631800753933257</v>
      </c>
      <c r="R1315" t="str">
        <f t="shared" si="60"/>
        <v>no</v>
      </c>
      <c r="S1315" t="str">
        <f t="shared" si="61"/>
        <v>no</v>
      </c>
      <c r="T13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5" s="2" t="b">
        <f t="shared" si="62"/>
        <v>1</v>
      </c>
      <c r="V1315" s="2">
        <f>IF(Table4[[#This Row],[linear?]],Table4[[#This Row],[av]],10^(Table4[[#This Row],[av]]/10))</f>
        <v>46.845679012345677</v>
      </c>
      <c r="W1315" s="2">
        <f>IF(Table4[[#This Row],[linear?]],Table4[[#This Row],[av]],10^(Table4[[#This Row],[av]]/10))</f>
        <v>46.845679012345677</v>
      </c>
      <c r="X1315" s="2">
        <f>Table4[[#This Row],[av_lin]]-2*Table4[[#This Row],[std_lin]]</f>
        <v>-46.845679012345677</v>
      </c>
      <c r="Y1315" s="2">
        <f>Table4[[#This Row],[av_lin]]+2*Table4[[#This Row],[std_lin]]</f>
        <v>140.53703703703704</v>
      </c>
    </row>
    <row r="1316" spans="1:25" x14ac:dyDescent="0.35">
      <c r="A1316" s="1">
        <v>93</v>
      </c>
      <c r="B1316" t="s">
        <v>75</v>
      </c>
      <c r="C1316" t="s">
        <v>99</v>
      </c>
      <c r="D1316" t="s">
        <v>120</v>
      </c>
      <c r="E1316" s="2">
        <v>45.93333333333333</v>
      </c>
      <c r="F1316" s="2">
        <v>5.6142740256402046</v>
      </c>
      <c r="G1316">
        <v>27</v>
      </c>
      <c r="H1316" t="s">
        <v>19</v>
      </c>
      <c r="M1316" s="2">
        <v>57.161881384613743</v>
      </c>
      <c r="N1316" s="2">
        <v>34.704785282052917</v>
      </c>
      <c r="O1316" s="2">
        <v>22.457096102560811</v>
      </c>
      <c r="P1316" s="2">
        <v>8.1815267875342936</v>
      </c>
      <c r="R1316" t="str">
        <f t="shared" si="60"/>
        <v>no</v>
      </c>
      <c r="S1316" t="str">
        <f t="shared" si="61"/>
        <v>no</v>
      </c>
      <c r="T13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6" s="2" t="b">
        <f t="shared" si="62"/>
        <v>1</v>
      </c>
      <c r="V1316" s="2">
        <f>IF(Table4[[#This Row],[linear?]],Table4[[#This Row],[av]],10^(Table4[[#This Row],[av]]/10))</f>
        <v>45.93333333333333</v>
      </c>
      <c r="W1316" s="2">
        <f>IF(Table4[[#This Row],[linear?]],Table4[[#This Row],[av]],10^(Table4[[#This Row],[av]]/10))</f>
        <v>45.93333333333333</v>
      </c>
      <c r="X1316" s="2">
        <f>Table4[[#This Row],[av_lin]]-2*Table4[[#This Row],[std_lin]]</f>
        <v>-45.93333333333333</v>
      </c>
      <c r="Y1316" s="2">
        <f>Table4[[#This Row],[av_lin]]+2*Table4[[#This Row],[std_lin]]</f>
        <v>137.79999999999998</v>
      </c>
    </row>
    <row r="1317" spans="1:25" x14ac:dyDescent="0.35">
      <c r="A1317" s="1">
        <v>94</v>
      </c>
      <c r="B1317" t="s">
        <v>75</v>
      </c>
      <c r="C1317" t="s">
        <v>99</v>
      </c>
      <c r="D1317" t="s">
        <v>121</v>
      </c>
      <c r="G1317">
        <v>27</v>
      </c>
      <c r="H1317" t="s">
        <v>19</v>
      </c>
      <c r="R1317" t="str">
        <f t="shared" si="60"/>
        <v>no</v>
      </c>
      <c r="S1317" t="str">
        <f t="shared" si="61"/>
        <v>no</v>
      </c>
      <c r="T13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7" s="2" t="b">
        <f t="shared" si="62"/>
        <v>1</v>
      </c>
      <c r="V1317" s="2">
        <f>IF(Table4[[#This Row],[linear?]],Table4[[#This Row],[av]],10^(Table4[[#This Row],[av]]/10))</f>
        <v>0</v>
      </c>
      <c r="W1317" s="2">
        <f>IF(Table4[[#This Row],[linear?]],Table4[[#This Row],[av]],10^(Table4[[#This Row],[av]]/10))</f>
        <v>0</v>
      </c>
      <c r="X1317" s="2">
        <f>Table4[[#This Row],[av_lin]]-2*Table4[[#This Row],[std_lin]]</f>
        <v>0</v>
      </c>
      <c r="Y1317" s="2">
        <f>Table4[[#This Row],[av_lin]]+2*Table4[[#This Row],[std_lin]]</f>
        <v>0</v>
      </c>
    </row>
    <row r="1318" spans="1:25" x14ac:dyDescent="0.35">
      <c r="A1318" s="1">
        <v>95</v>
      </c>
      <c r="B1318" t="s">
        <v>75</v>
      </c>
      <c r="C1318" t="s">
        <v>99</v>
      </c>
      <c r="D1318" t="s">
        <v>122</v>
      </c>
      <c r="E1318" s="2">
        <v>1</v>
      </c>
      <c r="F1318" s="2">
        <v>0</v>
      </c>
      <c r="G1318">
        <v>27</v>
      </c>
      <c r="H1318" t="s">
        <v>19</v>
      </c>
      <c r="M1318" s="2">
        <v>1</v>
      </c>
      <c r="N1318" s="2">
        <v>1</v>
      </c>
      <c r="O1318" s="2">
        <v>0</v>
      </c>
      <c r="P1318" s="2" t="s">
        <v>21</v>
      </c>
      <c r="R1318" t="str">
        <f t="shared" si="60"/>
        <v>no</v>
      </c>
      <c r="S1318" t="str">
        <f t="shared" si="61"/>
        <v>no</v>
      </c>
      <c r="T13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8" s="2" t="b">
        <f t="shared" si="62"/>
        <v>1</v>
      </c>
      <c r="V1318" s="2">
        <f>IF(Table4[[#This Row],[linear?]],Table4[[#This Row],[av]],10^(Table4[[#This Row],[av]]/10))</f>
        <v>1</v>
      </c>
      <c r="W1318" s="2">
        <f>IF(Table4[[#This Row],[linear?]],Table4[[#This Row],[av]],10^(Table4[[#This Row],[av]]/10))</f>
        <v>1</v>
      </c>
      <c r="X1318" s="2">
        <f>Table4[[#This Row],[av_lin]]-2*Table4[[#This Row],[std_lin]]</f>
        <v>-1</v>
      </c>
      <c r="Y1318" s="2">
        <f>Table4[[#This Row],[av_lin]]+2*Table4[[#This Row],[std_lin]]</f>
        <v>3</v>
      </c>
    </row>
    <row r="1319" spans="1:25" x14ac:dyDescent="0.35">
      <c r="A1319" s="1">
        <v>96</v>
      </c>
      <c r="B1319" t="s">
        <v>75</v>
      </c>
      <c r="C1319" t="s">
        <v>99</v>
      </c>
      <c r="D1319" t="s">
        <v>123</v>
      </c>
      <c r="E1319" s="2">
        <v>1</v>
      </c>
      <c r="F1319" s="2">
        <v>0</v>
      </c>
      <c r="G1319">
        <v>27</v>
      </c>
      <c r="H1319" t="s">
        <v>19</v>
      </c>
      <c r="M1319" s="2">
        <v>1</v>
      </c>
      <c r="N1319" s="2">
        <v>1</v>
      </c>
      <c r="O1319" s="2">
        <v>0</v>
      </c>
      <c r="P1319" s="2" t="s">
        <v>21</v>
      </c>
      <c r="R1319" t="str">
        <f t="shared" si="60"/>
        <v>no</v>
      </c>
      <c r="S1319" t="str">
        <f t="shared" si="61"/>
        <v>no</v>
      </c>
      <c r="T13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9" s="2" t="b">
        <f t="shared" si="62"/>
        <v>1</v>
      </c>
      <c r="V1319" s="2">
        <f>IF(Table4[[#This Row],[linear?]],Table4[[#This Row],[av]],10^(Table4[[#This Row],[av]]/10))</f>
        <v>1</v>
      </c>
      <c r="W1319" s="2">
        <f>IF(Table4[[#This Row],[linear?]],Table4[[#This Row],[av]],10^(Table4[[#This Row],[av]]/10))</f>
        <v>1</v>
      </c>
      <c r="X1319" s="2">
        <f>Table4[[#This Row],[av_lin]]-2*Table4[[#This Row],[std_lin]]</f>
        <v>-1</v>
      </c>
      <c r="Y1319" s="2">
        <f>Table4[[#This Row],[av_lin]]+2*Table4[[#This Row],[std_lin]]</f>
        <v>3</v>
      </c>
    </row>
    <row r="1320" spans="1:25" x14ac:dyDescent="0.35">
      <c r="A1320" s="1">
        <v>97</v>
      </c>
      <c r="B1320" t="s">
        <v>75</v>
      </c>
      <c r="C1320" t="s">
        <v>99</v>
      </c>
      <c r="D1320" t="s">
        <v>124</v>
      </c>
      <c r="E1320" s="2">
        <v>1</v>
      </c>
      <c r="F1320" s="2">
        <v>0</v>
      </c>
      <c r="G1320">
        <v>27</v>
      </c>
      <c r="H1320" t="s">
        <v>19</v>
      </c>
      <c r="M1320" s="2">
        <v>1</v>
      </c>
      <c r="N1320" s="2">
        <v>1</v>
      </c>
      <c r="O1320" s="2">
        <v>0</v>
      </c>
      <c r="P1320" s="2" t="s">
        <v>21</v>
      </c>
      <c r="R1320" t="str">
        <f t="shared" si="60"/>
        <v>no</v>
      </c>
      <c r="S1320" t="str">
        <f t="shared" si="61"/>
        <v>no</v>
      </c>
      <c r="T13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0" s="2" t="b">
        <f t="shared" si="62"/>
        <v>1</v>
      </c>
      <c r="V1320" s="2">
        <f>IF(Table4[[#This Row],[linear?]],Table4[[#This Row],[av]],10^(Table4[[#This Row],[av]]/10))</f>
        <v>1</v>
      </c>
      <c r="W1320" s="2">
        <f>IF(Table4[[#This Row],[linear?]],Table4[[#This Row],[av]],10^(Table4[[#This Row],[av]]/10))</f>
        <v>1</v>
      </c>
      <c r="X1320" s="2">
        <f>Table4[[#This Row],[av_lin]]-2*Table4[[#This Row],[std_lin]]</f>
        <v>-1</v>
      </c>
      <c r="Y1320" s="2">
        <f>Table4[[#This Row],[av_lin]]+2*Table4[[#This Row],[std_lin]]</f>
        <v>3</v>
      </c>
    </row>
    <row r="1321" spans="1:25" x14ac:dyDescent="0.35">
      <c r="A1321" s="1">
        <v>98</v>
      </c>
      <c r="B1321" t="s">
        <v>75</v>
      </c>
      <c r="C1321" t="s">
        <v>99</v>
      </c>
      <c r="D1321" t="s">
        <v>125</v>
      </c>
      <c r="E1321" s="2">
        <v>1</v>
      </c>
      <c r="F1321" s="2">
        <v>0</v>
      </c>
      <c r="G1321">
        <v>27</v>
      </c>
      <c r="H1321" t="s">
        <v>19</v>
      </c>
      <c r="M1321" s="2">
        <v>1</v>
      </c>
      <c r="N1321" s="2">
        <v>1</v>
      </c>
      <c r="O1321" s="2">
        <v>0</v>
      </c>
      <c r="P1321" s="2" t="s">
        <v>21</v>
      </c>
      <c r="R1321" t="str">
        <f t="shared" si="60"/>
        <v>no</v>
      </c>
      <c r="S1321" t="str">
        <f t="shared" si="61"/>
        <v>no</v>
      </c>
      <c r="T13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1" s="2" t="b">
        <f t="shared" si="62"/>
        <v>1</v>
      </c>
      <c r="V1321" s="2">
        <f>IF(Table4[[#This Row],[linear?]],Table4[[#This Row],[av]],10^(Table4[[#This Row],[av]]/10))</f>
        <v>1</v>
      </c>
      <c r="W1321" s="2">
        <f>IF(Table4[[#This Row],[linear?]],Table4[[#This Row],[av]],10^(Table4[[#This Row],[av]]/10))</f>
        <v>1</v>
      </c>
      <c r="X1321" s="2">
        <f>Table4[[#This Row],[av_lin]]-2*Table4[[#This Row],[std_lin]]</f>
        <v>-1</v>
      </c>
      <c r="Y1321" s="2">
        <f>Table4[[#This Row],[av_lin]]+2*Table4[[#This Row],[std_lin]]</f>
        <v>3</v>
      </c>
    </row>
    <row r="1322" spans="1:25" x14ac:dyDescent="0.35">
      <c r="A1322" s="1">
        <v>99</v>
      </c>
      <c r="B1322" t="s">
        <v>75</v>
      </c>
      <c r="C1322" t="s">
        <v>99</v>
      </c>
      <c r="D1322" t="s">
        <v>126</v>
      </c>
      <c r="E1322" s="2">
        <v>44.783950617283949</v>
      </c>
      <c r="F1322" s="2">
        <v>4.7117697015593762</v>
      </c>
      <c r="G1322">
        <v>27</v>
      </c>
      <c r="H1322" t="s">
        <v>19</v>
      </c>
      <c r="M1322" s="2">
        <v>54.207490020402702</v>
      </c>
      <c r="N1322" s="2">
        <v>35.360411214165197</v>
      </c>
      <c r="O1322" s="2">
        <v>18.847078806237501</v>
      </c>
      <c r="P1322" s="2">
        <v>9.5046985429832329</v>
      </c>
      <c r="R1322" t="str">
        <f t="shared" si="60"/>
        <v>no</v>
      </c>
      <c r="S1322" t="str">
        <f t="shared" si="61"/>
        <v>no</v>
      </c>
      <c r="T13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2" s="2" t="b">
        <f t="shared" si="62"/>
        <v>1</v>
      </c>
      <c r="V1322" s="2">
        <f>IF(Table4[[#This Row],[linear?]],Table4[[#This Row],[av]],10^(Table4[[#This Row],[av]]/10))</f>
        <v>44.783950617283949</v>
      </c>
      <c r="W1322" s="2">
        <f>IF(Table4[[#This Row],[linear?]],Table4[[#This Row],[av]],10^(Table4[[#This Row],[av]]/10))</f>
        <v>44.783950617283949</v>
      </c>
      <c r="X1322" s="2">
        <f>Table4[[#This Row],[av_lin]]-2*Table4[[#This Row],[std_lin]]</f>
        <v>-44.783950617283949</v>
      </c>
      <c r="Y1322" s="2">
        <f>Table4[[#This Row],[av_lin]]+2*Table4[[#This Row],[std_lin]]</f>
        <v>134.35185185185185</v>
      </c>
    </row>
    <row r="1323" spans="1:25" x14ac:dyDescent="0.35">
      <c r="A1323" s="1">
        <v>100</v>
      </c>
      <c r="B1323" t="s">
        <v>75</v>
      </c>
      <c r="C1323" t="s">
        <v>99</v>
      </c>
      <c r="D1323" t="s">
        <v>127</v>
      </c>
      <c r="E1323" s="2">
        <v>41.304938271604939</v>
      </c>
      <c r="F1323" s="2">
        <v>5.3343463808630078</v>
      </c>
      <c r="G1323">
        <v>27</v>
      </c>
      <c r="H1323" t="s">
        <v>19</v>
      </c>
      <c r="M1323" s="2">
        <v>51.973631033330953</v>
      </c>
      <c r="N1323" s="2">
        <v>30.636245509878929</v>
      </c>
      <c r="O1323" s="2">
        <v>21.337385523452031</v>
      </c>
      <c r="P1323" s="2">
        <v>7.7432051318951833</v>
      </c>
      <c r="R1323" t="str">
        <f t="shared" si="60"/>
        <v>no</v>
      </c>
      <c r="S1323" t="str">
        <f t="shared" si="61"/>
        <v>no</v>
      </c>
      <c r="T13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3" s="2" t="b">
        <f t="shared" si="62"/>
        <v>1</v>
      </c>
      <c r="V1323" s="2">
        <f>IF(Table4[[#This Row],[linear?]],Table4[[#This Row],[av]],10^(Table4[[#This Row],[av]]/10))</f>
        <v>41.304938271604939</v>
      </c>
      <c r="W1323" s="2">
        <f>IF(Table4[[#This Row],[linear?]],Table4[[#This Row],[av]],10^(Table4[[#This Row],[av]]/10))</f>
        <v>41.304938271604939</v>
      </c>
      <c r="X1323" s="2">
        <f>Table4[[#This Row],[av_lin]]-2*Table4[[#This Row],[std_lin]]</f>
        <v>-41.304938271604939</v>
      </c>
      <c r="Y1323" s="2">
        <f>Table4[[#This Row],[av_lin]]+2*Table4[[#This Row],[std_lin]]</f>
        <v>123.91481481481482</v>
      </c>
    </row>
    <row r="1324" spans="1:25" x14ac:dyDescent="0.35">
      <c r="A1324" s="1">
        <v>101</v>
      </c>
      <c r="B1324" t="s">
        <v>75</v>
      </c>
      <c r="C1324" t="s">
        <v>99</v>
      </c>
      <c r="D1324" t="s">
        <v>128</v>
      </c>
      <c r="G1324">
        <v>27</v>
      </c>
      <c r="H1324" t="s">
        <v>19</v>
      </c>
      <c r="R1324" t="str">
        <f t="shared" si="60"/>
        <v>no</v>
      </c>
      <c r="S1324" t="str">
        <f t="shared" si="61"/>
        <v>no</v>
      </c>
      <c r="T13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4" s="2" t="b">
        <f t="shared" si="62"/>
        <v>1</v>
      </c>
      <c r="V1324" s="2">
        <f>IF(Table4[[#This Row],[linear?]],Table4[[#This Row],[av]],10^(Table4[[#This Row],[av]]/10))</f>
        <v>0</v>
      </c>
      <c r="W1324" s="2">
        <f>IF(Table4[[#This Row],[linear?]],Table4[[#This Row],[av]],10^(Table4[[#This Row],[av]]/10))</f>
        <v>0</v>
      </c>
      <c r="X1324" s="2">
        <f>Table4[[#This Row],[av_lin]]-2*Table4[[#This Row],[std_lin]]</f>
        <v>0</v>
      </c>
      <c r="Y1324" s="2">
        <f>Table4[[#This Row],[av_lin]]+2*Table4[[#This Row],[std_lin]]</f>
        <v>0</v>
      </c>
    </row>
    <row r="1325" spans="1:25" x14ac:dyDescent="0.35">
      <c r="A1325" s="1">
        <v>102</v>
      </c>
      <c r="B1325" t="s">
        <v>75</v>
      </c>
      <c r="C1325" t="s">
        <v>99</v>
      </c>
      <c r="D1325" t="s">
        <v>129</v>
      </c>
      <c r="E1325" s="2">
        <v>1</v>
      </c>
      <c r="F1325" s="2">
        <v>0</v>
      </c>
      <c r="G1325">
        <v>27</v>
      </c>
      <c r="H1325" t="s">
        <v>19</v>
      </c>
      <c r="M1325" s="2">
        <v>1</v>
      </c>
      <c r="N1325" s="2">
        <v>1</v>
      </c>
      <c r="O1325" s="2">
        <v>0</v>
      </c>
      <c r="P1325" s="2" t="s">
        <v>21</v>
      </c>
      <c r="R1325" t="str">
        <f t="shared" si="60"/>
        <v>no</v>
      </c>
      <c r="S1325" t="str">
        <f t="shared" si="61"/>
        <v>no</v>
      </c>
      <c r="T13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5" s="2" t="b">
        <f t="shared" si="62"/>
        <v>1</v>
      </c>
      <c r="V1325" s="2">
        <f>IF(Table4[[#This Row],[linear?]],Table4[[#This Row],[av]],10^(Table4[[#This Row],[av]]/10))</f>
        <v>1</v>
      </c>
      <c r="W1325" s="2">
        <f>IF(Table4[[#This Row],[linear?]],Table4[[#This Row],[av]],10^(Table4[[#This Row],[av]]/10))</f>
        <v>1</v>
      </c>
      <c r="X1325" s="2">
        <f>Table4[[#This Row],[av_lin]]-2*Table4[[#This Row],[std_lin]]</f>
        <v>-1</v>
      </c>
      <c r="Y1325" s="2">
        <f>Table4[[#This Row],[av_lin]]+2*Table4[[#This Row],[std_lin]]</f>
        <v>3</v>
      </c>
    </row>
    <row r="1326" spans="1:25" x14ac:dyDescent="0.35">
      <c r="A1326" s="1">
        <v>103</v>
      </c>
      <c r="B1326" t="s">
        <v>75</v>
      </c>
      <c r="C1326" t="s">
        <v>99</v>
      </c>
      <c r="D1326" t="s">
        <v>130</v>
      </c>
      <c r="E1326" s="2">
        <v>1</v>
      </c>
      <c r="F1326" s="2">
        <v>0</v>
      </c>
      <c r="G1326">
        <v>27</v>
      </c>
      <c r="H1326" t="s">
        <v>19</v>
      </c>
      <c r="M1326" s="2">
        <v>1</v>
      </c>
      <c r="N1326" s="2">
        <v>1</v>
      </c>
      <c r="O1326" s="2">
        <v>0</v>
      </c>
      <c r="P1326" s="2" t="s">
        <v>21</v>
      </c>
      <c r="R1326" t="str">
        <f t="shared" si="60"/>
        <v>no</v>
      </c>
      <c r="S1326" t="str">
        <f t="shared" si="61"/>
        <v>no</v>
      </c>
      <c r="T13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6" s="2" t="b">
        <f t="shared" si="62"/>
        <v>1</v>
      </c>
      <c r="V1326" s="2">
        <f>IF(Table4[[#This Row],[linear?]],Table4[[#This Row],[av]],10^(Table4[[#This Row],[av]]/10))</f>
        <v>1</v>
      </c>
      <c r="W1326" s="2">
        <f>IF(Table4[[#This Row],[linear?]],Table4[[#This Row],[av]],10^(Table4[[#This Row],[av]]/10))</f>
        <v>1</v>
      </c>
      <c r="X1326" s="2">
        <f>Table4[[#This Row],[av_lin]]-2*Table4[[#This Row],[std_lin]]</f>
        <v>-1</v>
      </c>
      <c r="Y1326" s="2">
        <f>Table4[[#This Row],[av_lin]]+2*Table4[[#This Row],[std_lin]]</f>
        <v>3</v>
      </c>
    </row>
    <row r="1327" spans="1:25" x14ac:dyDescent="0.35">
      <c r="A1327" s="1">
        <v>104</v>
      </c>
      <c r="B1327" t="s">
        <v>75</v>
      </c>
      <c r="C1327" t="s">
        <v>99</v>
      </c>
      <c r="D1327" t="s">
        <v>131</v>
      </c>
      <c r="E1327" s="2">
        <v>1</v>
      </c>
      <c r="F1327" s="2">
        <v>0</v>
      </c>
      <c r="G1327">
        <v>27</v>
      </c>
      <c r="H1327" t="s">
        <v>19</v>
      </c>
      <c r="M1327" s="2">
        <v>1</v>
      </c>
      <c r="N1327" s="2">
        <v>1</v>
      </c>
      <c r="O1327" s="2">
        <v>0</v>
      </c>
      <c r="P1327" s="2" t="s">
        <v>21</v>
      </c>
      <c r="R1327" t="str">
        <f t="shared" si="60"/>
        <v>no</v>
      </c>
      <c r="S1327" t="str">
        <f t="shared" si="61"/>
        <v>no</v>
      </c>
      <c r="T13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7" s="2" t="b">
        <f t="shared" si="62"/>
        <v>1</v>
      </c>
      <c r="V1327" s="2">
        <f>IF(Table4[[#This Row],[linear?]],Table4[[#This Row],[av]],10^(Table4[[#This Row],[av]]/10))</f>
        <v>1</v>
      </c>
      <c r="W1327" s="2">
        <f>IF(Table4[[#This Row],[linear?]],Table4[[#This Row],[av]],10^(Table4[[#This Row],[av]]/10))</f>
        <v>1</v>
      </c>
      <c r="X1327" s="2">
        <f>Table4[[#This Row],[av_lin]]-2*Table4[[#This Row],[std_lin]]</f>
        <v>-1</v>
      </c>
      <c r="Y1327" s="2">
        <f>Table4[[#This Row],[av_lin]]+2*Table4[[#This Row],[std_lin]]</f>
        <v>3</v>
      </c>
    </row>
    <row r="1328" spans="1:25" x14ac:dyDescent="0.35">
      <c r="A1328" s="1">
        <v>105</v>
      </c>
      <c r="B1328" t="s">
        <v>75</v>
      </c>
      <c r="C1328" t="s">
        <v>99</v>
      </c>
      <c r="D1328" t="s">
        <v>132</v>
      </c>
      <c r="E1328" s="2">
        <v>1</v>
      </c>
      <c r="F1328" s="2">
        <v>0</v>
      </c>
      <c r="G1328">
        <v>27</v>
      </c>
      <c r="H1328" t="s">
        <v>19</v>
      </c>
      <c r="M1328" s="2">
        <v>1</v>
      </c>
      <c r="N1328" s="2">
        <v>1</v>
      </c>
      <c r="O1328" s="2">
        <v>0</v>
      </c>
      <c r="P1328" s="2" t="s">
        <v>21</v>
      </c>
      <c r="R1328" t="str">
        <f t="shared" si="60"/>
        <v>no</v>
      </c>
      <c r="S1328" t="str">
        <f t="shared" si="61"/>
        <v>no</v>
      </c>
      <c r="T13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8" s="2" t="b">
        <f t="shared" si="62"/>
        <v>1</v>
      </c>
      <c r="V1328" s="2">
        <f>IF(Table4[[#This Row],[linear?]],Table4[[#This Row],[av]],10^(Table4[[#This Row],[av]]/10))</f>
        <v>1</v>
      </c>
      <c r="W1328" s="2">
        <f>IF(Table4[[#This Row],[linear?]],Table4[[#This Row],[av]],10^(Table4[[#This Row],[av]]/10))</f>
        <v>1</v>
      </c>
      <c r="X1328" s="2">
        <f>Table4[[#This Row],[av_lin]]-2*Table4[[#This Row],[std_lin]]</f>
        <v>-1</v>
      </c>
      <c r="Y1328" s="2">
        <f>Table4[[#This Row],[av_lin]]+2*Table4[[#This Row],[std_lin]]</f>
        <v>3</v>
      </c>
    </row>
    <row r="1329" spans="1:25" x14ac:dyDescent="0.35">
      <c r="A1329" s="1">
        <v>106</v>
      </c>
      <c r="B1329" t="s">
        <v>75</v>
      </c>
      <c r="C1329" t="s">
        <v>99</v>
      </c>
      <c r="D1329" t="s">
        <v>133</v>
      </c>
      <c r="E1329" s="2">
        <v>41.128395061728398</v>
      </c>
      <c r="F1329" s="2">
        <v>5.1712770273184789</v>
      </c>
      <c r="G1329">
        <v>27</v>
      </c>
      <c r="H1329" t="s">
        <v>19</v>
      </c>
      <c r="M1329" s="2">
        <v>51.470949116365347</v>
      </c>
      <c r="N1329" s="2">
        <v>30.785841007091442</v>
      </c>
      <c r="O1329" s="2">
        <v>20.685108109273909</v>
      </c>
      <c r="P1329" s="2">
        <v>7.9532376324954246</v>
      </c>
      <c r="R1329" t="str">
        <f t="shared" si="60"/>
        <v>no</v>
      </c>
      <c r="S1329" t="str">
        <f t="shared" si="61"/>
        <v>no</v>
      </c>
      <c r="T13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9" s="2" t="b">
        <f t="shared" si="62"/>
        <v>1</v>
      </c>
      <c r="V1329" s="2">
        <f>IF(Table4[[#This Row],[linear?]],Table4[[#This Row],[av]],10^(Table4[[#This Row],[av]]/10))</f>
        <v>41.128395061728398</v>
      </c>
      <c r="W1329" s="2">
        <f>IF(Table4[[#This Row],[linear?]],Table4[[#This Row],[av]],10^(Table4[[#This Row],[av]]/10))</f>
        <v>41.128395061728398</v>
      </c>
      <c r="X1329" s="2">
        <f>Table4[[#This Row],[av_lin]]-2*Table4[[#This Row],[std_lin]]</f>
        <v>-41.128395061728398</v>
      </c>
      <c r="Y1329" s="2">
        <f>Table4[[#This Row],[av_lin]]+2*Table4[[#This Row],[std_lin]]</f>
        <v>123.38518518518519</v>
      </c>
    </row>
    <row r="1330" spans="1:25" x14ac:dyDescent="0.35">
      <c r="A1330" s="1">
        <v>107</v>
      </c>
      <c r="B1330" t="s">
        <v>75</v>
      </c>
      <c r="C1330" t="s">
        <v>99</v>
      </c>
      <c r="D1330" t="s">
        <v>134</v>
      </c>
      <c r="E1330" s="2">
        <v>43.528395061728403</v>
      </c>
      <c r="F1330" s="2">
        <v>6.4735922767604528</v>
      </c>
      <c r="G1330">
        <v>27</v>
      </c>
      <c r="H1330" t="s">
        <v>19</v>
      </c>
      <c r="M1330" s="2">
        <v>56.475579615249309</v>
      </c>
      <c r="N1330" s="2">
        <v>30.581210508207501</v>
      </c>
      <c r="O1330" s="2">
        <v>25.894369107041811</v>
      </c>
      <c r="P1330" s="2">
        <v>6.7239939126211237</v>
      </c>
      <c r="R1330" t="str">
        <f t="shared" si="60"/>
        <v>no</v>
      </c>
      <c r="S1330" t="str">
        <f t="shared" si="61"/>
        <v>no</v>
      </c>
      <c r="T13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0" s="2" t="b">
        <f t="shared" si="62"/>
        <v>1</v>
      </c>
      <c r="V1330" s="2">
        <f>IF(Table4[[#This Row],[linear?]],Table4[[#This Row],[av]],10^(Table4[[#This Row],[av]]/10))</f>
        <v>43.528395061728403</v>
      </c>
      <c r="W1330" s="2">
        <f>IF(Table4[[#This Row],[linear?]],Table4[[#This Row],[av]],10^(Table4[[#This Row],[av]]/10))</f>
        <v>43.528395061728403</v>
      </c>
      <c r="X1330" s="2">
        <f>Table4[[#This Row],[av_lin]]-2*Table4[[#This Row],[std_lin]]</f>
        <v>-43.528395061728403</v>
      </c>
      <c r="Y1330" s="2">
        <f>Table4[[#This Row],[av_lin]]+2*Table4[[#This Row],[std_lin]]</f>
        <v>130.5851851851852</v>
      </c>
    </row>
    <row r="1331" spans="1:25" x14ac:dyDescent="0.35">
      <c r="A1331" s="1">
        <v>108</v>
      </c>
      <c r="B1331" t="s">
        <v>75</v>
      </c>
      <c r="C1331" t="s">
        <v>99</v>
      </c>
      <c r="D1331" t="s">
        <v>135</v>
      </c>
      <c r="G1331">
        <v>27</v>
      </c>
      <c r="H1331" t="s">
        <v>19</v>
      </c>
      <c r="R1331" t="str">
        <f t="shared" si="60"/>
        <v>no</v>
      </c>
      <c r="S1331" t="str">
        <f t="shared" si="61"/>
        <v>no</v>
      </c>
      <c r="T13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1" s="2" t="b">
        <f t="shared" si="62"/>
        <v>1</v>
      </c>
      <c r="V1331" s="2">
        <f>IF(Table4[[#This Row],[linear?]],Table4[[#This Row],[av]],10^(Table4[[#This Row],[av]]/10))</f>
        <v>0</v>
      </c>
      <c r="W1331" s="2">
        <f>IF(Table4[[#This Row],[linear?]],Table4[[#This Row],[av]],10^(Table4[[#This Row],[av]]/10))</f>
        <v>0</v>
      </c>
      <c r="X1331" s="2">
        <f>Table4[[#This Row],[av_lin]]-2*Table4[[#This Row],[std_lin]]</f>
        <v>0</v>
      </c>
      <c r="Y1331" s="2">
        <f>Table4[[#This Row],[av_lin]]+2*Table4[[#This Row],[std_lin]]</f>
        <v>0</v>
      </c>
    </row>
    <row r="1332" spans="1:25" x14ac:dyDescent="0.35">
      <c r="A1332" s="1">
        <v>109</v>
      </c>
      <c r="B1332" t="s">
        <v>75</v>
      </c>
      <c r="C1332" t="s">
        <v>99</v>
      </c>
      <c r="D1332" t="s">
        <v>136</v>
      </c>
      <c r="E1332" s="2">
        <v>1</v>
      </c>
      <c r="F1332" s="2">
        <v>0</v>
      </c>
      <c r="G1332">
        <v>27</v>
      </c>
      <c r="H1332" t="s">
        <v>19</v>
      </c>
      <c r="M1332" s="2">
        <v>1</v>
      </c>
      <c r="N1332" s="2">
        <v>1</v>
      </c>
      <c r="O1332" s="2">
        <v>0</v>
      </c>
      <c r="P1332" s="2" t="s">
        <v>21</v>
      </c>
      <c r="R1332" t="str">
        <f t="shared" si="60"/>
        <v>no</v>
      </c>
      <c r="S1332" t="str">
        <f t="shared" si="61"/>
        <v>no</v>
      </c>
      <c r="T13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2" s="2" t="b">
        <f t="shared" si="62"/>
        <v>1</v>
      </c>
      <c r="V1332" s="2">
        <f>IF(Table4[[#This Row],[linear?]],Table4[[#This Row],[av]],10^(Table4[[#This Row],[av]]/10))</f>
        <v>1</v>
      </c>
      <c r="W1332" s="2">
        <f>IF(Table4[[#This Row],[linear?]],Table4[[#This Row],[av]],10^(Table4[[#This Row],[av]]/10))</f>
        <v>1</v>
      </c>
      <c r="X1332" s="2">
        <f>Table4[[#This Row],[av_lin]]-2*Table4[[#This Row],[std_lin]]</f>
        <v>-1</v>
      </c>
      <c r="Y1332" s="2">
        <f>Table4[[#This Row],[av_lin]]+2*Table4[[#This Row],[std_lin]]</f>
        <v>3</v>
      </c>
    </row>
    <row r="1333" spans="1:25" x14ac:dyDescent="0.35">
      <c r="A1333" s="1">
        <v>110</v>
      </c>
      <c r="B1333" t="s">
        <v>75</v>
      </c>
      <c r="C1333" t="s">
        <v>99</v>
      </c>
      <c r="D1333" t="s">
        <v>137</v>
      </c>
      <c r="E1333" s="2">
        <v>1</v>
      </c>
      <c r="F1333" s="2">
        <v>0</v>
      </c>
      <c r="G1333">
        <v>27</v>
      </c>
      <c r="H1333" t="s">
        <v>19</v>
      </c>
      <c r="M1333" s="2">
        <v>1</v>
      </c>
      <c r="N1333" s="2">
        <v>1</v>
      </c>
      <c r="O1333" s="2">
        <v>0</v>
      </c>
      <c r="P1333" s="2" t="s">
        <v>21</v>
      </c>
      <c r="R1333" t="str">
        <f t="shared" si="60"/>
        <v>no</v>
      </c>
      <c r="S1333" t="str">
        <f t="shared" si="61"/>
        <v>no</v>
      </c>
      <c r="T13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3" s="2" t="b">
        <f t="shared" si="62"/>
        <v>1</v>
      </c>
      <c r="V1333" s="2">
        <f>IF(Table4[[#This Row],[linear?]],Table4[[#This Row],[av]],10^(Table4[[#This Row],[av]]/10))</f>
        <v>1</v>
      </c>
      <c r="W1333" s="2">
        <f>IF(Table4[[#This Row],[linear?]],Table4[[#This Row],[av]],10^(Table4[[#This Row],[av]]/10))</f>
        <v>1</v>
      </c>
      <c r="X1333" s="2">
        <f>Table4[[#This Row],[av_lin]]-2*Table4[[#This Row],[std_lin]]</f>
        <v>-1</v>
      </c>
      <c r="Y1333" s="2">
        <f>Table4[[#This Row],[av_lin]]+2*Table4[[#This Row],[std_lin]]</f>
        <v>3</v>
      </c>
    </row>
    <row r="1334" spans="1:25" x14ac:dyDescent="0.35">
      <c r="A1334" s="1">
        <v>111</v>
      </c>
      <c r="B1334" t="s">
        <v>75</v>
      </c>
      <c r="C1334" t="s">
        <v>99</v>
      </c>
      <c r="D1334" t="s">
        <v>138</v>
      </c>
      <c r="E1334" s="2">
        <v>1</v>
      </c>
      <c r="F1334" s="2">
        <v>0</v>
      </c>
      <c r="G1334">
        <v>27</v>
      </c>
      <c r="H1334" t="s">
        <v>19</v>
      </c>
      <c r="M1334" s="2">
        <v>1</v>
      </c>
      <c r="N1334" s="2">
        <v>1</v>
      </c>
      <c r="O1334" s="2">
        <v>0</v>
      </c>
      <c r="P1334" s="2" t="s">
        <v>21</v>
      </c>
      <c r="R1334" t="str">
        <f t="shared" si="60"/>
        <v>no</v>
      </c>
      <c r="S1334" t="str">
        <f t="shared" si="61"/>
        <v>no</v>
      </c>
      <c r="T13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4" s="2" t="b">
        <f t="shared" si="62"/>
        <v>1</v>
      </c>
      <c r="V1334" s="2">
        <f>IF(Table4[[#This Row],[linear?]],Table4[[#This Row],[av]],10^(Table4[[#This Row],[av]]/10))</f>
        <v>1</v>
      </c>
      <c r="W1334" s="2">
        <f>IF(Table4[[#This Row],[linear?]],Table4[[#This Row],[av]],10^(Table4[[#This Row],[av]]/10))</f>
        <v>1</v>
      </c>
      <c r="X1334" s="2">
        <f>Table4[[#This Row],[av_lin]]-2*Table4[[#This Row],[std_lin]]</f>
        <v>-1</v>
      </c>
      <c r="Y1334" s="2">
        <f>Table4[[#This Row],[av_lin]]+2*Table4[[#This Row],[std_lin]]</f>
        <v>3</v>
      </c>
    </row>
    <row r="1335" spans="1:25" x14ac:dyDescent="0.35">
      <c r="A1335" s="1">
        <v>112</v>
      </c>
      <c r="B1335" t="s">
        <v>75</v>
      </c>
      <c r="C1335" t="s">
        <v>99</v>
      </c>
      <c r="D1335" t="s">
        <v>139</v>
      </c>
      <c r="E1335" s="2">
        <v>1</v>
      </c>
      <c r="F1335" s="2">
        <v>0</v>
      </c>
      <c r="G1335">
        <v>27</v>
      </c>
      <c r="H1335" t="s">
        <v>19</v>
      </c>
      <c r="M1335" s="2">
        <v>1</v>
      </c>
      <c r="N1335" s="2">
        <v>1</v>
      </c>
      <c r="O1335" s="2">
        <v>0</v>
      </c>
      <c r="P1335" s="2" t="s">
        <v>21</v>
      </c>
      <c r="R1335" t="str">
        <f t="shared" si="60"/>
        <v>no</v>
      </c>
      <c r="S1335" t="str">
        <f t="shared" si="61"/>
        <v>no</v>
      </c>
      <c r="T13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5" s="2" t="b">
        <f t="shared" si="62"/>
        <v>1</v>
      </c>
      <c r="V1335" s="2">
        <f>IF(Table4[[#This Row],[linear?]],Table4[[#This Row],[av]],10^(Table4[[#This Row],[av]]/10))</f>
        <v>1</v>
      </c>
      <c r="W1335" s="2">
        <f>IF(Table4[[#This Row],[linear?]],Table4[[#This Row],[av]],10^(Table4[[#This Row],[av]]/10))</f>
        <v>1</v>
      </c>
      <c r="X1335" s="2">
        <f>Table4[[#This Row],[av_lin]]-2*Table4[[#This Row],[std_lin]]</f>
        <v>-1</v>
      </c>
      <c r="Y1335" s="2">
        <f>Table4[[#This Row],[av_lin]]+2*Table4[[#This Row],[std_lin]]</f>
        <v>3</v>
      </c>
    </row>
    <row r="1336" spans="1:25" x14ac:dyDescent="0.35">
      <c r="A1336" s="1">
        <v>113</v>
      </c>
      <c r="B1336" t="s">
        <v>75</v>
      </c>
      <c r="C1336" t="s">
        <v>99</v>
      </c>
      <c r="D1336" t="s">
        <v>140</v>
      </c>
      <c r="E1336" s="2">
        <v>40.155555555555559</v>
      </c>
      <c r="F1336" s="2">
        <v>3.382527124396717</v>
      </c>
      <c r="G1336">
        <v>27</v>
      </c>
      <c r="H1336" t="s">
        <v>19</v>
      </c>
      <c r="M1336" s="2">
        <v>46.920609804348992</v>
      </c>
      <c r="N1336" s="2">
        <v>33.390501306762133</v>
      </c>
      <c r="O1336" s="2">
        <v>13.53010849758687</v>
      </c>
      <c r="P1336" s="2">
        <v>11.871465942114931</v>
      </c>
      <c r="R1336" t="str">
        <f t="shared" si="60"/>
        <v>no</v>
      </c>
      <c r="S1336" t="str">
        <f t="shared" si="61"/>
        <v>no</v>
      </c>
      <c r="T13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6" s="2" t="b">
        <f t="shared" si="62"/>
        <v>1</v>
      </c>
      <c r="V1336" s="2">
        <f>IF(Table4[[#This Row],[linear?]],Table4[[#This Row],[av]],10^(Table4[[#This Row],[av]]/10))</f>
        <v>40.155555555555559</v>
      </c>
      <c r="W1336" s="2">
        <f>IF(Table4[[#This Row],[linear?]],Table4[[#This Row],[av]],10^(Table4[[#This Row],[av]]/10))</f>
        <v>40.155555555555559</v>
      </c>
      <c r="X1336" s="2">
        <f>Table4[[#This Row],[av_lin]]-2*Table4[[#This Row],[std_lin]]</f>
        <v>-40.155555555555559</v>
      </c>
      <c r="Y1336" s="2">
        <f>Table4[[#This Row],[av_lin]]+2*Table4[[#This Row],[std_lin]]</f>
        <v>120.46666666666667</v>
      </c>
    </row>
    <row r="1337" spans="1:25" x14ac:dyDescent="0.35">
      <c r="A1337" s="1">
        <v>114</v>
      </c>
      <c r="B1337" t="s">
        <v>75</v>
      </c>
      <c r="C1337" t="s">
        <v>99</v>
      </c>
      <c r="D1337" t="s">
        <v>141</v>
      </c>
      <c r="E1337" s="2">
        <v>43.011111111111113</v>
      </c>
      <c r="F1337" s="2">
        <v>4.5201477437077484</v>
      </c>
      <c r="G1337">
        <v>27</v>
      </c>
      <c r="H1337" t="s">
        <v>19</v>
      </c>
      <c r="M1337" s="2">
        <v>52.051406598526611</v>
      </c>
      <c r="N1337" s="2">
        <v>33.970815623695607</v>
      </c>
      <c r="O1337" s="2">
        <v>18.080590974831001</v>
      </c>
      <c r="P1337" s="2">
        <v>9.5154215193484628</v>
      </c>
      <c r="R1337" t="str">
        <f t="shared" si="60"/>
        <v>no</v>
      </c>
      <c r="S1337" t="str">
        <f t="shared" si="61"/>
        <v>no</v>
      </c>
      <c r="T13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7" s="2" t="b">
        <f t="shared" si="62"/>
        <v>1</v>
      </c>
      <c r="V1337" s="2">
        <f>IF(Table4[[#This Row],[linear?]],Table4[[#This Row],[av]],10^(Table4[[#This Row],[av]]/10))</f>
        <v>43.011111111111113</v>
      </c>
      <c r="W1337" s="2">
        <f>IF(Table4[[#This Row],[linear?]],Table4[[#This Row],[av]],10^(Table4[[#This Row],[av]]/10))</f>
        <v>43.011111111111113</v>
      </c>
      <c r="X1337" s="2">
        <f>Table4[[#This Row],[av_lin]]-2*Table4[[#This Row],[std_lin]]</f>
        <v>-43.011111111111113</v>
      </c>
      <c r="Y1337" s="2">
        <f>Table4[[#This Row],[av_lin]]+2*Table4[[#This Row],[std_lin]]</f>
        <v>129.03333333333333</v>
      </c>
    </row>
    <row r="1338" spans="1:25" x14ac:dyDescent="0.35">
      <c r="A1338" s="1">
        <v>115</v>
      </c>
      <c r="B1338" t="s">
        <v>75</v>
      </c>
      <c r="C1338" t="s">
        <v>142</v>
      </c>
      <c r="D1338" t="s">
        <v>143</v>
      </c>
      <c r="G1338">
        <v>27</v>
      </c>
      <c r="H1338" t="s">
        <v>19</v>
      </c>
      <c r="R1338" t="str">
        <f t="shared" si="60"/>
        <v>no</v>
      </c>
      <c r="S1338" t="str">
        <f t="shared" si="61"/>
        <v>no</v>
      </c>
      <c r="T13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8" s="2" t="b">
        <f t="shared" si="62"/>
        <v>1</v>
      </c>
      <c r="V1338" s="2">
        <f>IF(Table4[[#This Row],[linear?]],Table4[[#This Row],[av]],10^(Table4[[#This Row],[av]]/10))</f>
        <v>0</v>
      </c>
      <c r="W1338" s="2">
        <f>IF(Table4[[#This Row],[linear?]],Table4[[#This Row],[av]],10^(Table4[[#This Row],[av]]/10))</f>
        <v>0</v>
      </c>
      <c r="X1338" s="2">
        <f>Table4[[#This Row],[av_lin]]-2*Table4[[#This Row],[std_lin]]</f>
        <v>0</v>
      </c>
      <c r="Y1338" s="2">
        <f>Table4[[#This Row],[av_lin]]+2*Table4[[#This Row],[std_lin]]</f>
        <v>0</v>
      </c>
    </row>
    <row r="1339" spans="1:25" x14ac:dyDescent="0.35">
      <c r="A1339" s="1">
        <v>116</v>
      </c>
      <c r="B1339" t="s">
        <v>75</v>
      </c>
      <c r="C1339" t="s">
        <v>142</v>
      </c>
      <c r="D1339" t="s">
        <v>144</v>
      </c>
      <c r="E1339" s="2">
        <v>0</v>
      </c>
      <c r="F1339" s="2">
        <v>0</v>
      </c>
      <c r="G1339">
        <v>27</v>
      </c>
      <c r="H1339" t="s">
        <v>19</v>
      </c>
      <c r="M1339" s="2">
        <v>0</v>
      </c>
      <c r="N1339" s="2">
        <v>0</v>
      </c>
      <c r="O1339" s="2">
        <v>0</v>
      </c>
      <c r="R1339" t="str">
        <f t="shared" si="60"/>
        <v>no</v>
      </c>
      <c r="S1339" t="str">
        <f t="shared" si="61"/>
        <v>no</v>
      </c>
      <c r="T13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9" s="2" t="b">
        <f t="shared" si="62"/>
        <v>1</v>
      </c>
      <c r="V1339" s="2">
        <f>IF(Table4[[#This Row],[linear?]],Table4[[#This Row],[av]],10^(Table4[[#This Row],[av]]/10))</f>
        <v>0</v>
      </c>
      <c r="W1339" s="2">
        <f>IF(Table4[[#This Row],[linear?]],Table4[[#This Row],[av]],10^(Table4[[#This Row],[av]]/10))</f>
        <v>0</v>
      </c>
      <c r="X1339" s="2">
        <f>Table4[[#This Row],[av_lin]]-2*Table4[[#This Row],[std_lin]]</f>
        <v>0</v>
      </c>
      <c r="Y1339" s="2">
        <f>Table4[[#This Row],[av_lin]]+2*Table4[[#This Row],[std_lin]]</f>
        <v>0</v>
      </c>
    </row>
    <row r="1340" spans="1:25" x14ac:dyDescent="0.35">
      <c r="A1340" s="1">
        <v>117</v>
      </c>
      <c r="B1340" t="s">
        <v>75</v>
      </c>
      <c r="C1340" t="s">
        <v>142</v>
      </c>
      <c r="D1340" t="s">
        <v>145</v>
      </c>
      <c r="G1340">
        <v>27</v>
      </c>
      <c r="H1340" t="s">
        <v>19</v>
      </c>
      <c r="R1340" t="str">
        <f t="shared" si="60"/>
        <v>no</v>
      </c>
      <c r="S1340" t="str">
        <f t="shared" si="61"/>
        <v>no</v>
      </c>
      <c r="T13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0" s="2" t="b">
        <f t="shared" si="62"/>
        <v>1</v>
      </c>
      <c r="V1340" s="2">
        <f>IF(Table4[[#This Row],[linear?]],Table4[[#This Row],[av]],10^(Table4[[#This Row],[av]]/10))</f>
        <v>0</v>
      </c>
      <c r="W1340" s="2">
        <f>IF(Table4[[#This Row],[linear?]],Table4[[#This Row],[av]],10^(Table4[[#This Row],[av]]/10))</f>
        <v>0</v>
      </c>
      <c r="X1340" s="2">
        <f>Table4[[#This Row],[av_lin]]-2*Table4[[#This Row],[std_lin]]</f>
        <v>0</v>
      </c>
      <c r="Y1340" s="2">
        <f>Table4[[#This Row],[av_lin]]+2*Table4[[#This Row],[std_lin]]</f>
        <v>0</v>
      </c>
    </row>
    <row r="1341" spans="1:25" x14ac:dyDescent="0.35">
      <c r="A1341" s="1">
        <v>118</v>
      </c>
      <c r="B1341" t="s">
        <v>75</v>
      </c>
      <c r="C1341" t="s">
        <v>142</v>
      </c>
      <c r="D1341" t="s">
        <v>146</v>
      </c>
      <c r="G1341">
        <v>27</v>
      </c>
      <c r="H1341" t="s">
        <v>19</v>
      </c>
      <c r="R1341" t="str">
        <f t="shared" si="60"/>
        <v>no</v>
      </c>
      <c r="S1341" t="str">
        <f t="shared" si="61"/>
        <v>no</v>
      </c>
      <c r="T13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1" s="2" t="b">
        <f t="shared" si="62"/>
        <v>1</v>
      </c>
      <c r="V1341" s="2">
        <f>IF(Table4[[#This Row],[linear?]],Table4[[#This Row],[av]],10^(Table4[[#This Row],[av]]/10))</f>
        <v>0</v>
      </c>
      <c r="W1341" s="2">
        <f>IF(Table4[[#This Row],[linear?]],Table4[[#This Row],[av]],10^(Table4[[#This Row],[av]]/10))</f>
        <v>0</v>
      </c>
      <c r="X1341" s="2">
        <f>Table4[[#This Row],[av_lin]]-2*Table4[[#This Row],[std_lin]]</f>
        <v>0</v>
      </c>
      <c r="Y1341" s="2">
        <f>Table4[[#This Row],[av_lin]]+2*Table4[[#This Row],[std_lin]]</f>
        <v>0</v>
      </c>
    </row>
    <row r="1342" spans="1:25" x14ac:dyDescent="0.35">
      <c r="A1342" s="1">
        <v>119</v>
      </c>
      <c r="B1342" t="s">
        <v>75</v>
      </c>
      <c r="C1342" t="s">
        <v>142</v>
      </c>
      <c r="D1342" t="s">
        <v>147</v>
      </c>
      <c r="E1342" s="2">
        <v>0</v>
      </c>
      <c r="F1342" s="2">
        <v>0</v>
      </c>
      <c r="G1342">
        <v>27</v>
      </c>
      <c r="H1342" t="s">
        <v>19</v>
      </c>
      <c r="M1342" s="2">
        <v>0</v>
      </c>
      <c r="N1342" s="2">
        <v>0</v>
      </c>
      <c r="O1342" s="2">
        <v>0</v>
      </c>
      <c r="R1342" t="str">
        <f t="shared" si="60"/>
        <v>no</v>
      </c>
      <c r="S1342" t="str">
        <f t="shared" si="61"/>
        <v>no</v>
      </c>
      <c r="T13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2" s="2" t="b">
        <f t="shared" si="62"/>
        <v>1</v>
      </c>
      <c r="V1342" s="2">
        <f>IF(Table4[[#This Row],[linear?]],Table4[[#This Row],[av]],10^(Table4[[#This Row],[av]]/10))</f>
        <v>0</v>
      </c>
      <c r="W1342" s="2">
        <f>IF(Table4[[#This Row],[linear?]],Table4[[#This Row],[av]],10^(Table4[[#This Row],[av]]/10))</f>
        <v>0</v>
      </c>
      <c r="X1342" s="2">
        <f>Table4[[#This Row],[av_lin]]-2*Table4[[#This Row],[std_lin]]</f>
        <v>0</v>
      </c>
      <c r="Y1342" s="2">
        <f>Table4[[#This Row],[av_lin]]+2*Table4[[#This Row],[std_lin]]</f>
        <v>0</v>
      </c>
    </row>
    <row r="1343" spans="1:25" x14ac:dyDescent="0.35">
      <c r="A1343" s="1">
        <v>120</v>
      </c>
      <c r="B1343" t="s">
        <v>75</v>
      </c>
      <c r="C1343" t="s">
        <v>142</v>
      </c>
      <c r="D1343" t="s">
        <v>148</v>
      </c>
      <c r="G1343">
        <v>27</v>
      </c>
      <c r="H1343" t="s">
        <v>19</v>
      </c>
      <c r="R1343" t="str">
        <f t="shared" si="60"/>
        <v>no</v>
      </c>
      <c r="S1343" t="str">
        <f t="shared" si="61"/>
        <v>no</v>
      </c>
      <c r="T13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3" s="2" t="b">
        <f t="shared" si="62"/>
        <v>1</v>
      </c>
      <c r="V1343" s="2">
        <f>IF(Table4[[#This Row],[linear?]],Table4[[#This Row],[av]],10^(Table4[[#This Row],[av]]/10))</f>
        <v>0</v>
      </c>
      <c r="W1343" s="2">
        <f>IF(Table4[[#This Row],[linear?]],Table4[[#This Row],[av]],10^(Table4[[#This Row],[av]]/10))</f>
        <v>0</v>
      </c>
      <c r="X1343" s="2">
        <f>Table4[[#This Row],[av_lin]]-2*Table4[[#This Row],[std_lin]]</f>
        <v>0</v>
      </c>
      <c r="Y1343" s="2">
        <f>Table4[[#This Row],[av_lin]]+2*Table4[[#This Row],[std_lin]]</f>
        <v>0</v>
      </c>
    </row>
    <row r="1344" spans="1:25" x14ac:dyDescent="0.35">
      <c r="A1344" s="1">
        <v>121</v>
      </c>
      <c r="B1344" t="s">
        <v>75</v>
      </c>
      <c r="C1344" t="s">
        <v>142</v>
      </c>
      <c r="D1344" t="s">
        <v>149</v>
      </c>
      <c r="G1344">
        <v>27</v>
      </c>
      <c r="H1344" t="s">
        <v>19</v>
      </c>
      <c r="R1344" t="str">
        <f t="shared" si="60"/>
        <v>no</v>
      </c>
      <c r="S1344" t="str">
        <f t="shared" si="61"/>
        <v>no</v>
      </c>
      <c r="T13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4" s="2" t="b">
        <f t="shared" si="62"/>
        <v>1</v>
      </c>
      <c r="V1344" s="2">
        <f>IF(Table4[[#This Row],[linear?]],Table4[[#This Row],[av]],10^(Table4[[#This Row],[av]]/10))</f>
        <v>0</v>
      </c>
      <c r="W1344" s="2">
        <f>IF(Table4[[#This Row],[linear?]],Table4[[#This Row],[av]],10^(Table4[[#This Row],[av]]/10))</f>
        <v>0</v>
      </c>
      <c r="X1344" s="2">
        <f>Table4[[#This Row],[av_lin]]-2*Table4[[#This Row],[std_lin]]</f>
        <v>0</v>
      </c>
      <c r="Y1344" s="2">
        <f>Table4[[#This Row],[av_lin]]+2*Table4[[#This Row],[std_lin]]</f>
        <v>0</v>
      </c>
    </row>
    <row r="1345" spans="1:25" x14ac:dyDescent="0.35">
      <c r="A1345" s="1">
        <v>122</v>
      </c>
      <c r="B1345" t="s">
        <v>75</v>
      </c>
      <c r="C1345" t="s">
        <v>142</v>
      </c>
      <c r="D1345" t="s">
        <v>150</v>
      </c>
      <c r="E1345" s="2">
        <v>0</v>
      </c>
      <c r="F1345" s="2">
        <v>0</v>
      </c>
      <c r="G1345">
        <v>27</v>
      </c>
      <c r="H1345" t="s">
        <v>19</v>
      </c>
      <c r="M1345" s="2">
        <v>0</v>
      </c>
      <c r="N1345" s="2">
        <v>0</v>
      </c>
      <c r="O1345" s="2">
        <v>0</v>
      </c>
      <c r="R1345" t="str">
        <f t="shared" si="60"/>
        <v>no</v>
      </c>
      <c r="S1345" t="str">
        <f t="shared" si="61"/>
        <v>no</v>
      </c>
      <c r="T13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5" s="2" t="b">
        <f t="shared" si="62"/>
        <v>1</v>
      </c>
      <c r="V1345" s="2">
        <f>IF(Table4[[#This Row],[linear?]],Table4[[#This Row],[av]],10^(Table4[[#This Row],[av]]/10))</f>
        <v>0</v>
      </c>
      <c r="W1345" s="2">
        <f>IF(Table4[[#This Row],[linear?]],Table4[[#This Row],[av]],10^(Table4[[#This Row],[av]]/10))</f>
        <v>0</v>
      </c>
      <c r="X1345" s="2">
        <f>Table4[[#This Row],[av_lin]]-2*Table4[[#This Row],[std_lin]]</f>
        <v>0</v>
      </c>
      <c r="Y1345" s="2">
        <f>Table4[[#This Row],[av_lin]]+2*Table4[[#This Row],[std_lin]]</f>
        <v>0</v>
      </c>
    </row>
    <row r="1346" spans="1:25" x14ac:dyDescent="0.35">
      <c r="A1346" s="1">
        <v>123</v>
      </c>
      <c r="B1346" t="s">
        <v>75</v>
      </c>
      <c r="C1346" t="s">
        <v>142</v>
      </c>
      <c r="D1346" t="s">
        <v>151</v>
      </c>
      <c r="G1346">
        <v>27</v>
      </c>
      <c r="H1346" t="s">
        <v>19</v>
      </c>
      <c r="R1346" t="str">
        <f t="shared" ref="R1346:R1409" si="63">IF(H1346="yes","yes","no")</f>
        <v>no</v>
      </c>
      <c r="S1346" t="str">
        <f t="shared" ref="S1346:S1409" si="64">IF(I1346,"yes","no")</f>
        <v>no</v>
      </c>
      <c r="T13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6" s="2" t="b">
        <f t="shared" ref="U1346:U1409" si="65">NOT(ISNUMBER(SEARCH("RFIC*POWER", D1346)))</f>
        <v>1</v>
      </c>
      <c r="V1346" s="2">
        <f>IF(Table4[[#This Row],[linear?]],Table4[[#This Row],[av]],10^(Table4[[#This Row],[av]]/10))</f>
        <v>0</v>
      </c>
      <c r="W1346" s="2">
        <f>IF(Table4[[#This Row],[linear?]],Table4[[#This Row],[av]],10^(Table4[[#This Row],[av]]/10))</f>
        <v>0</v>
      </c>
      <c r="X1346" s="2">
        <f>Table4[[#This Row],[av_lin]]-2*Table4[[#This Row],[std_lin]]</f>
        <v>0</v>
      </c>
      <c r="Y1346" s="2">
        <f>Table4[[#This Row],[av_lin]]+2*Table4[[#This Row],[std_lin]]</f>
        <v>0</v>
      </c>
    </row>
    <row r="1347" spans="1:25" x14ac:dyDescent="0.35">
      <c r="A1347" s="1">
        <v>124</v>
      </c>
      <c r="B1347" t="s">
        <v>75</v>
      </c>
      <c r="C1347" t="s">
        <v>142</v>
      </c>
      <c r="D1347" t="s">
        <v>152</v>
      </c>
      <c r="G1347">
        <v>27</v>
      </c>
      <c r="H1347" t="s">
        <v>19</v>
      </c>
      <c r="R1347" t="str">
        <f t="shared" si="63"/>
        <v>no</v>
      </c>
      <c r="S1347" t="str">
        <f t="shared" si="64"/>
        <v>no</v>
      </c>
      <c r="T13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7" s="2" t="b">
        <f t="shared" si="65"/>
        <v>1</v>
      </c>
      <c r="V1347" s="2">
        <f>IF(Table4[[#This Row],[linear?]],Table4[[#This Row],[av]],10^(Table4[[#This Row],[av]]/10))</f>
        <v>0</v>
      </c>
      <c r="W1347" s="2">
        <f>IF(Table4[[#This Row],[linear?]],Table4[[#This Row],[av]],10^(Table4[[#This Row],[av]]/10))</f>
        <v>0</v>
      </c>
      <c r="X1347" s="2">
        <f>Table4[[#This Row],[av_lin]]-2*Table4[[#This Row],[std_lin]]</f>
        <v>0</v>
      </c>
      <c r="Y1347" s="2">
        <f>Table4[[#This Row],[av_lin]]+2*Table4[[#This Row],[std_lin]]</f>
        <v>0</v>
      </c>
    </row>
    <row r="1348" spans="1:25" x14ac:dyDescent="0.35">
      <c r="A1348" s="1">
        <v>125</v>
      </c>
      <c r="B1348" t="s">
        <v>75</v>
      </c>
      <c r="C1348" t="s">
        <v>142</v>
      </c>
      <c r="D1348" t="s">
        <v>153</v>
      </c>
      <c r="E1348" s="2">
        <v>0</v>
      </c>
      <c r="F1348" s="2">
        <v>0</v>
      </c>
      <c r="G1348">
        <v>27</v>
      </c>
      <c r="H1348" t="s">
        <v>19</v>
      </c>
      <c r="M1348" s="2">
        <v>0</v>
      </c>
      <c r="N1348" s="2">
        <v>0</v>
      </c>
      <c r="O1348" s="2">
        <v>0</v>
      </c>
      <c r="R1348" t="str">
        <f t="shared" si="63"/>
        <v>no</v>
      </c>
      <c r="S1348" t="str">
        <f t="shared" si="64"/>
        <v>no</v>
      </c>
      <c r="T13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8" s="2" t="b">
        <f t="shared" si="65"/>
        <v>1</v>
      </c>
      <c r="V1348" s="2">
        <f>IF(Table4[[#This Row],[linear?]],Table4[[#This Row],[av]],10^(Table4[[#This Row],[av]]/10))</f>
        <v>0</v>
      </c>
      <c r="W1348" s="2">
        <f>IF(Table4[[#This Row],[linear?]],Table4[[#This Row],[av]],10^(Table4[[#This Row],[av]]/10))</f>
        <v>0</v>
      </c>
      <c r="X1348" s="2">
        <f>Table4[[#This Row],[av_lin]]-2*Table4[[#This Row],[std_lin]]</f>
        <v>0</v>
      </c>
      <c r="Y1348" s="2">
        <f>Table4[[#This Row],[av_lin]]+2*Table4[[#This Row],[std_lin]]</f>
        <v>0</v>
      </c>
    </row>
    <row r="1349" spans="1:25" x14ac:dyDescent="0.35">
      <c r="A1349" s="1">
        <v>126</v>
      </c>
      <c r="B1349" t="s">
        <v>75</v>
      </c>
      <c r="C1349" t="s">
        <v>142</v>
      </c>
      <c r="D1349" t="s">
        <v>154</v>
      </c>
      <c r="G1349">
        <v>27</v>
      </c>
      <c r="H1349" t="s">
        <v>19</v>
      </c>
      <c r="R1349" t="str">
        <f t="shared" si="63"/>
        <v>no</v>
      </c>
      <c r="S1349" t="str">
        <f t="shared" si="64"/>
        <v>no</v>
      </c>
      <c r="T13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9" s="2" t="b">
        <f t="shared" si="65"/>
        <v>1</v>
      </c>
      <c r="V1349" s="2">
        <f>IF(Table4[[#This Row],[linear?]],Table4[[#This Row],[av]],10^(Table4[[#This Row],[av]]/10))</f>
        <v>0</v>
      </c>
      <c r="W1349" s="2">
        <f>IF(Table4[[#This Row],[linear?]],Table4[[#This Row],[av]],10^(Table4[[#This Row],[av]]/10))</f>
        <v>0</v>
      </c>
      <c r="X1349" s="2">
        <f>Table4[[#This Row],[av_lin]]-2*Table4[[#This Row],[std_lin]]</f>
        <v>0</v>
      </c>
      <c r="Y1349" s="2">
        <f>Table4[[#This Row],[av_lin]]+2*Table4[[#This Row],[std_lin]]</f>
        <v>0</v>
      </c>
    </row>
    <row r="1350" spans="1:25" x14ac:dyDescent="0.35">
      <c r="A1350" s="1">
        <v>127</v>
      </c>
      <c r="B1350" t="s">
        <v>75</v>
      </c>
      <c r="C1350" t="s">
        <v>142</v>
      </c>
      <c r="D1350" t="s">
        <v>155</v>
      </c>
      <c r="G1350">
        <v>27</v>
      </c>
      <c r="H1350" t="s">
        <v>19</v>
      </c>
      <c r="R1350" t="str">
        <f t="shared" si="63"/>
        <v>no</v>
      </c>
      <c r="S1350" t="str">
        <f t="shared" si="64"/>
        <v>no</v>
      </c>
      <c r="T13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0" s="2" t="b">
        <f t="shared" si="65"/>
        <v>1</v>
      </c>
      <c r="V1350" s="2">
        <f>IF(Table4[[#This Row],[linear?]],Table4[[#This Row],[av]],10^(Table4[[#This Row],[av]]/10))</f>
        <v>0</v>
      </c>
      <c r="W1350" s="2">
        <f>IF(Table4[[#This Row],[linear?]],Table4[[#This Row],[av]],10^(Table4[[#This Row],[av]]/10))</f>
        <v>0</v>
      </c>
      <c r="X1350" s="2">
        <f>Table4[[#This Row],[av_lin]]-2*Table4[[#This Row],[std_lin]]</f>
        <v>0</v>
      </c>
      <c r="Y1350" s="2">
        <f>Table4[[#This Row],[av_lin]]+2*Table4[[#This Row],[std_lin]]</f>
        <v>0</v>
      </c>
    </row>
    <row r="1351" spans="1:25" x14ac:dyDescent="0.35">
      <c r="A1351" s="1">
        <v>128</v>
      </c>
      <c r="B1351" t="s">
        <v>75</v>
      </c>
      <c r="C1351" t="s">
        <v>142</v>
      </c>
      <c r="D1351" t="s">
        <v>156</v>
      </c>
      <c r="E1351" s="2">
        <v>0</v>
      </c>
      <c r="F1351" s="2">
        <v>0</v>
      </c>
      <c r="G1351">
        <v>27</v>
      </c>
      <c r="H1351" t="s">
        <v>19</v>
      </c>
      <c r="M1351" s="2">
        <v>0</v>
      </c>
      <c r="N1351" s="2">
        <v>0</v>
      </c>
      <c r="O1351" s="2">
        <v>0</v>
      </c>
      <c r="R1351" t="str">
        <f t="shared" si="63"/>
        <v>no</v>
      </c>
      <c r="S1351" t="str">
        <f t="shared" si="64"/>
        <v>no</v>
      </c>
      <c r="T13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1" s="2" t="b">
        <f t="shared" si="65"/>
        <v>1</v>
      </c>
      <c r="V1351" s="2">
        <f>IF(Table4[[#This Row],[linear?]],Table4[[#This Row],[av]],10^(Table4[[#This Row],[av]]/10))</f>
        <v>0</v>
      </c>
      <c r="W1351" s="2">
        <f>IF(Table4[[#This Row],[linear?]],Table4[[#This Row],[av]],10^(Table4[[#This Row],[av]]/10))</f>
        <v>0</v>
      </c>
      <c r="X1351" s="2">
        <f>Table4[[#This Row],[av_lin]]-2*Table4[[#This Row],[std_lin]]</f>
        <v>0</v>
      </c>
      <c r="Y1351" s="2">
        <f>Table4[[#This Row],[av_lin]]+2*Table4[[#This Row],[std_lin]]</f>
        <v>0</v>
      </c>
    </row>
    <row r="1352" spans="1:25" x14ac:dyDescent="0.35">
      <c r="A1352" s="1">
        <v>129</v>
      </c>
      <c r="B1352" t="s">
        <v>75</v>
      </c>
      <c r="C1352" t="s">
        <v>142</v>
      </c>
      <c r="D1352" t="s">
        <v>157</v>
      </c>
      <c r="G1352">
        <v>27</v>
      </c>
      <c r="H1352" t="s">
        <v>19</v>
      </c>
      <c r="R1352" t="str">
        <f t="shared" si="63"/>
        <v>no</v>
      </c>
      <c r="S1352" t="str">
        <f t="shared" si="64"/>
        <v>no</v>
      </c>
      <c r="T13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2" s="2" t="b">
        <f t="shared" si="65"/>
        <v>1</v>
      </c>
      <c r="V1352" s="2">
        <f>IF(Table4[[#This Row],[linear?]],Table4[[#This Row],[av]],10^(Table4[[#This Row],[av]]/10))</f>
        <v>0</v>
      </c>
      <c r="W1352" s="2">
        <f>IF(Table4[[#This Row],[linear?]],Table4[[#This Row],[av]],10^(Table4[[#This Row],[av]]/10))</f>
        <v>0</v>
      </c>
      <c r="X1352" s="2">
        <f>Table4[[#This Row],[av_lin]]-2*Table4[[#This Row],[std_lin]]</f>
        <v>0</v>
      </c>
      <c r="Y1352" s="2">
        <f>Table4[[#This Row],[av_lin]]+2*Table4[[#This Row],[std_lin]]</f>
        <v>0</v>
      </c>
    </row>
    <row r="1353" spans="1:25" x14ac:dyDescent="0.35">
      <c r="A1353" s="1">
        <v>130</v>
      </c>
      <c r="B1353" t="s">
        <v>75</v>
      </c>
      <c r="C1353" t="s">
        <v>142</v>
      </c>
      <c r="D1353" t="s">
        <v>158</v>
      </c>
      <c r="G1353">
        <v>27</v>
      </c>
      <c r="H1353" t="s">
        <v>19</v>
      </c>
      <c r="R1353" t="str">
        <f t="shared" si="63"/>
        <v>no</v>
      </c>
      <c r="S1353" t="str">
        <f t="shared" si="64"/>
        <v>no</v>
      </c>
      <c r="T13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3" s="2" t="b">
        <f t="shared" si="65"/>
        <v>1</v>
      </c>
      <c r="V1353" s="2">
        <f>IF(Table4[[#This Row],[linear?]],Table4[[#This Row],[av]],10^(Table4[[#This Row],[av]]/10))</f>
        <v>0</v>
      </c>
      <c r="W1353" s="2">
        <f>IF(Table4[[#This Row],[linear?]],Table4[[#This Row],[av]],10^(Table4[[#This Row],[av]]/10))</f>
        <v>0</v>
      </c>
      <c r="X1353" s="2">
        <f>Table4[[#This Row],[av_lin]]-2*Table4[[#This Row],[std_lin]]</f>
        <v>0</v>
      </c>
      <c r="Y1353" s="2">
        <f>Table4[[#This Row],[av_lin]]+2*Table4[[#This Row],[std_lin]]</f>
        <v>0</v>
      </c>
    </row>
    <row r="1354" spans="1:25" x14ac:dyDescent="0.35">
      <c r="A1354" s="1">
        <v>131</v>
      </c>
      <c r="B1354" t="s">
        <v>75</v>
      </c>
      <c r="C1354" t="s">
        <v>142</v>
      </c>
      <c r="D1354" t="s">
        <v>159</v>
      </c>
      <c r="E1354" s="2">
        <v>0</v>
      </c>
      <c r="F1354" s="2">
        <v>0</v>
      </c>
      <c r="G1354">
        <v>27</v>
      </c>
      <c r="H1354" t="s">
        <v>19</v>
      </c>
      <c r="M1354" s="2">
        <v>0</v>
      </c>
      <c r="N1354" s="2">
        <v>0</v>
      </c>
      <c r="O1354" s="2">
        <v>0</v>
      </c>
      <c r="R1354" t="str">
        <f t="shared" si="63"/>
        <v>no</v>
      </c>
      <c r="S1354" t="str">
        <f t="shared" si="64"/>
        <v>no</v>
      </c>
      <c r="T13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4" s="2" t="b">
        <f t="shared" si="65"/>
        <v>1</v>
      </c>
      <c r="V1354" s="2">
        <f>IF(Table4[[#This Row],[linear?]],Table4[[#This Row],[av]],10^(Table4[[#This Row],[av]]/10))</f>
        <v>0</v>
      </c>
      <c r="W1354" s="2">
        <f>IF(Table4[[#This Row],[linear?]],Table4[[#This Row],[av]],10^(Table4[[#This Row],[av]]/10))</f>
        <v>0</v>
      </c>
      <c r="X1354" s="2">
        <f>Table4[[#This Row],[av_lin]]-2*Table4[[#This Row],[std_lin]]</f>
        <v>0</v>
      </c>
      <c r="Y1354" s="2">
        <f>Table4[[#This Row],[av_lin]]+2*Table4[[#This Row],[std_lin]]</f>
        <v>0</v>
      </c>
    </row>
    <row r="1355" spans="1:25" x14ac:dyDescent="0.35">
      <c r="A1355" s="1">
        <v>132</v>
      </c>
      <c r="B1355" t="s">
        <v>75</v>
      </c>
      <c r="C1355" t="s">
        <v>142</v>
      </c>
      <c r="D1355" t="s">
        <v>160</v>
      </c>
      <c r="G1355">
        <v>27</v>
      </c>
      <c r="H1355" t="s">
        <v>19</v>
      </c>
      <c r="R1355" t="str">
        <f t="shared" si="63"/>
        <v>no</v>
      </c>
      <c r="S1355" t="str">
        <f t="shared" si="64"/>
        <v>no</v>
      </c>
      <c r="T13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5" s="2" t="b">
        <f t="shared" si="65"/>
        <v>1</v>
      </c>
      <c r="V1355" s="2">
        <f>IF(Table4[[#This Row],[linear?]],Table4[[#This Row],[av]],10^(Table4[[#This Row],[av]]/10))</f>
        <v>0</v>
      </c>
      <c r="W1355" s="2">
        <f>IF(Table4[[#This Row],[linear?]],Table4[[#This Row],[av]],10^(Table4[[#This Row],[av]]/10))</f>
        <v>0</v>
      </c>
      <c r="X1355" s="2">
        <f>Table4[[#This Row],[av_lin]]-2*Table4[[#This Row],[std_lin]]</f>
        <v>0</v>
      </c>
      <c r="Y1355" s="2">
        <f>Table4[[#This Row],[av_lin]]+2*Table4[[#This Row],[std_lin]]</f>
        <v>0</v>
      </c>
    </row>
    <row r="1356" spans="1:25" x14ac:dyDescent="0.35">
      <c r="A1356" s="1">
        <v>133</v>
      </c>
      <c r="B1356" t="s">
        <v>75</v>
      </c>
      <c r="C1356" t="s">
        <v>142</v>
      </c>
      <c r="D1356" t="s">
        <v>161</v>
      </c>
      <c r="G1356">
        <v>27</v>
      </c>
      <c r="H1356" t="s">
        <v>19</v>
      </c>
      <c r="R1356" t="str">
        <f t="shared" si="63"/>
        <v>no</v>
      </c>
      <c r="S1356" t="str">
        <f t="shared" si="64"/>
        <v>no</v>
      </c>
      <c r="T13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6" s="2" t="b">
        <f t="shared" si="65"/>
        <v>1</v>
      </c>
      <c r="V1356" s="2">
        <f>IF(Table4[[#This Row],[linear?]],Table4[[#This Row],[av]],10^(Table4[[#This Row],[av]]/10))</f>
        <v>0</v>
      </c>
      <c r="W1356" s="2">
        <f>IF(Table4[[#This Row],[linear?]],Table4[[#This Row],[av]],10^(Table4[[#This Row],[av]]/10))</f>
        <v>0</v>
      </c>
      <c r="X1356" s="2">
        <f>Table4[[#This Row],[av_lin]]-2*Table4[[#This Row],[std_lin]]</f>
        <v>0</v>
      </c>
      <c r="Y1356" s="2">
        <f>Table4[[#This Row],[av_lin]]+2*Table4[[#This Row],[std_lin]]</f>
        <v>0</v>
      </c>
    </row>
    <row r="1357" spans="1:25" x14ac:dyDescent="0.35">
      <c r="A1357" s="1">
        <v>134</v>
      </c>
      <c r="B1357" t="s">
        <v>75</v>
      </c>
      <c r="C1357" t="s">
        <v>142</v>
      </c>
      <c r="D1357" t="s">
        <v>162</v>
      </c>
      <c r="E1357" s="2">
        <v>0</v>
      </c>
      <c r="F1357" s="2">
        <v>0</v>
      </c>
      <c r="G1357">
        <v>27</v>
      </c>
      <c r="H1357" t="s">
        <v>19</v>
      </c>
      <c r="M1357" s="2">
        <v>0</v>
      </c>
      <c r="N1357" s="2">
        <v>0</v>
      </c>
      <c r="O1357" s="2">
        <v>0</v>
      </c>
      <c r="R1357" t="str">
        <f t="shared" si="63"/>
        <v>no</v>
      </c>
      <c r="S1357" t="str">
        <f t="shared" si="64"/>
        <v>no</v>
      </c>
      <c r="T13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7" s="2" t="b">
        <f t="shared" si="65"/>
        <v>1</v>
      </c>
      <c r="V1357" s="2">
        <f>IF(Table4[[#This Row],[linear?]],Table4[[#This Row],[av]],10^(Table4[[#This Row],[av]]/10))</f>
        <v>0</v>
      </c>
      <c r="W1357" s="2">
        <f>IF(Table4[[#This Row],[linear?]],Table4[[#This Row],[av]],10^(Table4[[#This Row],[av]]/10))</f>
        <v>0</v>
      </c>
      <c r="X1357" s="2">
        <f>Table4[[#This Row],[av_lin]]-2*Table4[[#This Row],[std_lin]]</f>
        <v>0</v>
      </c>
      <c r="Y1357" s="2">
        <f>Table4[[#This Row],[av_lin]]+2*Table4[[#This Row],[std_lin]]</f>
        <v>0</v>
      </c>
    </row>
    <row r="1358" spans="1:25" x14ac:dyDescent="0.35">
      <c r="A1358" s="1">
        <v>135</v>
      </c>
      <c r="B1358" t="s">
        <v>75</v>
      </c>
      <c r="C1358" t="s">
        <v>142</v>
      </c>
      <c r="D1358" t="s">
        <v>163</v>
      </c>
      <c r="G1358">
        <v>27</v>
      </c>
      <c r="H1358" t="s">
        <v>19</v>
      </c>
      <c r="R1358" t="str">
        <f t="shared" si="63"/>
        <v>no</v>
      </c>
      <c r="S1358" t="str">
        <f t="shared" si="64"/>
        <v>no</v>
      </c>
      <c r="T13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8" s="2" t="b">
        <f t="shared" si="65"/>
        <v>1</v>
      </c>
      <c r="V1358" s="2">
        <f>IF(Table4[[#This Row],[linear?]],Table4[[#This Row],[av]],10^(Table4[[#This Row],[av]]/10))</f>
        <v>0</v>
      </c>
      <c r="W1358" s="2">
        <f>IF(Table4[[#This Row],[linear?]],Table4[[#This Row],[av]],10^(Table4[[#This Row],[av]]/10))</f>
        <v>0</v>
      </c>
      <c r="X1358" s="2">
        <f>Table4[[#This Row],[av_lin]]-2*Table4[[#This Row],[std_lin]]</f>
        <v>0</v>
      </c>
      <c r="Y1358" s="2">
        <f>Table4[[#This Row],[av_lin]]+2*Table4[[#This Row],[std_lin]]</f>
        <v>0</v>
      </c>
    </row>
    <row r="1359" spans="1:25" x14ac:dyDescent="0.35">
      <c r="A1359" s="1">
        <v>136</v>
      </c>
      <c r="B1359" t="s">
        <v>75</v>
      </c>
      <c r="C1359" t="s">
        <v>142</v>
      </c>
      <c r="D1359" t="s">
        <v>164</v>
      </c>
      <c r="G1359">
        <v>27</v>
      </c>
      <c r="H1359" t="s">
        <v>19</v>
      </c>
      <c r="R1359" t="str">
        <f t="shared" si="63"/>
        <v>no</v>
      </c>
      <c r="S1359" t="str">
        <f t="shared" si="64"/>
        <v>no</v>
      </c>
      <c r="T13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9" s="2" t="b">
        <f t="shared" si="65"/>
        <v>1</v>
      </c>
      <c r="V1359" s="2">
        <f>IF(Table4[[#This Row],[linear?]],Table4[[#This Row],[av]],10^(Table4[[#This Row],[av]]/10))</f>
        <v>0</v>
      </c>
      <c r="W1359" s="2">
        <f>IF(Table4[[#This Row],[linear?]],Table4[[#This Row],[av]],10^(Table4[[#This Row],[av]]/10))</f>
        <v>0</v>
      </c>
      <c r="X1359" s="2">
        <f>Table4[[#This Row],[av_lin]]-2*Table4[[#This Row],[std_lin]]</f>
        <v>0</v>
      </c>
      <c r="Y1359" s="2">
        <f>Table4[[#This Row],[av_lin]]+2*Table4[[#This Row],[std_lin]]</f>
        <v>0</v>
      </c>
    </row>
    <row r="1360" spans="1:25" x14ac:dyDescent="0.35">
      <c r="A1360" s="1">
        <v>137</v>
      </c>
      <c r="B1360" t="s">
        <v>75</v>
      </c>
      <c r="C1360" t="s">
        <v>142</v>
      </c>
      <c r="D1360" t="s">
        <v>165</v>
      </c>
      <c r="E1360" s="2">
        <v>0</v>
      </c>
      <c r="F1360" s="2">
        <v>0</v>
      </c>
      <c r="G1360">
        <v>27</v>
      </c>
      <c r="H1360" t="s">
        <v>19</v>
      </c>
      <c r="M1360" s="2">
        <v>0</v>
      </c>
      <c r="N1360" s="2">
        <v>0</v>
      </c>
      <c r="O1360" s="2">
        <v>0</v>
      </c>
      <c r="R1360" t="str">
        <f t="shared" si="63"/>
        <v>no</v>
      </c>
      <c r="S1360" t="str">
        <f t="shared" si="64"/>
        <v>no</v>
      </c>
      <c r="T13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0" s="2" t="b">
        <f t="shared" si="65"/>
        <v>1</v>
      </c>
      <c r="V1360" s="2">
        <f>IF(Table4[[#This Row],[linear?]],Table4[[#This Row],[av]],10^(Table4[[#This Row],[av]]/10))</f>
        <v>0</v>
      </c>
      <c r="W1360" s="2">
        <f>IF(Table4[[#This Row],[linear?]],Table4[[#This Row],[av]],10^(Table4[[#This Row],[av]]/10))</f>
        <v>0</v>
      </c>
      <c r="X1360" s="2">
        <f>Table4[[#This Row],[av_lin]]-2*Table4[[#This Row],[std_lin]]</f>
        <v>0</v>
      </c>
      <c r="Y1360" s="2">
        <f>Table4[[#This Row],[av_lin]]+2*Table4[[#This Row],[std_lin]]</f>
        <v>0</v>
      </c>
    </row>
    <row r="1361" spans="1:25" x14ac:dyDescent="0.35">
      <c r="A1361" s="1">
        <v>138</v>
      </c>
      <c r="B1361" t="s">
        <v>75</v>
      </c>
      <c r="C1361" t="s">
        <v>142</v>
      </c>
      <c r="D1361" t="s">
        <v>166</v>
      </c>
      <c r="G1361">
        <v>27</v>
      </c>
      <c r="H1361" t="s">
        <v>19</v>
      </c>
      <c r="R1361" t="str">
        <f t="shared" si="63"/>
        <v>no</v>
      </c>
      <c r="S1361" t="str">
        <f t="shared" si="64"/>
        <v>no</v>
      </c>
      <c r="T13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1" s="2" t="b">
        <f t="shared" si="65"/>
        <v>1</v>
      </c>
      <c r="V1361" s="2">
        <f>IF(Table4[[#This Row],[linear?]],Table4[[#This Row],[av]],10^(Table4[[#This Row],[av]]/10))</f>
        <v>0</v>
      </c>
      <c r="W1361" s="2">
        <f>IF(Table4[[#This Row],[linear?]],Table4[[#This Row],[av]],10^(Table4[[#This Row],[av]]/10))</f>
        <v>0</v>
      </c>
      <c r="X1361" s="2">
        <f>Table4[[#This Row],[av_lin]]-2*Table4[[#This Row],[std_lin]]</f>
        <v>0</v>
      </c>
      <c r="Y1361" s="2">
        <f>Table4[[#This Row],[av_lin]]+2*Table4[[#This Row],[std_lin]]</f>
        <v>0</v>
      </c>
    </row>
    <row r="1362" spans="1:25" x14ac:dyDescent="0.35">
      <c r="A1362" s="1">
        <v>139</v>
      </c>
      <c r="B1362" t="s">
        <v>75</v>
      </c>
      <c r="C1362" t="s">
        <v>142</v>
      </c>
      <c r="D1362" t="s">
        <v>167</v>
      </c>
      <c r="G1362">
        <v>27</v>
      </c>
      <c r="H1362" t="s">
        <v>19</v>
      </c>
      <c r="R1362" t="str">
        <f t="shared" si="63"/>
        <v>no</v>
      </c>
      <c r="S1362" t="str">
        <f t="shared" si="64"/>
        <v>no</v>
      </c>
      <c r="T13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2" s="2" t="b">
        <f t="shared" si="65"/>
        <v>1</v>
      </c>
      <c r="V1362" s="2">
        <f>IF(Table4[[#This Row],[linear?]],Table4[[#This Row],[av]],10^(Table4[[#This Row],[av]]/10))</f>
        <v>0</v>
      </c>
      <c r="W1362" s="2">
        <f>IF(Table4[[#This Row],[linear?]],Table4[[#This Row],[av]],10^(Table4[[#This Row],[av]]/10))</f>
        <v>0</v>
      </c>
      <c r="X1362" s="2">
        <f>Table4[[#This Row],[av_lin]]-2*Table4[[#This Row],[std_lin]]</f>
        <v>0</v>
      </c>
      <c r="Y1362" s="2">
        <f>Table4[[#This Row],[av_lin]]+2*Table4[[#This Row],[std_lin]]</f>
        <v>0</v>
      </c>
    </row>
    <row r="1363" spans="1:25" x14ac:dyDescent="0.35">
      <c r="A1363" s="1">
        <v>140</v>
      </c>
      <c r="B1363" t="s">
        <v>75</v>
      </c>
      <c r="C1363" t="s">
        <v>142</v>
      </c>
      <c r="D1363" t="s">
        <v>168</v>
      </c>
      <c r="E1363" s="2">
        <v>0</v>
      </c>
      <c r="F1363" s="2">
        <v>0</v>
      </c>
      <c r="G1363">
        <v>27</v>
      </c>
      <c r="H1363" t="s">
        <v>19</v>
      </c>
      <c r="M1363" s="2">
        <v>0</v>
      </c>
      <c r="N1363" s="2">
        <v>0</v>
      </c>
      <c r="O1363" s="2">
        <v>0</v>
      </c>
      <c r="R1363" t="str">
        <f t="shared" si="63"/>
        <v>no</v>
      </c>
      <c r="S1363" t="str">
        <f t="shared" si="64"/>
        <v>no</v>
      </c>
      <c r="T13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3" s="2" t="b">
        <f t="shared" si="65"/>
        <v>1</v>
      </c>
      <c r="V1363" s="2">
        <f>IF(Table4[[#This Row],[linear?]],Table4[[#This Row],[av]],10^(Table4[[#This Row],[av]]/10))</f>
        <v>0</v>
      </c>
      <c r="W1363" s="2">
        <f>IF(Table4[[#This Row],[linear?]],Table4[[#This Row],[av]],10^(Table4[[#This Row],[av]]/10))</f>
        <v>0</v>
      </c>
      <c r="X1363" s="2">
        <f>Table4[[#This Row],[av_lin]]-2*Table4[[#This Row],[std_lin]]</f>
        <v>0</v>
      </c>
      <c r="Y1363" s="2">
        <f>Table4[[#This Row],[av_lin]]+2*Table4[[#This Row],[std_lin]]</f>
        <v>0</v>
      </c>
    </row>
    <row r="1364" spans="1:25" x14ac:dyDescent="0.35">
      <c r="A1364" s="1">
        <v>141</v>
      </c>
      <c r="B1364" t="s">
        <v>75</v>
      </c>
      <c r="C1364" t="s">
        <v>142</v>
      </c>
      <c r="D1364" t="s">
        <v>169</v>
      </c>
      <c r="G1364">
        <v>27</v>
      </c>
      <c r="H1364" t="s">
        <v>19</v>
      </c>
      <c r="R1364" t="str">
        <f t="shared" si="63"/>
        <v>no</v>
      </c>
      <c r="S1364" t="str">
        <f t="shared" si="64"/>
        <v>no</v>
      </c>
      <c r="T13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4" s="2" t="b">
        <f t="shared" si="65"/>
        <v>1</v>
      </c>
      <c r="V1364" s="2">
        <f>IF(Table4[[#This Row],[linear?]],Table4[[#This Row],[av]],10^(Table4[[#This Row],[av]]/10))</f>
        <v>0</v>
      </c>
      <c r="W1364" s="2">
        <f>IF(Table4[[#This Row],[linear?]],Table4[[#This Row],[av]],10^(Table4[[#This Row],[av]]/10))</f>
        <v>0</v>
      </c>
      <c r="X1364" s="2">
        <f>Table4[[#This Row],[av_lin]]-2*Table4[[#This Row],[std_lin]]</f>
        <v>0</v>
      </c>
      <c r="Y1364" s="2">
        <f>Table4[[#This Row],[av_lin]]+2*Table4[[#This Row],[std_lin]]</f>
        <v>0</v>
      </c>
    </row>
    <row r="1365" spans="1:25" x14ac:dyDescent="0.35">
      <c r="A1365" s="1">
        <v>142</v>
      </c>
      <c r="B1365" t="s">
        <v>75</v>
      </c>
      <c r="C1365" t="s">
        <v>142</v>
      </c>
      <c r="D1365" t="s">
        <v>170</v>
      </c>
      <c r="G1365">
        <v>27</v>
      </c>
      <c r="H1365" t="s">
        <v>19</v>
      </c>
      <c r="R1365" t="str">
        <f t="shared" si="63"/>
        <v>no</v>
      </c>
      <c r="S1365" t="str">
        <f t="shared" si="64"/>
        <v>no</v>
      </c>
      <c r="T13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5" s="2" t="b">
        <f t="shared" si="65"/>
        <v>1</v>
      </c>
      <c r="V1365" s="2">
        <f>IF(Table4[[#This Row],[linear?]],Table4[[#This Row],[av]],10^(Table4[[#This Row],[av]]/10))</f>
        <v>0</v>
      </c>
      <c r="W1365" s="2">
        <f>IF(Table4[[#This Row],[linear?]],Table4[[#This Row],[av]],10^(Table4[[#This Row],[av]]/10))</f>
        <v>0</v>
      </c>
      <c r="X1365" s="2">
        <f>Table4[[#This Row],[av_lin]]-2*Table4[[#This Row],[std_lin]]</f>
        <v>0</v>
      </c>
      <c r="Y1365" s="2">
        <f>Table4[[#This Row],[av_lin]]+2*Table4[[#This Row],[std_lin]]</f>
        <v>0</v>
      </c>
    </row>
    <row r="1366" spans="1:25" x14ac:dyDescent="0.35">
      <c r="A1366" s="1">
        <v>143</v>
      </c>
      <c r="B1366" t="s">
        <v>75</v>
      </c>
      <c r="C1366" t="s">
        <v>142</v>
      </c>
      <c r="D1366" t="s">
        <v>171</v>
      </c>
      <c r="E1366" s="2">
        <v>0</v>
      </c>
      <c r="F1366" s="2">
        <v>0</v>
      </c>
      <c r="G1366">
        <v>27</v>
      </c>
      <c r="H1366" t="s">
        <v>19</v>
      </c>
      <c r="M1366" s="2">
        <v>0</v>
      </c>
      <c r="N1366" s="2">
        <v>0</v>
      </c>
      <c r="O1366" s="2">
        <v>0</v>
      </c>
      <c r="R1366" t="str">
        <f t="shared" si="63"/>
        <v>no</v>
      </c>
      <c r="S1366" t="str">
        <f t="shared" si="64"/>
        <v>no</v>
      </c>
      <c r="T13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6" s="2" t="b">
        <f t="shared" si="65"/>
        <v>1</v>
      </c>
      <c r="V1366" s="2">
        <f>IF(Table4[[#This Row],[linear?]],Table4[[#This Row],[av]],10^(Table4[[#This Row],[av]]/10))</f>
        <v>0</v>
      </c>
      <c r="W1366" s="2">
        <f>IF(Table4[[#This Row],[linear?]],Table4[[#This Row],[av]],10^(Table4[[#This Row],[av]]/10))</f>
        <v>0</v>
      </c>
      <c r="X1366" s="2">
        <f>Table4[[#This Row],[av_lin]]-2*Table4[[#This Row],[std_lin]]</f>
        <v>0</v>
      </c>
      <c r="Y1366" s="2">
        <f>Table4[[#This Row],[av_lin]]+2*Table4[[#This Row],[std_lin]]</f>
        <v>0</v>
      </c>
    </row>
    <row r="1367" spans="1:25" x14ac:dyDescent="0.35">
      <c r="A1367" s="1">
        <v>144</v>
      </c>
      <c r="B1367" t="s">
        <v>75</v>
      </c>
      <c r="C1367" t="s">
        <v>142</v>
      </c>
      <c r="D1367" t="s">
        <v>172</v>
      </c>
      <c r="G1367">
        <v>27</v>
      </c>
      <c r="H1367" t="s">
        <v>19</v>
      </c>
      <c r="R1367" t="str">
        <f t="shared" si="63"/>
        <v>no</v>
      </c>
      <c r="S1367" t="str">
        <f t="shared" si="64"/>
        <v>no</v>
      </c>
      <c r="T13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7" s="2" t="b">
        <f t="shared" si="65"/>
        <v>1</v>
      </c>
      <c r="V1367" s="2">
        <f>IF(Table4[[#This Row],[linear?]],Table4[[#This Row],[av]],10^(Table4[[#This Row],[av]]/10))</f>
        <v>0</v>
      </c>
      <c r="W1367" s="2">
        <f>IF(Table4[[#This Row],[linear?]],Table4[[#This Row],[av]],10^(Table4[[#This Row],[av]]/10))</f>
        <v>0</v>
      </c>
      <c r="X1367" s="2">
        <f>Table4[[#This Row],[av_lin]]-2*Table4[[#This Row],[std_lin]]</f>
        <v>0</v>
      </c>
      <c r="Y1367" s="2">
        <f>Table4[[#This Row],[av_lin]]+2*Table4[[#This Row],[std_lin]]</f>
        <v>0</v>
      </c>
    </row>
    <row r="1368" spans="1:25" x14ac:dyDescent="0.35">
      <c r="A1368" s="1">
        <v>145</v>
      </c>
      <c r="B1368" t="s">
        <v>75</v>
      </c>
      <c r="C1368" t="s">
        <v>142</v>
      </c>
      <c r="D1368" t="s">
        <v>173</v>
      </c>
      <c r="G1368">
        <v>27</v>
      </c>
      <c r="H1368" t="s">
        <v>19</v>
      </c>
      <c r="R1368" t="str">
        <f t="shared" si="63"/>
        <v>no</v>
      </c>
      <c r="S1368" t="str">
        <f t="shared" si="64"/>
        <v>no</v>
      </c>
      <c r="T13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8" s="2" t="b">
        <f t="shared" si="65"/>
        <v>1</v>
      </c>
      <c r="V1368" s="2">
        <f>IF(Table4[[#This Row],[linear?]],Table4[[#This Row],[av]],10^(Table4[[#This Row],[av]]/10))</f>
        <v>0</v>
      </c>
      <c r="W1368" s="2">
        <f>IF(Table4[[#This Row],[linear?]],Table4[[#This Row],[av]],10^(Table4[[#This Row],[av]]/10))</f>
        <v>0</v>
      </c>
      <c r="X1368" s="2">
        <f>Table4[[#This Row],[av_lin]]-2*Table4[[#This Row],[std_lin]]</f>
        <v>0</v>
      </c>
      <c r="Y1368" s="2">
        <f>Table4[[#This Row],[av_lin]]+2*Table4[[#This Row],[std_lin]]</f>
        <v>0</v>
      </c>
    </row>
    <row r="1369" spans="1:25" x14ac:dyDescent="0.35">
      <c r="A1369" s="1">
        <v>146</v>
      </c>
      <c r="B1369" t="s">
        <v>75</v>
      </c>
      <c r="C1369" t="s">
        <v>142</v>
      </c>
      <c r="D1369" t="s">
        <v>174</v>
      </c>
      <c r="E1369" s="2">
        <v>0</v>
      </c>
      <c r="F1369" s="2">
        <v>0</v>
      </c>
      <c r="G1369">
        <v>27</v>
      </c>
      <c r="H1369" t="s">
        <v>19</v>
      </c>
      <c r="M1369" s="2">
        <v>0</v>
      </c>
      <c r="N1369" s="2">
        <v>0</v>
      </c>
      <c r="O1369" s="2">
        <v>0</v>
      </c>
      <c r="R1369" t="str">
        <f t="shared" si="63"/>
        <v>no</v>
      </c>
      <c r="S1369" t="str">
        <f t="shared" si="64"/>
        <v>no</v>
      </c>
      <c r="T13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9" s="2" t="b">
        <f t="shared" si="65"/>
        <v>1</v>
      </c>
      <c r="V1369" s="2">
        <f>IF(Table4[[#This Row],[linear?]],Table4[[#This Row],[av]],10^(Table4[[#This Row],[av]]/10))</f>
        <v>0</v>
      </c>
      <c r="W1369" s="2">
        <f>IF(Table4[[#This Row],[linear?]],Table4[[#This Row],[av]],10^(Table4[[#This Row],[av]]/10))</f>
        <v>0</v>
      </c>
      <c r="X1369" s="2">
        <f>Table4[[#This Row],[av_lin]]-2*Table4[[#This Row],[std_lin]]</f>
        <v>0</v>
      </c>
      <c r="Y1369" s="2">
        <f>Table4[[#This Row],[av_lin]]+2*Table4[[#This Row],[std_lin]]</f>
        <v>0</v>
      </c>
    </row>
    <row r="1370" spans="1:25" x14ac:dyDescent="0.35">
      <c r="A1370" s="1">
        <v>147</v>
      </c>
      <c r="B1370" t="s">
        <v>75</v>
      </c>
      <c r="C1370" t="s">
        <v>142</v>
      </c>
      <c r="D1370" t="s">
        <v>175</v>
      </c>
      <c r="G1370">
        <v>27</v>
      </c>
      <c r="H1370" t="s">
        <v>19</v>
      </c>
      <c r="R1370" t="str">
        <f t="shared" si="63"/>
        <v>no</v>
      </c>
      <c r="S1370" t="str">
        <f t="shared" si="64"/>
        <v>no</v>
      </c>
      <c r="T13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0" s="2" t="b">
        <f t="shared" si="65"/>
        <v>1</v>
      </c>
      <c r="V1370" s="2">
        <f>IF(Table4[[#This Row],[linear?]],Table4[[#This Row],[av]],10^(Table4[[#This Row],[av]]/10))</f>
        <v>0</v>
      </c>
      <c r="W1370" s="2">
        <f>IF(Table4[[#This Row],[linear?]],Table4[[#This Row],[av]],10^(Table4[[#This Row],[av]]/10))</f>
        <v>0</v>
      </c>
      <c r="X1370" s="2">
        <f>Table4[[#This Row],[av_lin]]-2*Table4[[#This Row],[std_lin]]</f>
        <v>0</v>
      </c>
      <c r="Y1370" s="2">
        <f>Table4[[#This Row],[av_lin]]+2*Table4[[#This Row],[std_lin]]</f>
        <v>0</v>
      </c>
    </row>
    <row r="1371" spans="1:25" x14ac:dyDescent="0.35">
      <c r="A1371" s="1">
        <v>148</v>
      </c>
      <c r="B1371" t="s">
        <v>75</v>
      </c>
      <c r="C1371" t="s">
        <v>142</v>
      </c>
      <c r="D1371" t="s">
        <v>176</v>
      </c>
      <c r="G1371">
        <v>27</v>
      </c>
      <c r="H1371" t="s">
        <v>19</v>
      </c>
      <c r="R1371" t="str">
        <f t="shared" si="63"/>
        <v>no</v>
      </c>
      <c r="S1371" t="str">
        <f t="shared" si="64"/>
        <v>no</v>
      </c>
      <c r="T13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1" s="2" t="b">
        <f t="shared" si="65"/>
        <v>1</v>
      </c>
      <c r="V1371" s="2">
        <f>IF(Table4[[#This Row],[linear?]],Table4[[#This Row],[av]],10^(Table4[[#This Row],[av]]/10))</f>
        <v>0</v>
      </c>
      <c r="W1371" s="2">
        <f>IF(Table4[[#This Row],[linear?]],Table4[[#This Row],[av]],10^(Table4[[#This Row],[av]]/10))</f>
        <v>0</v>
      </c>
      <c r="X1371" s="2">
        <f>Table4[[#This Row],[av_lin]]-2*Table4[[#This Row],[std_lin]]</f>
        <v>0</v>
      </c>
      <c r="Y1371" s="2">
        <f>Table4[[#This Row],[av_lin]]+2*Table4[[#This Row],[std_lin]]</f>
        <v>0</v>
      </c>
    </row>
    <row r="1372" spans="1:25" x14ac:dyDescent="0.35">
      <c r="A1372" s="1">
        <v>149</v>
      </c>
      <c r="B1372" t="s">
        <v>75</v>
      </c>
      <c r="C1372" t="s">
        <v>142</v>
      </c>
      <c r="D1372" t="s">
        <v>177</v>
      </c>
      <c r="E1372" s="2">
        <v>0</v>
      </c>
      <c r="F1372" s="2">
        <v>0</v>
      </c>
      <c r="G1372">
        <v>27</v>
      </c>
      <c r="H1372" t="s">
        <v>19</v>
      </c>
      <c r="M1372" s="2">
        <v>0</v>
      </c>
      <c r="N1372" s="2">
        <v>0</v>
      </c>
      <c r="O1372" s="2">
        <v>0</v>
      </c>
      <c r="R1372" t="str">
        <f t="shared" si="63"/>
        <v>no</v>
      </c>
      <c r="S1372" t="str">
        <f t="shared" si="64"/>
        <v>no</v>
      </c>
      <c r="T13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2" s="2" t="b">
        <f t="shared" si="65"/>
        <v>1</v>
      </c>
      <c r="V1372" s="2">
        <f>IF(Table4[[#This Row],[linear?]],Table4[[#This Row],[av]],10^(Table4[[#This Row],[av]]/10))</f>
        <v>0</v>
      </c>
      <c r="W1372" s="2">
        <f>IF(Table4[[#This Row],[linear?]],Table4[[#This Row],[av]],10^(Table4[[#This Row],[av]]/10))</f>
        <v>0</v>
      </c>
      <c r="X1372" s="2">
        <f>Table4[[#This Row],[av_lin]]-2*Table4[[#This Row],[std_lin]]</f>
        <v>0</v>
      </c>
      <c r="Y1372" s="2">
        <f>Table4[[#This Row],[av_lin]]+2*Table4[[#This Row],[std_lin]]</f>
        <v>0</v>
      </c>
    </row>
    <row r="1373" spans="1:25" x14ac:dyDescent="0.35">
      <c r="A1373" s="1">
        <v>150</v>
      </c>
      <c r="B1373" t="s">
        <v>75</v>
      </c>
      <c r="C1373" t="s">
        <v>142</v>
      </c>
      <c r="D1373" t="s">
        <v>178</v>
      </c>
      <c r="G1373">
        <v>27</v>
      </c>
      <c r="H1373" t="s">
        <v>19</v>
      </c>
      <c r="R1373" t="str">
        <f t="shared" si="63"/>
        <v>no</v>
      </c>
      <c r="S1373" t="str">
        <f t="shared" si="64"/>
        <v>no</v>
      </c>
      <c r="T13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3" s="2" t="b">
        <f t="shared" si="65"/>
        <v>1</v>
      </c>
      <c r="V1373" s="2">
        <f>IF(Table4[[#This Row],[linear?]],Table4[[#This Row],[av]],10^(Table4[[#This Row],[av]]/10))</f>
        <v>0</v>
      </c>
      <c r="W1373" s="2">
        <f>IF(Table4[[#This Row],[linear?]],Table4[[#This Row],[av]],10^(Table4[[#This Row],[av]]/10))</f>
        <v>0</v>
      </c>
      <c r="X1373" s="2">
        <f>Table4[[#This Row],[av_lin]]-2*Table4[[#This Row],[std_lin]]</f>
        <v>0</v>
      </c>
      <c r="Y1373" s="2">
        <f>Table4[[#This Row],[av_lin]]+2*Table4[[#This Row],[std_lin]]</f>
        <v>0</v>
      </c>
    </row>
    <row r="1374" spans="1:25" x14ac:dyDescent="0.35">
      <c r="A1374" s="1">
        <v>151</v>
      </c>
      <c r="B1374" t="s">
        <v>75</v>
      </c>
      <c r="C1374" t="s">
        <v>142</v>
      </c>
      <c r="D1374" t="s">
        <v>179</v>
      </c>
      <c r="G1374">
        <v>27</v>
      </c>
      <c r="H1374" t="s">
        <v>19</v>
      </c>
      <c r="R1374" t="str">
        <f t="shared" si="63"/>
        <v>no</v>
      </c>
      <c r="S1374" t="str">
        <f t="shared" si="64"/>
        <v>no</v>
      </c>
      <c r="T13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4" s="2" t="b">
        <f t="shared" si="65"/>
        <v>1</v>
      </c>
      <c r="V1374" s="2">
        <f>IF(Table4[[#This Row],[linear?]],Table4[[#This Row],[av]],10^(Table4[[#This Row],[av]]/10))</f>
        <v>0</v>
      </c>
      <c r="W1374" s="2">
        <f>IF(Table4[[#This Row],[linear?]],Table4[[#This Row],[av]],10^(Table4[[#This Row],[av]]/10))</f>
        <v>0</v>
      </c>
      <c r="X1374" s="2">
        <f>Table4[[#This Row],[av_lin]]-2*Table4[[#This Row],[std_lin]]</f>
        <v>0</v>
      </c>
      <c r="Y1374" s="2">
        <f>Table4[[#This Row],[av_lin]]+2*Table4[[#This Row],[std_lin]]</f>
        <v>0</v>
      </c>
    </row>
    <row r="1375" spans="1:25" x14ac:dyDescent="0.35">
      <c r="A1375" s="1">
        <v>152</v>
      </c>
      <c r="B1375" t="s">
        <v>75</v>
      </c>
      <c r="C1375" t="s">
        <v>142</v>
      </c>
      <c r="D1375" t="s">
        <v>180</v>
      </c>
      <c r="E1375" s="2">
        <v>0</v>
      </c>
      <c r="F1375" s="2">
        <v>0</v>
      </c>
      <c r="G1375">
        <v>27</v>
      </c>
      <c r="H1375" t="s">
        <v>19</v>
      </c>
      <c r="M1375" s="2">
        <v>0</v>
      </c>
      <c r="N1375" s="2">
        <v>0</v>
      </c>
      <c r="O1375" s="2">
        <v>0</v>
      </c>
      <c r="R1375" t="str">
        <f t="shared" si="63"/>
        <v>no</v>
      </c>
      <c r="S1375" t="str">
        <f t="shared" si="64"/>
        <v>no</v>
      </c>
      <c r="T13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5" s="2" t="b">
        <f t="shared" si="65"/>
        <v>1</v>
      </c>
      <c r="V1375" s="2">
        <f>IF(Table4[[#This Row],[linear?]],Table4[[#This Row],[av]],10^(Table4[[#This Row],[av]]/10))</f>
        <v>0</v>
      </c>
      <c r="W1375" s="2">
        <f>IF(Table4[[#This Row],[linear?]],Table4[[#This Row],[av]],10^(Table4[[#This Row],[av]]/10))</f>
        <v>0</v>
      </c>
      <c r="X1375" s="2">
        <f>Table4[[#This Row],[av_lin]]-2*Table4[[#This Row],[std_lin]]</f>
        <v>0</v>
      </c>
      <c r="Y1375" s="2">
        <f>Table4[[#This Row],[av_lin]]+2*Table4[[#This Row],[std_lin]]</f>
        <v>0</v>
      </c>
    </row>
    <row r="1376" spans="1:25" x14ac:dyDescent="0.35">
      <c r="A1376" s="1">
        <v>153</v>
      </c>
      <c r="B1376" t="s">
        <v>75</v>
      </c>
      <c r="C1376" t="s">
        <v>142</v>
      </c>
      <c r="D1376" t="s">
        <v>181</v>
      </c>
      <c r="G1376">
        <v>27</v>
      </c>
      <c r="H1376" t="s">
        <v>19</v>
      </c>
      <c r="R1376" t="str">
        <f t="shared" si="63"/>
        <v>no</v>
      </c>
      <c r="S1376" t="str">
        <f t="shared" si="64"/>
        <v>no</v>
      </c>
      <c r="T13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6" s="2" t="b">
        <f t="shared" si="65"/>
        <v>1</v>
      </c>
      <c r="V1376" s="2">
        <f>IF(Table4[[#This Row],[linear?]],Table4[[#This Row],[av]],10^(Table4[[#This Row],[av]]/10))</f>
        <v>0</v>
      </c>
      <c r="W1376" s="2">
        <f>IF(Table4[[#This Row],[linear?]],Table4[[#This Row],[av]],10^(Table4[[#This Row],[av]]/10))</f>
        <v>0</v>
      </c>
      <c r="X1376" s="2">
        <f>Table4[[#This Row],[av_lin]]-2*Table4[[#This Row],[std_lin]]</f>
        <v>0</v>
      </c>
      <c r="Y1376" s="2">
        <f>Table4[[#This Row],[av_lin]]+2*Table4[[#This Row],[std_lin]]</f>
        <v>0</v>
      </c>
    </row>
    <row r="1377" spans="1:25" x14ac:dyDescent="0.35">
      <c r="A1377" s="1">
        <v>154</v>
      </c>
      <c r="B1377" t="s">
        <v>75</v>
      </c>
      <c r="C1377" t="s">
        <v>142</v>
      </c>
      <c r="D1377" t="s">
        <v>182</v>
      </c>
      <c r="G1377">
        <v>27</v>
      </c>
      <c r="H1377" t="s">
        <v>19</v>
      </c>
      <c r="R1377" t="str">
        <f t="shared" si="63"/>
        <v>no</v>
      </c>
      <c r="S1377" t="str">
        <f t="shared" si="64"/>
        <v>no</v>
      </c>
      <c r="T13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7" s="2" t="b">
        <f t="shared" si="65"/>
        <v>1</v>
      </c>
      <c r="V1377" s="2">
        <f>IF(Table4[[#This Row],[linear?]],Table4[[#This Row],[av]],10^(Table4[[#This Row],[av]]/10))</f>
        <v>0</v>
      </c>
      <c r="W1377" s="2">
        <f>IF(Table4[[#This Row],[linear?]],Table4[[#This Row],[av]],10^(Table4[[#This Row],[av]]/10))</f>
        <v>0</v>
      </c>
      <c r="X1377" s="2">
        <f>Table4[[#This Row],[av_lin]]-2*Table4[[#This Row],[std_lin]]</f>
        <v>0</v>
      </c>
      <c r="Y1377" s="2">
        <f>Table4[[#This Row],[av_lin]]+2*Table4[[#This Row],[std_lin]]</f>
        <v>0</v>
      </c>
    </row>
    <row r="1378" spans="1:25" x14ac:dyDescent="0.35">
      <c r="A1378" s="1">
        <v>155</v>
      </c>
      <c r="B1378" t="s">
        <v>75</v>
      </c>
      <c r="C1378" t="s">
        <v>142</v>
      </c>
      <c r="D1378" t="s">
        <v>183</v>
      </c>
      <c r="E1378" s="2">
        <v>0</v>
      </c>
      <c r="F1378" s="2">
        <v>0</v>
      </c>
      <c r="G1378">
        <v>27</v>
      </c>
      <c r="H1378" t="s">
        <v>19</v>
      </c>
      <c r="M1378" s="2">
        <v>0</v>
      </c>
      <c r="N1378" s="2">
        <v>0</v>
      </c>
      <c r="O1378" s="2">
        <v>0</v>
      </c>
      <c r="R1378" t="str">
        <f t="shared" si="63"/>
        <v>no</v>
      </c>
      <c r="S1378" t="str">
        <f t="shared" si="64"/>
        <v>no</v>
      </c>
      <c r="T13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8" s="2" t="b">
        <f t="shared" si="65"/>
        <v>1</v>
      </c>
      <c r="V1378" s="2">
        <f>IF(Table4[[#This Row],[linear?]],Table4[[#This Row],[av]],10^(Table4[[#This Row],[av]]/10))</f>
        <v>0</v>
      </c>
      <c r="W1378" s="2">
        <f>IF(Table4[[#This Row],[linear?]],Table4[[#This Row],[av]],10^(Table4[[#This Row],[av]]/10))</f>
        <v>0</v>
      </c>
      <c r="X1378" s="2">
        <f>Table4[[#This Row],[av_lin]]-2*Table4[[#This Row],[std_lin]]</f>
        <v>0</v>
      </c>
      <c r="Y1378" s="2">
        <f>Table4[[#This Row],[av_lin]]+2*Table4[[#This Row],[std_lin]]</f>
        <v>0</v>
      </c>
    </row>
    <row r="1379" spans="1:25" x14ac:dyDescent="0.35">
      <c r="A1379" s="1">
        <v>156</v>
      </c>
      <c r="B1379" t="s">
        <v>75</v>
      </c>
      <c r="C1379" t="s">
        <v>142</v>
      </c>
      <c r="D1379" t="s">
        <v>184</v>
      </c>
      <c r="G1379">
        <v>27</v>
      </c>
      <c r="H1379" t="s">
        <v>19</v>
      </c>
      <c r="R1379" t="str">
        <f t="shared" si="63"/>
        <v>no</v>
      </c>
      <c r="S1379" t="str">
        <f t="shared" si="64"/>
        <v>no</v>
      </c>
      <c r="T13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9" s="2" t="b">
        <f t="shared" si="65"/>
        <v>1</v>
      </c>
      <c r="V1379" s="2">
        <f>IF(Table4[[#This Row],[linear?]],Table4[[#This Row],[av]],10^(Table4[[#This Row],[av]]/10))</f>
        <v>0</v>
      </c>
      <c r="W1379" s="2">
        <f>IF(Table4[[#This Row],[linear?]],Table4[[#This Row],[av]],10^(Table4[[#This Row],[av]]/10))</f>
        <v>0</v>
      </c>
      <c r="X1379" s="2">
        <f>Table4[[#This Row],[av_lin]]-2*Table4[[#This Row],[std_lin]]</f>
        <v>0</v>
      </c>
      <c r="Y1379" s="2">
        <f>Table4[[#This Row],[av_lin]]+2*Table4[[#This Row],[std_lin]]</f>
        <v>0</v>
      </c>
    </row>
    <row r="1380" spans="1:25" x14ac:dyDescent="0.35">
      <c r="A1380" s="1">
        <v>157</v>
      </c>
      <c r="B1380" t="s">
        <v>75</v>
      </c>
      <c r="C1380" t="s">
        <v>142</v>
      </c>
      <c r="D1380" t="s">
        <v>185</v>
      </c>
      <c r="G1380">
        <v>27</v>
      </c>
      <c r="H1380" t="s">
        <v>19</v>
      </c>
      <c r="R1380" t="str">
        <f t="shared" si="63"/>
        <v>no</v>
      </c>
      <c r="S1380" t="str">
        <f t="shared" si="64"/>
        <v>no</v>
      </c>
      <c r="T13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0" s="2" t="b">
        <f t="shared" si="65"/>
        <v>1</v>
      </c>
      <c r="V1380" s="2">
        <f>IF(Table4[[#This Row],[linear?]],Table4[[#This Row],[av]],10^(Table4[[#This Row],[av]]/10))</f>
        <v>0</v>
      </c>
      <c r="W1380" s="2">
        <f>IF(Table4[[#This Row],[linear?]],Table4[[#This Row],[av]],10^(Table4[[#This Row],[av]]/10))</f>
        <v>0</v>
      </c>
      <c r="X1380" s="2">
        <f>Table4[[#This Row],[av_lin]]-2*Table4[[#This Row],[std_lin]]</f>
        <v>0</v>
      </c>
      <c r="Y1380" s="2">
        <f>Table4[[#This Row],[av_lin]]+2*Table4[[#This Row],[std_lin]]</f>
        <v>0</v>
      </c>
    </row>
    <row r="1381" spans="1:25" x14ac:dyDescent="0.35">
      <c r="A1381" s="1">
        <v>158</v>
      </c>
      <c r="B1381" t="s">
        <v>75</v>
      </c>
      <c r="C1381" t="s">
        <v>142</v>
      </c>
      <c r="D1381" t="s">
        <v>186</v>
      </c>
      <c r="E1381" s="2">
        <v>0</v>
      </c>
      <c r="F1381" s="2">
        <v>0</v>
      </c>
      <c r="G1381">
        <v>27</v>
      </c>
      <c r="H1381" t="s">
        <v>19</v>
      </c>
      <c r="M1381" s="2">
        <v>0</v>
      </c>
      <c r="N1381" s="2">
        <v>0</v>
      </c>
      <c r="O1381" s="2">
        <v>0</v>
      </c>
      <c r="R1381" t="str">
        <f t="shared" si="63"/>
        <v>no</v>
      </c>
      <c r="S1381" t="str">
        <f t="shared" si="64"/>
        <v>no</v>
      </c>
      <c r="T13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1" s="2" t="b">
        <f t="shared" si="65"/>
        <v>1</v>
      </c>
      <c r="V1381" s="2">
        <f>IF(Table4[[#This Row],[linear?]],Table4[[#This Row],[av]],10^(Table4[[#This Row],[av]]/10))</f>
        <v>0</v>
      </c>
      <c r="W1381" s="2">
        <f>IF(Table4[[#This Row],[linear?]],Table4[[#This Row],[av]],10^(Table4[[#This Row],[av]]/10))</f>
        <v>0</v>
      </c>
      <c r="X1381" s="2">
        <f>Table4[[#This Row],[av_lin]]-2*Table4[[#This Row],[std_lin]]</f>
        <v>0</v>
      </c>
      <c r="Y1381" s="2">
        <f>Table4[[#This Row],[av_lin]]+2*Table4[[#This Row],[std_lin]]</f>
        <v>0</v>
      </c>
    </row>
    <row r="1382" spans="1:25" x14ac:dyDescent="0.35">
      <c r="A1382" s="1">
        <v>159</v>
      </c>
      <c r="B1382" t="s">
        <v>75</v>
      </c>
      <c r="C1382" t="s">
        <v>142</v>
      </c>
      <c r="D1382" t="s">
        <v>187</v>
      </c>
      <c r="G1382">
        <v>27</v>
      </c>
      <c r="H1382" t="s">
        <v>19</v>
      </c>
      <c r="R1382" t="str">
        <f t="shared" si="63"/>
        <v>no</v>
      </c>
      <c r="S1382" t="str">
        <f t="shared" si="64"/>
        <v>no</v>
      </c>
      <c r="T13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2" s="2" t="b">
        <f t="shared" si="65"/>
        <v>1</v>
      </c>
      <c r="V1382" s="2">
        <f>IF(Table4[[#This Row],[linear?]],Table4[[#This Row],[av]],10^(Table4[[#This Row],[av]]/10))</f>
        <v>0</v>
      </c>
      <c r="W1382" s="2">
        <f>IF(Table4[[#This Row],[linear?]],Table4[[#This Row],[av]],10^(Table4[[#This Row],[av]]/10))</f>
        <v>0</v>
      </c>
      <c r="X1382" s="2">
        <f>Table4[[#This Row],[av_lin]]-2*Table4[[#This Row],[std_lin]]</f>
        <v>0</v>
      </c>
      <c r="Y1382" s="2">
        <f>Table4[[#This Row],[av_lin]]+2*Table4[[#This Row],[std_lin]]</f>
        <v>0</v>
      </c>
    </row>
    <row r="1383" spans="1:25" x14ac:dyDescent="0.35">
      <c r="A1383" s="1">
        <v>160</v>
      </c>
      <c r="B1383" t="s">
        <v>75</v>
      </c>
      <c r="C1383" t="s">
        <v>142</v>
      </c>
      <c r="D1383" t="s">
        <v>188</v>
      </c>
      <c r="G1383">
        <v>27</v>
      </c>
      <c r="H1383" t="s">
        <v>19</v>
      </c>
      <c r="R1383" t="str">
        <f t="shared" si="63"/>
        <v>no</v>
      </c>
      <c r="S1383" t="str">
        <f t="shared" si="64"/>
        <v>no</v>
      </c>
      <c r="T13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3" s="2" t="b">
        <f t="shared" si="65"/>
        <v>1</v>
      </c>
      <c r="V1383" s="2">
        <f>IF(Table4[[#This Row],[linear?]],Table4[[#This Row],[av]],10^(Table4[[#This Row],[av]]/10))</f>
        <v>0</v>
      </c>
      <c r="W1383" s="2">
        <f>IF(Table4[[#This Row],[linear?]],Table4[[#This Row],[av]],10^(Table4[[#This Row],[av]]/10))</f>
        <v>0</v>
      </c>
      <c r="X1383" s="2">
        <f>Table4[[#This Row],[av_lin]]-2*Table4[[#This Row],[std_lin]]</f>
        <v>0</v>
      </c>
      <c r="Y1383" s="2">
        <f>Table4[[#This Row],[av_lin]]+2*Table4[[#This Row],[std_lin]]</f>
        <v>0</v>
      </c>
    </row>
    <row r="1384" spans="1:25" x14ac:dyDescent="0.35">
      <c r="A1384" s="1">
        <v>161</v>
      </c>
      <c r="B1384" t="s">
        <v>75</v>
      </c>
      <c r="C1384" t="s">
        <v>142</v>
      </c>
      <c r="D1384" t="s">
        <v>189</v>
      </c>
      <c r="E1384" s="2">
        <v>0</v>
      </c>
      <c r="F1384" s="2">
        <v>0</v>
      </c>
      <c r="G1384">
        <v>27</v>
      </c>
      <c r="H1384" t="s">
        <v>19</v>
      </c>
      <c r="M1384" s="2">
        <v>0</v>
      </c>
      <c r="N1384" s="2">
        <v>0</v>
      </c>
      <c r="O1384" s="2">
        <v>0</v>
      </c>
      <c r="R1384" t="str">
        <f t="shared" si="63"/>
        <v>no</v>
      </c>
      <c r="S1384" t="str">
        <f t="shared" si="64"/>
        <v>no</v>
      </c>
      <c r="T13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4" s="2" t="b">
        <f t="shared" si="65"/>
        <v>1</v>
      </c>
      <c r="V1384" s="2">
        <f>IF(Table4[[#This Row],[linear?]],Table4[[#This Row],[av]],10^(Table4[[#This Row],[av]]/10))</f>
        <v>0</v>
      </c>
      <c r="W1384" s="2">
        <f>IF(Table4[[#This Row],[linear?]],Table4[[#This Row],[av]],10^(Table4[[#This Row],[av]]/10))</f>
        <v>0</v>
      </c>
      <c r="X1384" s="2">
        <f>Table4[[#This Row],[av_lin]]-2*Table4[[#This Row],[std_lin]]</f>
        <v>0</v>
      </c>
      <c r="Y1384" s="2">
        <f>Table4[[#This Row],[av_lin]]+2*Table4[[#This Row],[std_lin]]</f>
        <v>0</v>
      </c>
    </row>
    <row r="1385" spans="1:25" x14ac:dyDescent="0.35">
      <c r="A1385" s="1">
        <v>162</v>
      </c>
      <c r="B1385" t="s">
        <v>75</v>
      </c>
      <c r="C1385" t="s">
        <v>142</v>
      </c>
      <c r="D1385" t="s">
        <v>190</v>
      </c>
      <c r="G1385">
        <v>27</v>
      </c>
      <c r="H1385" t="s">
        <v>19</v>
      </c>
      <c r="R1385" t="str">
        <f t="shared" si="63"/>
        <v>no</v>
      </c>
      <c r="S1385" t="str">
        <f t="shared" si="64"/>
        <v>no</v>
      </c>
      <c r="T13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5" s="2" t="b">
        <f t="shared" si="65"/>
        <v>1</v>
      </c>
      <c r="V1385" s="2">
        <f>IF(Table4[[#This Row],[linear?]],Table4[[#This Row],[av]],10^(Table4[[#This Row],[av]]/10))</f>
        <v>0</v>
      </c>
      <c r="W1385" s="2">
        <f>IF(Table4[[#This Row],[linear?]],Table4[[#This Row],[av]],10^(Table4[[#This Row],[av]]/10))</f>
        <v>0</v>
      </c>
      <c r="X1385" s="2">
        <f>Table4[[#This Row],[av_lin]]-2*Table4[[#This Row],[std_lin]]</f>
        <v>0</v>
      </c>
      <c r="Y1385" s="2">
        <f>Table4[[#This Row],[av_lin]]+2*Table4[[#This Row],[std_lin]]</f>
        <v>0</v>
      </c>
    </row>
    <row r="1386" spans="1:25" x14ac:dyDescent="0.35">
      <c r="A1386" s="1">
        <v>163</v>
      </c>
      <c r="B1386" t="s">
        <v>75</v>
      </c>
      <c r="C1386" t="s">
        <v>142</v>
      </c>
      <c r="D1386" t="s">
        <v>191</v>
      </c>
      <c r="G1386">
        <v>27</v>
      </c>
      <c r="H1386" t="s">
        <v>19</v>
      </c>
      <c r="R1386" t="str">
        <f t="shared" si="63"/>
        <v>no</v>
      </c>
      <c r="S1386" t="str">
        <f t="shared" si="64"/>
        <v>no</v>
      </c>
      <c r="T13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6" s="2" t="b">
        <f t="shared" si="65"/>
        <v>1</v>
      </c>
      <c r="V1386" s="2">
        <f>IF(Table4[[#This Row],[linear?]],Table4[[#This Row],[av]],10^(Table4[[#This Row],[av]]/10))</f>
        <v>0</v>
      </c>
      <c r="W1386" s="2">
        <f>IF(Table4[[#This Row],[linear?]],Table4[[#This Row],[av]],10^(Table4[[#This Row],[av]]/10))</f>
        <v>0</v>
      </c>
      <c r="X1386" s="2">
        <f>Table4[[#This Row],[av_lin]]-2*Table4[[#This Row],[std_lin]]</f>
        <v>0</v>
      </c>
      <c r="Y1386" s="2">
        <f>Table4[[#This Row],[av_lin]]+2*Table4[[#This Row],[std_lin]]</f>
        <v>0</v>
      </c>
    </row>
    <row r="1387" spans="1:25" x14ac:dyDescent="0.35">
      <c r="A1387" s="1">
        <v>164</v>
      </c>
      <c r="B1387" t="s">
        <v>75</v>
      </c>
      <c r="C1387" t="s">
        <v>142</v>
      </c>
      <c r="D1387" t="s">
        <v>192</v>
      </c>
      <c r="E1387" s="2">
        <v>0</v>
      </c>
      <c r="F1387" s="2">
        <v>0</v>
      </c>
      <c r="G1387">
        <v>27</v>
      </c>
      <c r="H1387" t="s">
        <v>19</v>
      </c>
      <c r="M1387" s="2">
        <v>0</v>
      </c>
      <c r="N1387" s="2">
        <v>0</v>
      </c>
      <c r="O1387" s="2">
        <v>0</v>
      </c>
      <c r="R1387" t="str">
        <f t="shared" si="63"/>
        <v>no</v>
      </c>
      <c r="S1387" t="str">
        <f t="shared" si="64"/>
        <v>no</v>
      </c>
      <c r="T13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7" s="2" t="b">
        <f t="shared" si="65"/>
        <v>1</v>
      </c>
      <c r="V1387" s="2">
        <f>IF(Table4[[#This Row],[linear?]],Table4[[#This Row],[av]],10^(Table4[[#This Row],[av]]/10))</f>
        <v>0</v>
      </c>
      <c r="W1387" s="2">
        <f>IF(Table4[[#This Row],[linear?]],Table4[[#This Row],[av]],10^(Table4[[#This Row],[av]]/10))</f>
        <v>0</v>
      </c>
      <c r="X1387" s="2">
        <f>Table4[[#This Row],[av_lin]]-2*Table4[[#This Row],[std_lin]]</f>
        <v>0</v>
      </c>
      <c r="Y1387" s="2">
        <f>Table4[[#This Row],[av_lin]]+2*Table4[[#This Row],[std_lin]]</f>
        <v>0</v>
      </c>
    </row>
    <row r="1388" spans="1:25" x14ac:dyDescent="0.35">
      <c r="A1388" s="1">
        <v>165</v>
      </c>
      <c r="B1388" t="s">
        <v>75</v>
      </c>
      <c r="C1388" t="s">
        <v>142</v>
      </c>
      <c r="D1388" t="s">
        <v>193</v>
      </c>
      <c r="G1388">
        <v>27</v>
      </c>
      <c r="H1388" t="s">
        <v>19</v>
      </c>
      <c r="R1388" t="str">
        <f t="shared" si="63"/>
        <v>no</v>
      </c>
      <c r="S1388" t="str">
        <f t="shared" si="64"/>
        <v>no</v>
      </c>
      <c r="T13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8" s="2" t="b">
        <f t="shared" si="65"/>
        <v>1</v>
      </c>
      <c r="V1388" s="2">
        <f>IF(Table4[[#This Row],[linear?]],Table4[[#This Row],[av]],10^(Table4[[#This Row],[av]]/10))</f>
        <v>0</v>
      </c>
      <c r="W1388" s="2">
        <f>IF(Table4[[#This Row],[linear?]],Table4[[#This Row],[av]],10^(Table4[[#This Row],[av]]/10))</f>
        <v>0</v>
      </c>
      <c r="X1388" s="2">
        <f>Table4[[#This Row],[av_lin]]-2*Table4[[#This Row],[std_lin]]</f>
        <v>0</v>
      </c>
      <c r="Y1388" s="2">
        <f>Table4[[#This Row],[av_lin]]+2*Table4[[#This Row],[std_lin]]</f>
        <v>0</v>
      </c>
    </row>
    <row r="1389" spans="1:25" x14ac:dyDescent="0.35">
      <c r="A1389" s="1">
        <v>166</v>
      </c>
      <c r="B1389" t="s">
        <v>75</v>
      </c>
      <c r="C1389" t="s">
        <v>142</v>
      </c>
      <c r="D1389" t="s">
        <v>194</v>
      </c>
      <c r="G1389">
        <v>27</v>
      </c>
      <c r="H1389" t="s">
        <v>19</v>
      </c>
      <c r="R1389" t="str">
        <f t="shared" si="63"/>
        <v>no</v>
      </c>
      <c r="S1389" t="str">
        <f t="shared" si="64"/>
        <v>no</v>
      </c>
      <c r="T13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9" s="2" t="b">
        <f t="shared" si="65"/>
        <v>1</v>
      </c>
      <c r="V1389" s="2">
        <f>IF(Table4[[#This Row],[linear?]],Table4[[#This Row],[av]],10^(Table4[[#This Row],[av]]/10))</f>
        <v>0</v>
      </c>
      <c r="W1389" s="2">
        <f>IF(Table4[[#This Row],[linear?]],Table4[[#This Row],[av]],10^(Table4[[#This Row],[av]]/10))</f>
        <v>0</v>
      </c>
      <c r="X1389" s="2">
        <f>Table4[[#This Row],[av_lin]]-2*Table4[[#This Row],[std_lin]]</f>
        <v>0</v>
      </c>
      <c r="Y1389" s="2">
        <f>Table4[[#This Row],[av_lin]]+2*Table4[[#This Row],[std_lin]]</f>
        <v>0</v>
      </c>
    </row>
    <row r="1390" spans="1:25" x14ac:dyDescent="0.35">
      <c r="A1390" s="1">
        <v>167</v>
      </c>
      <c r="B1390" t="s">
        <v>75</v>
      </c>
      <c r="C1390" t="s">
        <v>142</v>
      </c>
      <c r="D1390" t="s">
        <v>195</v>
      </c>
      <c r="E1390" s="2">
        <v>0</v>
      </c>
      <c r="F1390" s="2">
        <v>0</v>
      </c>
      <c r="G1390">
        <v>27</v>
      </c>
      <c r="H1390" t="s">
        <v>19</v>
      </c>
      <c r="M1390" s="2">
        <v>0</v>
      </c>
      <c r="N1390" s="2">
        <v>0</v>
      </c>
      <c r="O1390" s="2">
        <v>0</v>
      </c>
      <c r="R1390" t="str">
        <f t="shared" si="63"/>
        <v>no</v>
      </c>
      <c r="S1390" t="str">
        <f t="shared" si="64"/>
        <v>no</v>
      </c>
      <c r="T13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0" s="2" t="b">
        <f t="shared" si="65"/>
        <v>1</v>
      </c>
      <c r="V1390" s="2">
        <f>IF(Table4[[#This Row],[linear?]],Table4[[#This Row],[av]],10^(Table4[[#This Row],[av]]/10))</f>
        <v>0</v>
      </c>
      <c r="W1390" s="2">
        <f>IF(Table4[[#This Row],[linear?]],Table4[[#This Row],[av]],10^(Table4[[#This Row],[av]]/10))</f>
        <v>0</v>
      </c>
      <c r="X1390" s="2">
        <f>Table4[[#This Row],[av_lin]]-2*Table4[[#This Row],[std_lin]]</f>
        <v>0</v>
      </c>
      <c r="Y1390" s="2">
        <f>Table4[[#This Row],[av_lin]]+2*Table4[[#This Row],[std_lin]]</f>
        <v>0</v>
      </c>
    </row>
    <row r="1391" spans="1:25" x14ac:dyDescent="0.35">
      <c r="A1391" s="1">
        <v>168</v>
      </c>
      <c r="B1391" t="s">
        <v>75</v>
      </c>
      <c r="C1391" t="s">
        <v>142</v>
      </c>
      <c r="D1391" t="s">
        <v>196</v>
      </c>
      <c r="G1391">
        <v>27</v>
      </c>
      <c r="H1391" t="s">
        <v>19</v>
      </c>
      <c r="R1391" t="str">
        <f t="shared" si="63"/>
        <v>no</v>
      </c>
      <c r="S1391" t="str">
        <f t="shared" si="64"/>
        <v>no</v>
      </c>
      <c r="T13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1" s="2" t="b">
        <f t="shared" si="65"/>
        <v>1</v>
      </c>
      <c r="V1391" s="2">
        <f>IF(Table4[[#This Row],[linear?]],Table4[[#This Row],[av]],10^(Table4[[#This Row],[av]]/10))</f>
        <v>0</v>
      </c>
      <c r="W1391" s="2">
        <f>IF(Table4[[#This Row],[linear?]],Table4[[#This Row],[av]],10^(Table4[[#This Row],[av]]/10))</f>
        <v>0</v>
      </c>
      <c r="X1391" s="2">
        <f>Table4[[#This Row],[av_lin]]-2*Table4[[#This Row],[std_lin]]</f>
        <v>0</v>
      </c>
      <c r="Y1391" s="2">
        <f>Table4[[#This Row],[av_lin]]+2*Table4[[#This Row],[std_lin]]</f>
        <v>0</v>
      </c>
    </row>
    <row r="1392" spans="1:25" x14ac:dyDescent="0.35">
      <c r="A1392" s="1">
        <v>169</v>
      </c>
      <c r="B1392" t="s">
        <v>75</v>
      </c>
      <c r="C1392" t="s">
        <v>142</v>
      </c>
      <c r="D1392" t="s">
        <v>197</v>
      </c>
      <c r="G1392">
        <v>27</v>
      </c>
      <c r="H1392" t="s">
        <v>19</v>
      </c>
      <c r="R1392" t="str">
        <f t="shared" si="63"/>
        <v>no</v>
      </c>
      <c r="S1392" t="str">
        <f t="shared" si="64"/>
        <v>no</v>
      </c>
      <c r="T13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2" s="2" t="b">
        <f t="shared" si="65"/>
        <v>1</v>
      </c>
      <c r="V1392" s="2">
        <f>IF(Table4[[#This Row],[linear?]],Table4[[#This Row],[av]],10^(Table4[[#This Row],[av]]/10))</f>
        <v>0</v>
      </c>
      <c r="W1392" s="2">
        <f>IF(Table4[[#This Row],[linear?]],Table4[[#This Row],[av]],10^(Table4[[#This Row],[av]]/10))</f>
        <v>0</v>
      </c>
      <c r="X1392" s="2">
        <f>Table4[[#This Row],[av_lin]]-2*Table4[[#This Row],[std_lin]]</f>
        <v>0</v>
      </c>
      <c r="Y1392" s="2">
        <f>Table4[[#This Row],[av_lin]]+2*Table4[[#This Row],[std_lin]]</f>
        <v>0</v>
      </c>
    </row>
    <row r="1393" spans="1:25" x14ac:dyDescent="0.35">
      <c r="A1393" s="1">
        <v>170</v>
      </c>
      <c r="B1393" t="s">
        <v>75</v>
      </c>
      <c r="C1393" t="s">
        <v>142</v>
      </c>
      <c r="D1393" t="s">
        <v>198</v>
      </c>
      <c r="E1393" s="2">
        <v>0</v>
      </c>
      <c r="F1393" s="2">
        <v>0</v>
      </c>
      <c r="G1393">
        <v>27</v>
      </c>
      <c r="H1393" t="s">
        <v>19</v>
      </c>
      <c r="M1393" s="2">
        <v>0</v>
      </c>
      <c r="N1393" s="2">
        <v>0</v>
      </c>
      <c r="O1393" s="2">
        <v>0</v>
      </c>
      <c r="R1393" t="str">
        <f t="shared" si="63"/>
        <v>no</v>
      </c>
      <c r="S1393" t="str">
        <f t="shared" si="64"/>
        <v>no</v>
      </c>
      <c r="T13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3" s="2" t="b">
        <f t="shared" si="65"/>
        <v>1</v>
      </c>
      <c r="V1393" s="2">
        <f>IF(Table4[[#This Row],[linear?]],Table4[[#This Row],[av]],10^(Table4[[#This Row],[av]]/10))</f>
        <v>0</v>
      </c>
      <c r="W1393" s="2">
        <f>IF(Table4[[#This Row],[linear?]],Table4[[#This Row],[av]],10^(Table4[[#This Row],[av]]/10))</f>
        <v>0</v>
      </c>
      <c r="X1393" s="2">
        <f>Table4[[#This Row],[av_lin]]-2*Table4[[#This Row],[std_lin]]</f>
        <v>0</v>
      </c>
      <c r="Y1393" s="2">
        <f>Table4[[#This Row],[av_lin]]+2*Table4[[#This Row],[std_lin]]</f>
        <v>0</v>
      </c>
    </row>
    <row r="1394" spans="1:25" x14ac:dyDescent="0.35">
      <c r="A1394" s="1">
        <v>171</v>
      </c>
      <c r="B1394" t="s">
        <v>75</v>
      </c>
      <c r="C1394" t="s">
        <v>142</v>
      </c>
      <c r="D1394" t="s">
        <v>199</v>
      </c>
      <c r="G1394">
        <v>27</v>
      </c>
      <c r="H1394" t="s">
        <v>19</v>
      </c>
      <c r="R1394" t="str">
        <f t="shared" si="63"/>
        <v>no</v>
      </c>
      <c r="S1394" t="str">
        <f t="shared" si="64"/>
        <v>no</v>
      </c>
      <c r="T13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4" s="2" t="b">
        <f t="shared" si="65"/>
        <v>1</v>
      </c>
      <c r="V1394" s="2">
        <f>IF(Table4[[#This Row],[linear?]],Table4[[#This Row],[av]],10^(Table4[[#This Row],[av]]/10))</f>
        <v>0</v>
      </c>
      <c r="W1394" s="2">
        <f>IF(Table4[[#This Row],[linear?]],Table4[[#This Row],[av]],10^(Table4[[#This Row],[av]]/10))</f>
        <v>0</v>
      </c>
      <c r="X1394" s="2">
        <f>Table4[[#This Row],[av_lin]]-2*Table4[[#This Row],[std_lin]]</f>
        <v>0</v>
      </c>
      <c r="Y1394" s="2">
        <f>Table4[[#This Row],[av_lin]]+2*Table4[[#This Row],[std_lin]]</f>
        <v>0</v>
      </c>
    </row>
    <row r="1395" spans="1:25" x14ac:dyDescent="0.35">
      <c r="A1395" s="1">
        <v>172</v>
      </c>
      <c r="B1395" t="s">
        <v>75</v>
      </c>
      <c r="C1395" t="s">
        <v>142</v>
      </c>
      <c r="D1395" t="s">
        <v>200</v>
      </c>
      <c r="G1395">
        <v>27</v>
      </c>
      <c r="H1395" t="s">
        <v>19</v>
      </c>
      <c r="R1395" t="str">
        <f t="shared" si="63"/>
        <v>no</v>
      </c>
      <c r="S1395" t="str">
        <f t="shared" si="64"/>
        <v>no</v>
      </c>
      <c r="T13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5" s="2" t="b">
        <f t="shared" si="65"/>
        <v>1</v>
      </c>
      <c r="V1395" s="2">
        <f>IF(Table4[[#This Row],[linear?]],Table4[[#This Row],[av]],10^(Table4[[#This Row],[av]]/10))</f>
        <v>0</v>
      </c>
      <c r="W1395" s="2">
        <f>IF(Table4[[#This Row],[linear?]],Table4[[#This Row],[av]],10^(Table4[[#This Row],[av]]/10))</f>
        <v>0</v>
      </c>
      <c r="X1395" s="2">
        <f>Table4[[#This Row],[av_lin]]-2*Table4[[#This Row],[std_lin]]</f>
        <v>0</v>
      </c>
      <c r="Y1395" s="2">
        <f>Table4[[#This Row],[av_lin]]+2*Table4[[#This Row],[std_lin]]</f>
        <v>0</v>
      </c>
    </row>
    <row r="1396" spans="1:25" x14ac:dyDescent="0.35">
      <c r="A1396" s="1">
        <v>173</v>
      </c>
      <c r="B1396" t="s">
        <v>75</v>
      </c>
      <c r="C1396" t="s">
        <v>142</v>
      </c>
      <c r="D1396" t="s">
        <v>201</v>
      </c>
      <c r="E1396" s="2">
        <v>0</v>
      </c>
      <c r="F1396" s="2">
        <v>0</v>
      </c>
      <c r="G1396">
        <v>27</v>
      </c>
      <c r="H1396" t="s">
        <v>19</v>
      </c>
      <c r="M1396" s="2">
        <v>0</v>
      </c>
      <c r="N1396" s="2">
        <v>0</v>
      </c>
      <c r="O1396" s="2">
        <v>0</v>
      </c>
      <c r="R1396" t="str">
        <f t="shared" si="63"/>
        <v>no</v>
      </c>
      <c r="S1396" t="str">
        <f t="shared" si="64"/>
        <v>no</v>
      </c>
      <c r="T13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6" s="2" t="b">
        <f t="shared" si="65"/>
        <v>1</v>
      </c>
      <c r="V1396" s="2">
        <f>IF(Table4[[#This Row],[linear?]],Table4[[#This Row],[av]],10^(Table4[[#This Row],[av]]/10))</f>
        <v>0</v>
      </c>
      <c r="W1396" s="2">
        <f>IF(Table4[[#This Row],[linear?]],Table4[[#This Row],[av]],10^(Table4[[#This Row],[av]]/10))</f>
        <v>0</v>
      </c>
      <c r="X1396" s="2">
        <f>Table4[[#This Row],[av_lin]]-2*Table4[[#This Row],[std_lin]]</f>
        <v>0</v>
      </c>
      <c r="Y1396" s="2">
        <f>Table4[[#This Row],[av_lin]]+2*Table4[[#This Row],[std_lin]]</f>
        <v>0</v>
      </c>
    </row>
    <row r="1397" spans="1:25" x14ac:dyDescent="0.35">
      <c r="A1397" s="1">
        <v>174</v>
      </c>
      <c r="B1397" t="s">
        <v>75</v>
      </c>
      <c r="C1397" t="s">
        <v>142</v>
      </c>
      <c r="D1397" t="s">
        <v>202</v>
      </c>
      <c r="G1397">
        <v>27</v>
      </c>
      <c r="H1397" t="s">
        <v>19</v>
      </c>
      <c r="R1397" t="str">
        <f t="shared" si="63"/>
        <v>no</v>
      </c>
      <c r="S1397" t="str">
        <f t="shared" si="64"/>
        <v>no</v>
      </c>
      <c r="T13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7" s="2" t="b">
        <f t="shared" si="65"/>
        <v>1</v>
      </c>
      <c r="V1397" s="2">
        <f>IF(Table4[[#This Row],[linear?]],Table4[[#This Row],[av]],10^(Table4[[#This Row],[av]]/10))</f>
        <v>0</v>
      </c>
      <c r="W1397" s="2">
        <f>IF(Table4[[#This Row],[linear?]],Table4[[#This Row],[av]],10^(Table4[[#This Row],[av]]/10))</f>
        <v>0</v>
      </c>
      <c r="X1397" s="2">
        <f>Table4[[#This Row],[av_lin]]-2*Table4[[#This Row],[std_lin]]</f>
        <v>0</v>
      </c>
      <c r="Y1397" s="2">
        <f>Table4[[#This Row],[av_lin]]+2*Table4[[#This Row],[std_lin]]</f>
        <v>0</v>
      </c>
    </row>
    <row r="1398" spans="1:25" x14ac:dyDescent="0.35">
      <c r="A1398" s="1">
        <v>175</v>
      </c>
      <c r="B1398" t="s">
        <v>75</v>
      </c>
      <c r="C1398" t="s">
        <v>142</v>
      </c>
      <c r="D1398" t="s">
        <v>203</v>
      </c>
      <c r="G1398">
        <v>27</v>
      </c>
      <c r="H1398" t="s">
        <v>19</v>
      </c>
      <c r="R1398" t="str">
        <f t="shared" si="63"/>
        <v>no</v>
      </c>
      <c r="S1398" t="str">
        <f t="shared" si="64"/>
        <v>no</v>
      </c>
      <c r="T13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8" s="2" t="b">
        <f t="shared" si="65"/>
        <v>1</v>
      </c>
      <c r="V1398" s="2">
        <f>IF(Table4[[#This Row],[linear?]],Table4[[#This Row],[av]],10^(Table4[[#This Row],[av]]/10))</f>
        <v>0</v>
      </c>
      <c r="W1398" s="2">
        <f>IF(Table4[[#This Row],[linear?]],Table4[[#This Row],[av]],10^(Table4[[#This Row],[av]]/10))</f>
        <v>0</v>
      </c>
      <c r="X1398" s="2">
        <f>Table4[[#This Row],[av_lin]]-2*Table4[[#This Row],[std_lin]]</f>
        <v>0</v>
      </c>
      <c r="Y1398" s="2">
        <f>Table4[[#This Row],[av_lin]]+2*Table4[[#This Row],[std_lin]]</f>
        <v>0</v>
      </c>
    </row>
    <row r="1399" spans="1:25" x14ac:dyDescent="0.35">
      <c r="A1399" s="1">
        <v>176</v>
      </c>
      <c r="B1399" t="s">
        <v>75</v>
      </c>
      <c r="C1399" t="s">
        <v>142</v>
      </c>
      <c r="D1399" t="s">
        <v>204</v>
      </c>
      <c r="E1399" s="2">
        <v>0</v>
      </c>
      <c r="F1399" s="2">
        <v>0</v>
      </c>
      <c r="G1399">
        <v>27</v>
      </c>
      <c r="H1399" t="s">
        <v>19</v>
      </c>
      <c r="M1399" s="2">
        <v>0</v>
      </c>
      <c r="N1399" s="2">
        <v>0</v>
      </c>
      <c r="O1399" s="2">
        <v>0</v>
      </c>
      <c r="R1399" t="str">
        <f t="shared" si="63"/>
        <v>no</v>
      </c>
      <c r="S1399" t="str">
        <f t="shared" si="64"/>
        <v>no</v>
      </c>
      <c r="T13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9" s="2" t="b">
        <f t="shared" si="65"/>
        <v>1</v>
      </c>
      <c r="V1399" s="2">
        <f>IF(Table4[[#This Row],[linear?]],Table4[[#This Row],[av]],10^(Table4[[#This Row],[av]]/10))</f>
        <v>0</v>
      </c>
      <c r="W1399" s="2">
        <f>IF(Table4[[#This Row],[linear?]],Table4[[#This Row],[av]],10^(Table4[[#This Row],[av]]/10))</f>
        <v>0</v>
      </c>
      <c r="X1399" s="2">
        <f>Table4[[#This Row],[av_lin]]-2*Table4[[#This Row],[std_lin]]</f>
        <v>0</v>
      </c>
      <c r="Y1399" s="2">
        <f>Table4[[#This Row],[av_lin]]+2*Table4[[#This Row],[std_lin]]</f>
        <v>0</v>
      </c>
    </row>
    <row r="1400" spans="1:25" x14ac:dyDescent="0.35">
      <c r="A1400" s="1">
        <v>177</v>
      </c>
      <c r="B1400" t="s">
        <v>75</v>
      </c>
      <c r="C1400" t="s">
        <v>142</v>
      </c>
      <c r="D1400" t="s">
        <v>205</v>
      </c>
      <c r="G1400">
        <v>27</v>
      </c>
      <c r="H1400" t="s">
        <v>19</v>
      </c>
      <c r="R1400" t="str">
        <f t="shared" si="63"/>
        <v>no</v>
      </c>
      <c r="S1400" t="str">
        <f t="shared" si="64"/>
        <v>no</v>
      </c>
      <c r="T14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0" s="2" t="b">
        <f t="shared" si="65"/>
        <v>1</v>
      </c>
      <c r="V1400" s="2">
        <f>IF(Table4[[#This Row],[linear?]],Table4[[#This Row],[av]],10^(Table4[[#This Row],[av]]/10))</f>
        <v>0</v>
      </c>
      <c r="W1400" s="2">
        <f>IF(Table4[[#This Row],[linear?]],Table4[[#This Row],[av]],10^(Table4[[#This Row],[av]]/10))</f>
        <v>0</v>
      </c>
      <c r="X1400" s="2">
        <f>Table4[[#This Row],[av_lin]]-2*Table4[[#This Row],[std_lin]]</f>
        <v>0</v>
      </c>
      <c r="Y1400" s="2">
        <f>Table4[[#This Row],[av_lin]]+2*Table4[[#This Row],[std_lin]]</f>
        <v>0</v>
      </c>
    </row>
    <row r="1401" spans="1:25" x14ac:dyDescent="0.35">
      <c r="A1401" s="1">
        <v>178</v>
      </c>
      <c r="B1401" t="s">
        <v>75</v>
      </c>
      <c r="C1401" t="s">
        <v>142</v>
      </c>
      <c r="D1401" t="s">
        <v>206</v>
      </c>
      <c r="G1401">
        <v>27</v>
      </c>
      <c r="H1401" t="s">
        <v>19</v>
      </c>
      <c r="R1401" t="str">
        <f t="shared" si="63"/>
        <v>no</v>
      </c>
      <c r="S1401" t="str">
        <f t="shared" si="64"/>
        <v>no</v>
      </c>
      <c r="T14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1" s="2" t="b">
        <f t="shared" si="65"/>
        <v>1</v>
      </c>
      <c r="V1401" s="2">
        <f>IF(Table4[[#This Row],[linear?]],Table4[[#This Row],[av]],10^(Table4[[#This Row],[av]]/10))</f>
        <v>0</v>
      </c>
      <c r="W1401" s="2">
        <f>IF(Table4[[#This Row],[linear?]],Table4[[#This Row],[av]],10^(Table4[[#This Row],[av]]/10))</f>
        <v>0</v>
      </c>
      <c r="X1401" s="2">
        <f>Table4[[#This Row],[av_lin]]-2*Table4[[#This Row],[std_lin]]</f>
        <v>0</v>
      </c>
      <c r="Y1401" s="2">
        <f>Table4[[#This Row],[av_lin]]+2*Table4[[#This Row],[std_lin]]</f>
        <v>0</v>
      </c>
    </row>
    <row r="1402" spans="1:25" x14ac:dyDescent="0.35">
      <c r="A1402" s="1">
        <v>179</v>
      </c>
      <c r="B1402" t="s">
        <v>75</v>
      </c>
      <c r="C1402" t="s">
        <v>142</v>
      </c>
      <c r="D1402" t="s">
        <v>207</v>
      </c>
      <c r="E1402" s="2">
        <v>0</v>
      </c>
      <c r="F1402" s="2">
        <v>0</v>
      </c>
      <c r="G1402">
        <v>27</v>
      </c>
      <c r="H1402" t="s">
        <v>19</v>
      </c>
      <c r="M1402" s="2">
        <v>0</v>
      </c>
      <c r="N1402" s="2">
        <v>0</v>
      </c>
      <c r="O1402" s="2">
        <v>0</v>
      </c>
      <c r="R1402" t="str">
        <f t="shared" si="63"/>
        <v>no</v>
      </c>
      <c r="S1402" t="str">
        <f t="shared" si="64"/>
        <v>no</v>
      </c>
      <c r="T14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2" s="2" t="b">
        <f t="shared" si="65"/>
        <v>1</v>
      </c>
      <c r="V1402" s="2">
        <f>IF(Table4[[#This Row],[linear?]],Table4[[#This Row],[av]],10^(Table4[[#This Row],[av]]/10))</f>
        <v>0</v>
      </c>
      <c r="W1402" s="2">
        <f>IF(Table4[[#This Row],[linear?]],Table4[[#This Row],[av]],10^(Table4[[#This Row],[av]]/10))</f>
        <v>0</v>
      </c>
      <c r="X1402" s="2">
        <f>Table4[[#This Row],[av_lin]]-2*Table4[[#This Row],[std_lin]]</f>
        <v>0</v>
      </c>
      <c r="Y1402" s="2">
        <f>Table4[[#This Row],[av_lin]]+2*Table4[[#This Row],[std_lin]]</f>
        <v>0</v>
      </c>
    </row>
    <row r="1403" spans="1:25" x14ac:dyDescent="0.35">
      <c r="A1403" s="1">
        <v>180</v>
      </c>
      <c r="B1403" t="s">
        <v>75</v>
      </c>
      <c r="C1403" t="s">
        <v>142</v>
      </c>
      <c r="D1403" t="s">
        <v>208</v>
      </c>
      <c r="G1403">
        <v>27</v>
      </c>
      <c r="H1403" t="s">
        <v>19</v>
      </c>
      <c r="R1403" t="str">
        <f t="shared" si="63"/>
        <v>no</v>
      </c>
      <c r="S1403" t="str">
        <f t="shared" si="64"/>
        <v>no</v>
      </c>
      <c r="T14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3" s="2" t="b">
        <f t="shared" si="65"/>
        <v>1</v>
      </c>
      <c r="V1403" s="2">
        <f>IF(Table4[[#This Row],[linear?]],Table4[[#This Row],[av]],10^(Table4[[#This Row],[av]]/10))</f>
        <v>0</v>
      </c>
      <c r="W1403" s="2">
        <f>IF(Table4[[#This Row],[linear?]],Table4[[#This Row],[av]],10^(Table4[[#This Row],[av]]/10))</f>
        <v>0</v>
      </c>
      <c r="X1403" s="2">
        <f>Table4[[#This Row],[av_lin]]-2*Table4[[#This Row],[std_lin]]</f>
        <v>0</v>
      </c>
      <c r="Y1403" s="2">
        <f>Table4[[#This Row],[av_lin]]+2*Table4[[#This Row],[std_lin]]</f>
        <v>0</v>
      </c>
    </row>
    <row r="1404" spans="1:25" x14ac:dyDescent="0.35">
      <c r="A1404" s="1">
        <v>181</v>
      </c>
      <c r="B1404" t="s">
        <v>75</v>
      </c>
      <c r="C1404" t="s">
        <v>142</v>
      </c>
      <c r="D1404" t="s">
        <v>209</v>
      </c>
      <c r="G1404">
        <v>27</v>
      </c>
      <c r="H1404" t="s">
        <v>19</v>
      </c>
      <c r="R1404" t="str">
        <f t="shared" si="63"/>
        <v>no</v>
      </c>
      <c r="S1404" t="str">
        <f t="shared" si="64"/>
        <v>no</v>
      </c>
      <c r="T14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4" s="2" t="b">
        <f t="shared" si="65"/>
        <v>1</v>
      </c>
      <c r="V1404" s="2">
        <f>IF(Table4[[#This Row],[linear?]],Table4[[#This Row],[av]],10^(Table4[[#This Row],[av]]/10))</f>
        <v>0</v>
      </c>
      <c r="W1404" s="2">
        <f>IF(Table4[[#This Row],[linear?]],Table4[[#This Row],[av]],10^(Table4[[#This Row],[av]]/10))</f>
        <v>0</v>
      </c>
      <c r="X1404" s="2">
        <f>Table4[[#This Row],[av_lin]]-2*Table4[[#This Row],[std_lin]]</f>
        <v>0</v>
      </c>
      <c r="Y1404" s="2">
        <f>Table4[[#This Row],[av_lin]]+2*Table4[[#This Row],[std_lin]]</f>
        <v>0</v>
      </c>
    </row>
    <row r="1405" spans="1:25" x14ac:dyDescent="0.35">
      <c r="A1405" s="1">
        <v>182</v>
      </c>
      <c r="B1405" t="s">
        <v>75</v>
      </c>
      <c r="C1405" t="s">
        <v>142</v>
      </c>
      <c r="D1405" t="s">
        <v>210</v>
      </c>
      <c r="E1405" s="2">
        <v>0</v>
      </c>
      <c r="F1405" s="2">
        <v>0</v>
      </c>
      <c r="G1405">
        <v>27</v>
      </c>
      <c r="H1405" t="s">
        <v>19</v>
      </c>
      <c r="M1405" s="2">
        <v>0</v>
      </c>
      <c r="N1405" s="2">
        <v>0</v>
      </c>
      <c r="O1405" s="2">
        <v>0</v>
      </c>
      <c r="R1405" t="str">
        <f t="shared" si="63"/>
        <v>no</v>
      </c>
      <c r="S1405" t="str">
        <f t="shared" si="64"/>
        <v>no</v>
      </c>
      <c r="T14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5" s="2" t="b">
        <f t="shared" si="65"/>
        <v>1</v>
      </c>
      <c r="V1405" s="2">
        <f>IF(Table4[[#This Row],[linear?]],Table4[[#This Row],[av]],10^(Table4[[#This Row],[av]]/10))</f>
        <v>0</v>
      </c>
      <c r="W1405" s="2">
        <f>IF(Table4[[#This Row],[linear?]],Table4[[#This Row],[av]],10^(Table4[[#This Row],[av]]/10))</f>
        <v>0</v>
      </c>
      <c r="X1405" s="2">
        <f>Table4[[#This Row],[av_lin]]-2*Table4[[#This Row],[std_lin]]</f>
        <v>0</v>
      </c>
      <c r="Y1405" s="2">
        <f>Table4[[#This Row],[av_lin]]+2*Table4[[#This Row],[std_lin]]</f>
        <v>0</v>
      </c>
    </row>
    <row r="1406" spans="1:25" x14ac:dyDescent="0.35">
      <c r="A1406" s="1">
        <v>183</v>
      </c>
      <c r="B1406" t="s">
        <v>75</v>
      </c>
      <c r="C1406" t="s">
        <v>142</v>
      </c>
      <c r="D1406" t="s">
        <v>211</v>
      </c>
      <c r="G1406">
        <v>27</v>
      </c>
      <c r="H1406" t="s">
        <v>19</v>
      </c>
      <c r="R1406" t="str">
        <f t="shared" si="63"/>
        <v>no</v>
      </c>
      <c r="S1406" t="str">
        <f t="shared" si="64"/>
        <v>no</v>
      </c>
      <c r="T14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6" s="2" t="b">
        <f t="shared" si="65"/>
        <v>1</v>
      </c>
      <c r="V1406" s="2">
        <f>IF(Table4[[#This Row],[linear?]],Table4[[#This Row],[av]],10^(Table4[[#This Row],[av]]/10))</f>
        <v>0</v>
      </c>
      <c r="W1406" s="2">
        <f>IF(Table4[[#This Row],[linear?]],Table4[[#This Row],[av]],10^(Table4[[#This Row],[av]]/10))</f>
        <v>0</v>
      </c>
      <c r="X1406" s="2">
        <f>Table4[[#This Row],[av_lin]]-2*Table4[[#This Row],[std_lin]]</f>
        <v>0</v>
      </c>
      <c r="Y1406" s="2">
        <f>Table4[[#This Row],[av_lin]]+2*Table4[[#This Row],[std_lin]]</f>
        <v>0</v>
      </c>
    </row>
    <row r="1407" spans="1:25" x14ac:dyDescent="0.35">
      <c r="A1407" s="1">
        <v>184</v>
      </c>
      <c r="B1407" t="s">
        <v>75</v>
      </c>
      <c r="C1407" t="s">
        <v>142</v>
      </c>
      <c r="D1407" t="s">
        <v>212</v>
      </c>
      <c r="G1407">
        <v>27</v>
      </c>
      <c r="H1407" t="s">
        <v>19</v>
      </c>
      <c r="R1407" t="str">
        <f t="shared" si="63"/>
        <v>no</v>
      </c>
      <c r="S1407" t="str">
        <f t="shared" si="64"/>
        <v>no</v>
      </c>
      <c r="T14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7" s="2" t="b">
        <f t="shared" si="65"/>
        <v>1</v>
      </c>
      <c r="V1407" s="2">
        <f>IF(Table4[[#This Row],[linear?]],Table4[[#This Row],[av]],10^(Table4[[#This Row],[av]]/10))</f>
        <v>0</v>
      </c>
      <c r="W1407" s="2">
        <f>IF(Table4[[#This Row],[linear?]],Table4[[#This Row],[av]],10^(Table4[[#This Row],[av]]/10))</f>
        <v>0</v>
      </c>
      <c r="X1407" s="2">
        <f>Table4[[#This Row],[av_lin]]-2*Table4[[#This Row],[std_lin]]</f>
        <v>0</v>
      </c>
      <c r="Y1407" s="2">
        <f>Table4[[#This Row],[av_lin]]+2*Table4[[#This Row],[std_lin]]</f>
        <v>0</v>
      </c>
    </row>
    <row r="1408" spans="1:25" x14ac:dyDescent="0.35">
      <c r="A1408" s="1">
        <v>185</v>
      </c>
      <c r="B1408" t="s">
        <v>75</v>
      </c>
      <c r="C1408" t="s">
        <v>142</v>
      </c>
      <c r="D1408" t="s">
        <v>213</v>
      </c>
      <c r="E1408" s="2">
        <v>0</v>
      </c>
      <c r="F1408" s="2">
        <v>0</v>
      </c>
      <c r="G1408">
        <v>27</v>
      </c>
      <c r="H1408" t="s">
        <v>19</v>
      </c>
      <c r="M1408" s="2">
        <v>0</v>
      </c>
      <c r="N1408" s="2">
        <v>0</v>
      </c>
      <c r="O1408" s="2">
        <v>0</v>
      </c>
      <c r="R1408" t="str">
        <f t="shared" si="63"/>
        <v>no</v>
      </c>
      <c r="S1408" t="str">
        <f t="shared" si="64"/>
        <v>no</v>
      </c>
      <c r="T14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8" s="2" t="b">
        <f t="shared" si="65"/>
        <v>1</v>
      </c>
      <c r="V1408" s="2">
        <f>IF(Table4[[#This Row],[linear?]],Table4[[#This Row],[av]],10^(Table4[[#This Row],[av]]/10))</f>
        <v>0</v>
      </c>
      <c r="W1408" s="2">
        <f>IF(Table4[[#This Row],[linear?]],Table4[[#This Row],[av]],10^(Table4[[#This Row],[av]]/10))</f>
        <v>0</v>
      </c>
      <c r="X1408" s="2">
        <f>Table4[[#This Row],[av_lin]]-2*Table4[[#This Row],[std_lin]]</f>
        <v>0</v>
      </c>
      <c r="Y1408" s="2">
        <f>Table4[[#This Row],[av_lin]]+2*Table4[[#This Row],[std_lin]]</f>
        <v>0</v>
      </c>
    </row>
    <row r="1409" spans="1:25" x14ac:dyDescent="0.35">
      <c r="A1409" s="1">
        <v>186</v>
      </c>
      <c r="B1409" t="s">
        <v>75</v>
      </c>
      <c r="C1409" t="s">
        <v>142</v>
      </c>
      <c r="D1409" t="s">
        <v>214</v>
      </c>
      <c r="G1409">
        <v>27</v>
      </c>
      <c r="H1409" t="s">
        <v>19</v>
      </c>
      <c r="R1409" t="str">
        <f t="shared" si="63"/>
        <v>no</v>
      </c>
      <c r="S1409" t="str">
        <f t="shared" si="64"/>
        <v>no</v>
      </c>
      <c r="T14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9" s="2" t="b">
        <f t="shared" si="65"/>
        <v>1</v>
      </c>
      <c r="V1409" s="2">
        <f>IF(Table4[[#This Row],[linear?]],Table4[[#This Row],[av]],10^(Table4[[#This Row],[av]]/10))</f>
        <v>0</v>
      </c>
      <c r="W1409" s="2">
        <f>IF(Table4[[#This Row],[linear?]],Table4[[#This Row],[av]],10^(Table4[[#This Row],[av]]/10))</f>
        <v>0</v>
      </c>
      <c r="X1409" s="2">
        <f>Table4[[#This Row],[av_lin]]-2*Table4[[#This Row],[std_lin]]</f>
        <v>0</v>
      </c>
      <c r="Y1409" s="2">
        <f>Table4[[#This Row],[av_lin]]+2*Table4[[#This Row],[std_lin]]</f>
        <v>0</v>
      </c>
    </row>
    <row r="1410" spans="1:25" x14ac:dyDescent="0.35">
      <c r="A1410" s="1">
        <v>187</v>
      </c>
      <c r="B1410" t="s">
        <v>75</v>
      </c>
      <c r="C1410" t="s">
        <v>142</v>
      </c>
      <c r="D1410" t="s">
        <v>215</v>
      </c>
      <c r="G1410">
        <v>27</v>
      </c>
      <c r="H1410" t="s">
        <v>19</v>
      </c>
      <c r="R1410" t="str">
        <f t="shared" ref="R1410:R1473" si="66">IF(H1410="yes","yes","no")</f>
        <v>no</v>
      </c>
      <c r="S1410" t="str">
        <f t="shared" ref="S1410:S1473" si="67">IF(I1410,"yes","no")</f>
        <v>no</v>
      </c>
      <c r="T14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0" s="2" t="b">
        <f t="shared" ref="U1410:U1473" si="68">NOT(ISNUMBER(SEARCH("RFIC*POWER", D1410)))</f>
        <v>1</v>
      </c>
      <c r="V1410" s="2">
        <f>IF(Table4[[#This Row],[linear?]],Table4[[#This Row],[av]],10^(Table4[[#This Row],[av]]/10))</f>
        <v>0</v>
      </c>
      <c r="W1410" s="2">
        <f>IF(Table4[[#This Row],[linear?]],Table4[[#This Row],[av]],10^(Table4[[#This Row],[av]]/10))</f>
        <v>0</v>
      </c>
      <c r="X1410" s="2">
        <f>Table4[[#This Row],[av_lin]]-2*Table4[[#This Row],[std_lin]]</f>
        <v>0</v>
      </c>
      <c r="Y1410" s="2">
        <f>Table4[[#This Row],[av_lin]]+2*Table4[[#This Row],[std_lin]]</f>
        <v>0</v>
      </c>
    </row>
    <row r="1411" spans="1:25" x14ac:dyDescent="0.35">
      <c r="A1411" s="1">
        <v>188</v>
      </c>
      <c r="B1411" t="s">
        <v>75</v>
      </c>
      <c r="C1411" t="s">
        <v>142</v>
      </c>
      <c r="D1411" t="s">
        <v>216</v>
      </c>
      <c r="E1411" s="2">
        <v>0</v>
      </c>
      <c r="F1411" s="2">
        <v>0</v>
      </c>
      <c r="G1411">
        <v>27</v>
      </c>
      <c r="H1411" t="s">
        <v>19</v>
      </c>
      <c r="M1411" s="2">
        <v>0</v>
      </c>
      <c r="N1411" s="2">
        <v>0</v>
      </c>
      <c r="O1411" s="2">
        <v>0</v>
      </c>
      <c r="R1411" t="str">
        <f t="shared" si="66"/>
        <v>no</v>
      </c>
      <c r="S1411" t="str">
        <f t="shared" si="67"/>
        <v>no</v>
      </c>
      <c r="T14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1" s="2" t="b">
        <f t="shared" si="68"/>
        <v>1</v>
      </c>
      <c r="V1411" s="2">
        <f>IF(Table4[[#This Row],[linear?]],Table4[[#This Row],[av]],10^(Table4[[#This Row],[av]]/10))</f>
        <v>0</v>
      </c>
      <c r="W1411" s="2">
        <f>IF(Table4[[#This Row],[linear?]],Table4[[#This Row],[av]],10^(Table4[[#This Row],[av]]/10))</f>
        <v>0</v>
      </c>
      <c r="X1411" s="2">
        <f>Table4[[#This Row],[av_lin]]-2*Table4[[#This Row],[std_lin]]</f>
        <v>0</v>
      </c>
      <c r="Y1411" s="2">
        <f>Table4[[#This Row],[av_lin]]+2*Table4[[#This Row],[std_lin]]</f>
        <v>0</v>
      </c>
    </row>
    <row r="1412" spans="1:25" x14ac:dyDescent="0.35">
      <c r="A1412" s="1">
        <v>189</v>
      </c>
      <c r="B1412" t="s">
        <v>75</v>
      </c>
      <c r="C1412" t="s">
        <v>142</v>
      </c>
      <c r="D1412" t="s">
        <v>217</v>
      </c>
      <c r="G1412">
        <v>27</v>
      </c>
      <c r="H1412" t="s">
        <v>19</v>
      </c>
      <c r="R1412" t="str">
        <f t="shared" si="66"/>
        <v>no</v>
      </c>
      <c r="S1412" t="str">
        <f t="shared" si="67"/>
        <v>no</v>
      </c>
      <c r="T14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2" s="2" t="b">
        <f t="shared" si="68"/>
        <v>1</v>
      </c>
      <c r="V1412" s="2">
        <f>IF(Table4[[#This Row],[linear?]],Table4[[#This Row],[av]],10^(Table4[[#This Row],[av]]/10))</f>
        <v>0</v>
      </c>
      <c r="W1412" s="2">
        <f>IF(Table4[[#This Row],[linear?]],Table4[[#This Row],[av]],10^(Table4[[#This Row],[av]]/10))</f>
        <v>0</v>
      </c>
      <c r="X1412" s="2">
        <f>Table4[[#This Row],[av_lin]]-2*Table4[[#This Row],[std_lin]]</f>
        <v>0</v>
      </c>
      <c r="Y1412" s="2">
        <f>Table4[[#This Row],[av_lin]]+2*Table4[[#This Row],[std_lin]]</f>
        <v>0</v>
      </c>
    </row>
    <row r="1413" spans="1:25" x14ac:dyDescent="0.35">
      <c r="A1413" s="1">
        <v>190</v>
      </c>
      <c r="B1413" t="s">
        <v>75</v>
      </c>
      <c r="C1413" t="s">
        <v>142</v>
      </c>
      <c r="D1413" t="s">
        <v>218</v>
      </c>
      <c r="G1413">
        <v>27</v>
      </c>
      <c r="H1413" t="s">
        <v>19</v>
      </c>
      <c r="R1413" t="str">
        <f t="shared" si="66"/>
        <v>no</v>
      </c>
      <c r="S1413" t="str">
        <f t="shared" si="67"/>
        <v>no</v>
      </c>
      <c r="T14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3" s="2" t="b">
        <f t="shared" si="68"/>
        <v>1</v>
      </c>
      <c r="V1413" s="2">
        <f>IF(Table4[[#This Row],[linear?]],Table4[[#This Row],[av]],10^(Table4[[#This Row],[av]]/10))</f>
        <v>0</v>
      </c>
      <c r="W1413" s="2">
        <f>IF(Table4[[#This Row],[linear?]],Table4[[#This Row],[av]],10^(Table4[[#This Row],[av]]/10))</f>
        <v>0</v>
      </c>
      <c r="X1413" s="2">
        <f>Table4[[#This Row],[av_lin]]-2*Table4[[#This Row],[std_lin]]</f>
        <v>0</v>
      </c>
      <c r="Y1413" s="2">
        <f>Table4[[#This Row],[av_lin]]+2*Table4[[#This Row],[std_lin]]</f>
        <v>0</v>
      </c>
    </row>
    <row r="1414" spans="1:25" x14ac:dyDescent="0.35">
      <c r="A1414" s="1">
        <v>191</v>
      </c>
      <c r="B1414" t="s">
        <v>75</v>
      </c>
      <c r="C1414" t="s">
        <v>142</v>
      </c>
      <c r="D1414" t="s">
        <v>219</v>
      </c>
      <c r="E1414" s="2">
        <v>0</v>
      </c>
      <c r="F1414" s="2">
        <v>0</v>
      </c>
      <c r="G1414">
        <v>27</v>
      </c>
      <c r="H1414" t="s">
        <v>19</v>
      </c>
      <c r="M1414" s="2">
        <v>0</v>
      </c>
      <c r="N1414" s="2">
        <v>0</v>
      </c>
      <c r="O1414" s="2">
        <v>0</v>
      </c>
      <c r="R1414" t="str">
        <f t="shared" si="66"/>
        <v>no</v>
      </c>
      <c r="S1414" t="str">
        <f t="shared" si="67"/>
        <v>no</v>
      </c>
      <c r="T14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4" s="2" t="b">
        <f t="shared" si="68"/>
        <v>1</v>
      </c>
      <c r="V1414" s="2">
        <f>IF(Table4[[#This Row],[linear?]],Table4[[#This Row],[av]],10^(Table4[[#This Row],[av]]/10))</f>
        <v>0</v>
      </c>
      <c r="W1414" s="2">
        <f>IF(Table4[[#This Row],[linear?]],Table4[[#This Row],[av]],10^(Table4[[#This Row],[av]]/10))</f>
        <v>0</v>
      </c>
      <c r="X1414" s="2">
        <f>Table4[[#This Row],[av_lin]]-2*Table4[[#This Row],[std_lin]]</f>
        <v>0</v>
      </c>
      <c r="Y1414" s="2">
        <f>Table4[[#This Row],[av_lin]]+2*Table4[[#This Row],[std_lin]]</f>
        <v>0</v>
      </c>
    </row>
    <row r="1415" spans="1:25" x14ac:dyDescent="0.35">
      <c r="A1415" s="1">
        <v>192</v>
      </c>
      <c r="B1415" t="s">
        <v>75</v>
      </c>
      <c r="C1415" t="s">
        <v>142</v>
      </c>
      <c r="D1415" t="s">
        <v>220</v>
      </c>
      <c r="G1415">
        <v>27</v>
      </c>
      <c r="H1415" t="s">
        <v>19</v>
      </c>
      <c r="R1415" t="str">
        <f t="shared" si="66"/>
        <v>no</v>
      </c>
      <c r="S1415" t="str">
        <f t="shared" si="67"/>
        <v>no</v>
      </c>
      <c r="T14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5" s="2" t="b">
        <f t="shared" si="68"/>
        <v>1</v>
      </c>
      <c r="V1415" s="2">
        <f>IF(Table4[[#This Row],[linear?]],Table4[[#This Row],[av]],10^(Table4[[#This Row],[av]]/10))</f>
        <v>0</v>
      </c>
      <c r="W1415" s="2">
        <f>IF(Table4[[#This Row],[linear?]],Table4[[#This Row],[av]],10^(Table4[[#This Row],[av]]/10))</f>
        <v>0</v>
      </c>
      <c r="X1415" s="2">
        <f>Table4[[#This Row],[av_lin]]-2*Table4[[#This Row],[std_lin]]</f>
        <v>0</v>
      </c>
      <c r="Y1415" s="2">
        <f>Table4[[#This Row],[av_lin]]+2*Table4[[#This Row],[std_lin]]</f>
        <v>0</v>
      </c>
    </row>
    <row r="1416" spans="1:25" x14ac:dyDescent="0.35">
      <c r="A1416" s="1">
        <v>193</v>
      </c>
      <c r="B1416" t="s">
        <v>75</v>
      </c>
      <c r="C1416" t="s">
        <v>142</v>
      </c>
      <c r="D1416" t="s">
        <v>221</v>
      </c>
      <c r="G1416">
        <v>27</v>
      </c>
      <c r="H1416" t="s">
        <v>19</v>
      </c>
      <c r="R1416" t="str">
        <f t="shared" si="66"/>
        <v>no</v>
      </c>
      <c r="S1416" t="str">
        <f t="shared" si="67"/>
        <v>no</v>
      </c>
      <c r="T14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6" s="2" t="b">
        <f t="shared" si="68"/>
        <v>1</v>
      </c>
      <c r="V1416" s="2">
        <f>IF(Table4[[#This Row],[linear?]],Table4[[#This Row],[av]],10^(Table4[[#This Row],[av]]/10))</f>
        <v>0</v>
      </c>
      <c r="W1416" s="2">
        <f>IF(Table4[[#This Row],[linear?]],Table4[[#This Row],[av]],10^(Table4[[#This Row],[av]]/10))</f>
        <v>0</v>
      </c>
      <c r="X1416" s="2">
        <f>Table4[[#This Row],[av_lin]]-2*Table4[[#This Row],[std_lin]]</f>
        <v>0</v>
      </c>
      <c r="Y1416" s="2">
        <f>Table4[[#This Row],[av_lin]]+2*Table4[[#This Row],[std_lin]]</f>
        <v>0</v>
      </c>
    </row>
    <row r="1417" spans="1:25" x14ac:dyDescent="0.35">
      <c r="A1417" s="1">
        <v>194</v>
      </c>
      <c r="B1417" t="s">
        <v>75</v>
      </c>
      <c r="C1417" t="s">
        <v>142</v>
      </c>
      <c r="D1417" t="s">
        <v>222</v>
      </c>
      <c r="E1417" s="2">
        <v>0</v>
      </c>
      <c r="F1417" s="2">
        <v>0</v>
      </c>
      <c r="G1417">
        <v>27</v>
      </c>
      <c r="H1417" t="s">
        <v>19</v>
      </c>
      <c r="M1417" s="2">
        <v>0</v>
      </c>
      <c r="N1417" s="2">
        <v>0</v>
      </c>
      <c r="O1417" s="2">
        <v>0</v>
      </c>
      <c r="R1417" t="str">
        <f t="shared" si="66"/>
        <v>no</v>
      </c>
      <c r="S1417" t="str">
        <f t="shared" si="67"/>
        <v>no</v>
      </c>
      <c r="T14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7" s="2" t="b">
        <f t="shared" si="68"/>
        <v>1</v>
      </c>
      <c r="V1417" s="2">
        <f>IF(Table4[[#This Row],[linear?]],Table4[[#This Row],[av]],10^(Table4[[#This Row],[av]]/10))</f>
        <v>0</v>
      </c>
      <c r="W1417" s="2">
        <f>IF(Table4[[#This Row],[linear?]],Table4[[#This Row],[av]],10^(Table4[[#This Row],[av]]/10))</f>
        <v>0</v>
      </c>
      <c r="X1417" s="2">
        <f>Table4[[#This Row],[av_lin]]-2*Table4[[#This Row],[std_lin]]</f>
        <v>0</v>
      </c>
      <c r="Y1417" s="2">
        <f>Table4[[#This Row],[av_lin]]+2*Table4[[#This Row],[std_lin]]</f>
        <v>0</v>
      </c>
    </row>
    <row r="1418" spans="1:25" x14ac:dyDescent="0.35">
      <c r="A1418" s="1">
        <v>195</v>
      </c>
      <c r="B1418" t="s">
        <v>75</v>
      </c>
      <c r="C1418" t="s">
        <v>142</v>
      </c>
      <c r="D1418" t="s">
        <v>223</v>
      </c>
      <c r="G1418">
        <v>27</v>
      </c>
      <c r="H1418" t="s">
        <v>19</v>
      </c>
      <c r="R1418" t="str">
        <f t="shared" si="66"/>
        <v>no</v>
      </c>
      <c r="S1418" t="str">
        <f t="shared" si="67"/>
        <v>no</v>
      </c>
      <c r="T14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8" s="2" t="b">
        <f t="shared" si="68"/>
        <v>1</v>
      </c>
      <c r="V1418" s="2">
        <f>IF(Table4[[#This Row],[linear?]],Table4[[#This Row],[av]],10^(Table4[[#This Row],[av]]/10))</f>
        <v>0</v>
      </c>
      <c r="W1418" s="2">
        <f>IF(Table4[[#This Row],[linear?]],Table4[[#This Row],[av]],10^(Table4[[#This Row],[av]]/10))</f>
        <v>0</v>
      </c>
      <c r="X1418" s="2">
        <f>Table4[[#This Row],[av_lin]]-2*Table4[[#This Row],[std_lin]]</f>
        <v>0</v>
      </c>
      <c r="Y1418" s="2">
        <f>Table4[[#This Row],[av_lin]]+2*Table4[[#This Row],[std_lin]]</f>
        <v>0</v>
      </c>
    </row>
    <row r="1419" spans="1:25" x14ac:dyDescent="0.35">
      <c r="A1419" s="1">
        <v>196</v>
      </c>
      <c r="B1419" t="s">
        <v>75</v>
      </c>
      <c r="C1419" t="s">
        <v>142</v>
      </c>
      <c r="D1419" t="s">
        <v>224</v>
      </c>
      <c r="G1419">
        <v>27</v>
      </c>
      <c r="H1419" t="s">
        <v>19</v>
      </c>
      <c r="R1419" t="str">
        <f t="shared" si="66"/>
        <v>no</v>
      </c>
      <c r="S1419" t="str">
        <f t="shared" si="67"/>
        <v>no</v>
      </c>
      <c r="T14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9" s="2" t="b">
        <f t="shared" si="68"/>
        <v>1</v>
      </c>
      <c r="V1419" s="2">
        <f>IF(Table4[[#This Row],[linear?]],Table4[[#This Row],[av]],10^(Table4[[#This Row],[av]]/10))</f>
        <v>0</v>
      </c>
      <c r="W1419" s="2">
        <f>IF(Table4[[#This Row],[linear?]],Table4[[#This Row],[av]],10^(Table4[[#This Row],[av]]/10))</f>
        <v>0</v>
      </c>
      <c r="X1419" s="2">
        <f>Table4[[#This Row],[av_lin]]-2*Table4[[#This Row],[std_lin]]</f>
        <v>0</v>
      </c>
      <c r="Y1419" s="2">
        <f>Table4[[#This Row],[av_lin]]+2*Table4[[#This Row],[std_lin]]</f>
        <v>0</v>
      </c>
    </row>
    <row r="1420" spans="1:25" x14ac:dyDescent="0.35">
      <c r="A1420" s="1">
        <v>197</v>
      </c>
      <c r="B1420" t="s">
        <v>75</v>
      </c>
      <c r="C1420" t="s">
        <v>142</v>
      </c>
      <c r="D1420" t="s">
        <v>225</v>
      </c>
      <c r="E1420" s="2">
        <v>0</v>
      </c>
      <c r="F1420" s="2">
        <v>0</v>
      </c>
      <c r="G1420">
        <v>27</v>
      </c>
      <c r="H1420" t="s">
        <v>19</v>
      </c>
      <c r="M1420" s="2">
        <v>0</v>
      </c>
      <c r="N1420" s="2">
        <v>0</v>
      </c>
      <c r="O1420" s="2">
        <v>0</v>
      </c>
      <c r="R1420" t="str">
        <f t="shared" si="66"/>
        <v>no</v>
      </c>
      <c r="S1420" t="str">
        <f t="shared" si="67"/>
        <v>no</v>
      </c>
      <c r="T14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0" s="2" t="b">
        <f t="shared" si="68"/>
        <v>1</v>
      </c>
      <c r="V1420" s="2">
        <f>IF(Table4[[#This Row],[linear?]],Table4[[#This Row],[av]],10^(Table4[[#This Row],[av]]/10))</f>
        <v>0</v>
      </c>
      <c r="W1420" s="2">
        <f>IF(Table4[[#This Row],[linear?]],Table4[[#This Row],[av]],10^(Table4[[#This Row],[av]]/10))</f>
        <v>0</v>
      </c>
      <c r="X1420" s="2">
        <f>Table4[[#This Row],[av_lin]]-2*Table4[[#This Row],[std_lin]]</f>
        <v>0</v>
      </c>
      <c r="Y1420" s="2">
        <f>Table4[[#This Row],[av_lin]]+2*Table4[[#This Row],[std_lin]]</f>
        <v>0</v>
      </c>
    </row>
    <row r="1421" spans="1:25" x14ac:dyDescent="0.35">
      <c r="A1421" s="1">
        <v>198</v>
      </c>
      <c r="B1421" t="s">
        <v>75</v>
      </c>
      <c r="C1421" t="s">
        <v>142</v>
      </c>
      <c r="D1421" t="s">
        <v>226</v>
      </c>
      <c r="G1421">
        <v>27</v>
      </c>
      <c r="H1421" t="s">
        <v>19</v>
      </c>
      <c r="R1421" t="str">
        <f t="shared" si="66"/>
        <v>no</v>
      </c>
      <c r="S1421" t="str">
        <f t="shared" si="67"/>
        <v>no</v>
      </c>
      <c r="T14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1" s="2" t="b">
        <f t="shared" si="68"/>
        <v>1</v>
      </c>
      <c r="V1421" s="2">
        <f>IF(Table4[[#This Row],[linear?]],Table4[[#This Row],[av]],10^(Table4[[#This Row],[av]]/10))</f>
        <v>0</v>
      </c>
      <c r="W1421" s="2">
        <f>IF(Table4[[#This Row],[linear?]],Table4[[#This Row],[av]],10^(Table4[[#This Row],[av]]/10))</f>
        <v>0</v>
      </c>
      <c r="X1421" s="2">
        <f>Table4[[#This Row],[av_lin]]-2*Table4[[#This Row],[std_lin]]</f>
        <v>0</v>
      </c>
      <c r="Y1421" s="2">
        <f>Table4[[#This Row],[av_lin]]+2*Table4[[#This Row],[std_lin]]</f>
        <v>0</v>
      </c>
    </row>
    <row r="1422" spans="1:25" x14ac:dyDescent="0.35">
      <c r="A1422" s="1">
        <v>199</v>
      </c>
      <c r="B1422" t="s">
        <v>75</v>
      </c>
      <c r="C1422" t="s">
        <v>142</v>
      </c>
      <c r="D1422" t="s">
        <v>227</v>
      </c>
      <c r="G1422">
        <v>27</v>
      </c>
      <c r="H1422" t="s">
        <v>19</v>
      </c>
      <c r="R1422" t="str">
        <f t="shared" si="66"/>
        <v>no</v>
      </c>
      <c r="S1422" t="str">
        <f t="shared" si="67"/>
        <v>no</v>
      </c>
      <c r="T14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2" s="2" t="b">
        <f t="shared" si="68"/>
        <v>1</v>
      </c>
      <c r="V1422" s="2">
        <f>IF(Table4[[#This Row],[linear?]],Table4[[#This Row],[av]],10^(Table4[[#This Row],[av]]/10))</f>
        <v>0</v>
      </c>
      <c r="W1422" s="2">
        <f>IF(Table4[[#This Row],[linear?]],Table4[[#This Row],[av]],10^(Table4[[#This Row],[av]]/10))</f>
        <v>0</v>
      </c>
      <c r="X1422" s="2">
        <f>Table4[[#This Row],[av_lin]]-2*Table4[[#This Row],[std_lin]]</f>
        <v>0</v>
      </c>
      <c r="Y1422" s="2">
        <f>Table4[[#This Row],[av_lin]]+2*Table4[[#This Row],[std_lin]]</f>
        <v>0</v>
      </c>
    </row>
    <row r="1423" spans="1:25" x14ac:dyDescent="0.35">
      <c r="A1423" s="1">
        <v>200</v>
      </c>
      <c r="B1423" t="s">
        <v>75</v>
      </c>
      <c r="C1423" t="s">
        <v>142</v>
      </c>
      <c r="D1423" t="s">
        <v>228</v>
      </c>
      <c r="E1423" s="2">
        <v>0</v>
      </c>
      <c r="F1423" s="2">
        <v>0</v>
      </c>
      <c r="G1423">
        <v>27</v>
      </c>
      <c r="H1423" t="s">
        <v>19</v>
      </c>
      <c r="M1423" s="2">
        <v>0</v>
      </c>
      <c r="N1423" s="2">
        <v>0</v>
      </c>
      <c r="O1423" s="2">
        <v>0</v>
      </c>
      <c r="R1423" t="str">
        <f t="shared" si="66"/>
        <v>no</v>
      </c>
      <c r="S1423" t="str">
        <f t="shared" si="67"/>
        <v>no</v>
      </c>
      <c r="T14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3" s="2" t="b">
        <f t="shared" si="68"/>
        <v>1</v>
      </c>
      <c r="V1423" s="2">
        <f>IF(Table4[[#This Row],[linear?]],Table4[[#This Row],[av]],10^(Table4[[#This Row],[av]]/10))</f>
        <v>0</v>
      </c>
      <c r="W1423" s="2">
        <f>IF(Table4[[#This Row],[linear?]],Table4[[#This Row],[av]],10^(Table4[[#This Row],[av]]/10))</f>
        <v>0</v>
      </c>
      <c r="X1423" s="2">
        <f>Table4[[#This Row],[av_lin]]-2*Table4[[#This Row],[std_lin]]</f>
        <v>0</v>
      </c>
      <c r="Y1423" s="2">
        <f>Table4[[#This Row],[av_lin]]+2*Table4[[#This Row],[std_lin]]</f>
        <v>0</v>
      </c>
    </row>
    <row r="1424" spans="1:25" x14ac:dyDescent="0.35">
      <c r="A1424" s="1">
        <v>201</v>
      </c>
      <c r="B1424" t="s">
        <v>75</v>
      </c>
      <c r="C1424" t="s">
        <v>142</v>
      </c>
      <c r="D1424" t="s">
        <v>229</v>
      </c>
      <c r="G1424">
        <v>27</v>
      </c>
      <c r="H1424" t="s">
        <v>19</v>
      </c>
      <c r="R1424" t="str">
        <f t="shared" si="66"/>
        <v>no</v>
      </c>
      <c r="S1424" t="str">
        <f t="shared" si="67"/>
        <v>no</v>
      </c>
      <c r="T14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4" s="2" t="b">
        <f t="shared" si="68"/>
        <v>1</v>
      </c>
      <c r="V1424" s="2">
        <f>IF(Table4[[#This Row],[linear?]],Table4[[#This Row],[av]],10^(Table4[[#This Row],[av]]/10))</f>
        <v>0</v>
      </c>
      <c r="W1424" s="2">
        <f>IF(Table4[[#This Row],[linear?]],Table4[[#This Row],[av]],10^(Table4[[#This Row],[av]]/10))</f>
        <v>0</v>
      </c>
      <c r="X1424" s="2">
        <f>Table4[[#This Row],[av_lin]]-2*Table4[[#This Row],[std_lin]]</f>
        <v>0</v>
      </c>
      <c r="Y1424" s="2">
        <f>Table4[[#This Row],[av_lin]]+2*Table4[[#This Row],[std_lin]]</f>
        <v>0</v>
      </c>
    </row>
    <row r="1425" spans="1:25" x14ac:dyDescent="0.35">
      <c r="A1425" s="1">
        <v>202</v>
      </c>
      <c r="B1425" t="s">
        <v>75</v>
      </c>
      <c r="C1425" t="s">
        <v>142</v>
      </c>
      <c r="D1425" t="s">
        <v>230</v>
      </c>
      <c r="G1425">
        <v>27</v>
      </c>
      <c r="H1425" t="s">
        <v>19</v>
      </c>
      <c r="R1425" t="str">
        <f t="shared" si="66"/>
        <v>no</v>
      </c>
      <c r="S1425" t="str">
        <f t="shared" si="67"/>
        <v>no</v>
      </c>
      <c r="T14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5" s="2" t="b">
        <f t="shared" si="68"/>
        <v>1</v>
      </c>
      <c r="V1425" s="2">
        <f>IF(Table4[[#This Row],[linear?]],Table4[[#This Row],[av]],10^(Table4[[#This Row],[av]]/10))</f>
        <v>0</v>
      </c>
      <c r="W1425" s="2">
        <f>IF(Table4[[#This Row],[linear?]],Table4[[#This Row],[av]],10^(Table4[[#This Row],[av]]/10))</f>
        <v>0</v>
      </c>
      <c r="X1425" s="2">
        <f>Table4[[#This Row],[av_lin]]-2*Table4[[#This Row],[std_lin]]</f>
        <v>0</v>
      </c>
      <c r="Y1425" s="2">
        <f>Table4[[#This Row],[av_lin]]+2*Table4[[#This Row],[std_lin]]</f>
        <v>0</v>
      </c>
    </row>
    <row r="1426" spans="1:25" x14ac:dyDescent="0.35">
      <c r="A1426" s="1">
        <v>203</v>
      </c>
      <c r="B1426" t="s">
        <v>75</v>
      </c>
      <c r="C1426" t="s">
        <v>142</v>
      </c>
      <c r="D1426" t="s">
        <v>231</v>
      </c>
      <c r="E1426" s="2">
        <v>0</v>
      </c>
      <c r="F1426" s="2">
        <v>0</v>
      </c>
      <c r="G1426">
        <v>27</v>
      </c>
      <c r="H1426" t="s">
        <v>19</v>
      </c>
      <c r="M1426" s="2">
        <v>0</v>
      </c>
      <c r="N1426" s="2">
        <v>0</v>
      </c>
      <c r="O1426" s="2">
        <v>0</v>
      </c>
      <c r="R1426" t="str">
        <f t="shared" si="66"/>
        <v>no</v>
      </c>
      <c r="S1426" t="str">
        <f t="shared" si="67"/>
        <v>no</v>
      </c>
      <c r="T14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6" s="2" t="b">
        <f t="shared" si="68"/>
        <v>1</v>
      </c>
      <c r="V1426" s="2">
        <f>IF(Table4[[#This Row],[linear?]],Table4[[#This Row],[av]],10^(Table4[[#This Row],[av]]/10))</f>
        <v>0</v>
      </c>
      <c r="W1426" s="2">
        <f>IF(Table4[[#This Row],[linear?]],Table4[[#This Row],[av]],10^(Table4[[#This Row],[av]]/10))</f>
        <v>0</v>
      </c>
      <c r="X1426" s="2">
        <f>Table4[[#This Row],[av_lin]]-2*Table4[[#This Row],[std_lin]]</f>
        <v>0</v>
      </c>
      <c r="Y1426" s="2">
        <f>Table4[[#This Row],[av_lin]]+2*Table4[[#This Row],[std_lin]]</f>
        <v>0</v>
      </c>
    </row>
    <row r="1427" spans="1:25" x14ac:dyDescent="0.35">
      <c r="A1427" s="1">
        <v>204</v>
      </c>
      <c r="B1427" t="s">
        <v>75</v>
      </c>
      <c r="C1427" t="s">
        <v>142</v>
      </c>
      <c r="D1427" t="s">
        <v>232</v>
      </c>
      <c r="G1427">
        <v>27</v>
      </c>
      <c r="H1427" t="s">
        <v>19</v>
      </c>
      <c r="R1427" t="str">
        <f t="shared" si="66"/>
        <v>no</v>
      </c>
      <c r="S1427" t="str">
        <f t="shared" si="67"/>
        <v>no</v>
      </c>
      <c r="T14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7" s="2" t="b">
        <f t="shared" si="68"/>
        <v>1</v>
      </c>
      <c r="V1427" s="2">
        <f>IF(Table4[[#This Row],[linear?]],Table4[[#This Row],[av]],10^(Table4[[#This Row],[av]]/10))</f>
        <v>0</v>
      </c>
      <c r="W1427" s="2">
        <f>IF(Table4[[#This Row],[linear?]],Table4[[#This Row],[av]],10^(Table4[[#This Row],[av]]/10))</f>
        <v>0</v>
      </c>
      <c r="X1427" s="2">
        <f>Table4[[#This Row],[av_lin]]-2*Table4[[#This Row],[std_lin]]</f>
        <v>0</v>
      </c>
      <c r="Y1427" s="2">
        <f>Table4[[#This Row],[av_lin]]+2*Table4[[#This Row],[std_lin]]</f>
        <v>0</v>
      </c>
    </row>
    <row r="1428" spans="1:25" x14ac:dyDescent="0.35">
      <c r="A1428" s="1">
        <v>205</v>
      </c>
      <c r="B1428" t="s">
        <v>75</v>
      </c>
      <c r="C1428" t="s">
        <v>142</v>
      </c>
      <c r="D1428" t="s">
        <v>233</v>
      </c>
      <c r="G1428">
        <v>27</v>
      </c>
      <c r="H1428" t="s">
        <v>19</v>
      </c>
      <c r="R1428" t="str">
        <f t="shared" si="66"/>
        <v>no</v>
      </c>
      <c r="S1428" t="str">
        <f t="shared" si="67"/>
        <v>no</v>
      </c>
      <c r="T14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8" s="2" t="b">
        <f t="shared" si="68"/>
        <v>1</v>
      </c>
      <c r="V1428" s="2">
        <f>IF(Table4[[#This Row],[linear?]],Table4[[#This Row],[av]],10^(Table4[[#This Row],[av]]/10))</f>
        <v>0</v>
      </c>
      <c r="W1428" s="2">
        <f>IF(Table4[[#This Row],[linear?]],Table4[[#This Row],[av]],10^(Table4[[#This Row],[av]]/10))</f>
        <v>0</v>
      </c>
      <c r="X1428" s="2">
        <f>Table4[[#This Row],[av_lin]]-2*Table4[[#This Row],[std_lin]]</f>
        <v>0</v>
      </c>
      <c r="Y1428" s="2">
        <f>Table4[[#This Row],[av_lin]]+2*Table4[[#This Row],[std_lin]]</f>
        <v>0</v>
      </c>
    </row>
    <row r="1429" spans="1:25" x14ac:dyDescent="0.35">
      <c r="A1429" s="1">
        <v>206</v>
      </c>
      <c r="B1429" t="s">
        <v>75</v>
      </c>
      <c r="C1429" t="s">
        <v>142</v>
      </c>
      <c r="D1429" t="s">
        <v>234</v>
      </c>
      <c r="E1429" s="2">
        <v>0</v>
      </c>
      <c r="F1429" s="2">
        <v>0</v>
      </c>
      <c r="G1429">
        <v>27</v>
      </c>
      <c r="H1429" t="s">
        <v>19</v>
      </c>
      <c r="M1429" s="2">
        <v>0</v>
      </c>
      <c r="N1429" s="2">
        <v>0</v>
      </c>
      <c r="O1429" s="2">
        <v>0</v>
      </c>
      <c r="R1429" t="str">
        <f t="shared" si="66"/>
        <v>no</v>
      </c>
      <c r="S1429" t="str">
        <f t="shared" si="67"/>
        <v>no</v>
      </c>
      <c r="T14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9" s="2" t="b">
        <f t="shared" si="68"/>
        <v>1</v>
      </c>
      <c r="V1429" s="2">
        <f>IF(Table4[[#This Row],[linear?]],Table4[[#This Row],[av]],10^(Table4[[#This Row],[av]]/10))</f>
        <v>0</v>
      </c>
      <c r="W1429" s="2">
        <f>IF(Table4[[#This Row],[linear?]],Table4[[#This Row],[av]],10^(Table4[[#This Row],[av]]/10))</f>
        <v>0</v>
      </c>
      <c r="X1429" s="2">
        <f>Table4[[#This Row],[av_lin]]-2*Table4[[#This Row],[std_lin]]</f>
        <v>0</v>
      </c>
      <c r="Y1429" s="2">
        <f>Table4[[#This Row],[av_lin]]+2*Table4[[#This Row],[std_lin]]</f>
        <v>0</v>
      </c>
    </row>
    <row r="1430" spans="1:25" x14ac:dyDescent="0.35">
      <c r="A1430" s="1">
        <v>207</v>
      </c>
      <c r="B1430" t="s">
        <v>75</v>
      </c>
      <c r="C1430" t="s">
        <v>142</v>
      </c>
      <c r="D1430" t="s">
        <v>235</v>
      </c>
      <c r="G1430">
        <v>27</v>
      </c>
      <c r="H1430" t="s">
        <v>19</v>
      </c>
      <c r="R1430" t="str">
        <f t="shared" si="66"/>
        <v>no</v>
      </c>
      <c r="S1430" t="str">
        <f t="shared" si="67"/>
        <v>no</v>
      </c>
      <c r="T14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0" s="2" t="b">
        <f t="shared" si="68"/>
        <v>1</v>
      </c>
      <c r="V1430" s="2">
        <f>IF(Table4[[#This Row],[linear?]],Table4[[#This Row],[av]],10^(Table4[[#This Row],[av]]/10))</f>
        <v>0</v>
      </c>
      <c r="W1430" s="2">
        <f>IF(Table4[[#This Row],[linear?]],Table4[[#This Row],[av]],10^(Table4[[#This Row],[av]]/10))</f>
        <v>0</v>
      </c>
      <c r="X1430" s="2">
        <f>Table4[[#This Row],[av_lin]]-2*Table4[[#This Row],[std_lin]]</f>
        <v>0</v>
      </c>
      <c r="Y1430" s="2">
        <f>Table4[[#This Row],[av_lin]]+2*Table4[[#This Row],[std_lin]]</f>
        <v>0</v>
      </c>
    </row>
    <row r="1431" spans="1:25" x14ac:dyDescent="0.35">
      <c r="A1431" s="1">
        <v>208</v>
      </c>
      <c r="B1431" t="s">
        <v>75</v>
      </c>
      <c r="C1431" t="s">
        <v>142</v>
      </c>
      <c r="D1431" t="s">
        <v>236</v>
      </c>
      <c r="G1431">
        <v>27</v>
      </c>
      <c r="H1431" t="s">
        <v>19</v>
      </c>
      <c r="R1431" t="str">
        <f t="shared" si="66"/>
        <v>no</v>
      </c>
      <c r="S1431" t="str">
        <f t="shared" si="67"/>
        <v>no</v>
      </c>
      <c r="T14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1" s="2" t="b">
        <f t="shared" si="68"/>
        <v>1</v>
      </c>
      <c r="V1431" s="2">
        <f>IF(Table4[[#This Row],[linear?]],Table4[[#This Row],[av]],10^(Table4[[#This Row],[av]]/10))</f>
        <v>0</v>
      </c>
      <c r="W1431" s="2">
        <f>IF(Table4[[#This Row],[linear?]],Table4[[#This Row],[av]],10^(Table4[[#This Row],[av]]/10))</f>
        <v>0</v>
      </c>
      <c r="X1431" s="2">
        <f>Table4[[#This Row],[av_lin]]-2*Table4[[#This Row],[std_lin]]</f>
        <v>0</v>
      </c>
      <c r="Y1431" s="2">
        <f>Table4[[#This Row],[av_lin]]+2*Table4[[#This Row],[std_lin]]</f>
        <v>0</v>
      </c>
    </row>
    <row r="1432" spans="1:25" x14ac:dyDescent="0.35">
      <c r="A1432" s="1">
        <v>209</v>
      </c>
      <c r="B1432" t="s">
        <v>75</v>
      </c>
      <c r="C1432" t="s">
        <v>142</v>
      </c>
      <c r="D1432" t="s">
        <v>237</v>
      </c>
      <c r="E1432" s="2">
        <v>0</v>
      </c>
      <c r="F1432" s="2">
        <v>0</v>
      </c>
      <c r="G1432">
        <v>27</v>
      </c>
      <c r="H1432" t="s">
        <v>19</v>
      </c>
      <c r="M1432" s="2">
        <v>0</v>
      </c>
      <c r="N1432" s="2">
        <v>0</v>
      </c>
      <c r="O1432" s="2">
        <v>0</v>
      </c>
      <c r="R1432" t="str">
        <f t="shared" si="66"/>
        <v>no</v>
      </c>
      <c r="S1432" t="str">
        <f t="shared" si="67"/>
        <v>no</v>
      </c>
      <c r="T14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2" s="2" t="b">
        <f t="shared" si="68"/>
        <v>1</v>
      </c>
      <c r="V1432" s="2">
        <f>IF(Table4[[#This Row],[linear?]],Table4[[#This Row],[av]],10^(Table4[[#This Row],[av]]/10))</f>
        <v>0</v>
      </c>
      <c r="W1432" s="2">
        <f>IF(Table4[[#This Row],[linear?]],Table4[[#This Row],[av]],10^(Table4[[#This Row],[av]]/10))</f>
        <v>0</v>
      </c>
      <c r="X1432" s="2">
        <f>Table4[[#This Row],[av_lin]]-2*Table4[[#This Row],[std_lin]]</f>
        <v>0</v>
      </c>
      <c r="Y1432" s="2">
        <f>Table4[[#This Row],[av_lin]]+2*Table4[[#This Row],[std_lin]]</f>
        <v>0</v>
      </c>
    </row>
    <row r="1433" spans="1:25" x14ac:dyDescent="0.35">
      <c r="A1433" s="1">
        <v>210</v>
      </c>
      <c r="B1433" t="s">
        <v>75</v>
      </c>
      <c r="C1433" t="s">
        <v>142</v>
      </c>
      <c r="D1433" t="s">
        <v>238</v>
      </c>
      <c r="G1433">
        <v>27</v>
      </c>
      <c r="H1433" t="s">
        <v>19</v>
      </c>
      <c r="R1433" t="str">
        <f t="shared" si="66"/>
        <v>no</v>
      </c>
      <c r="S1433" t="str">
        <f t="shared" si="67"/>
        <v>no</v>
      </c>
      <c r="T14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3" s="2" t="b">
        <f t="shared" si="68"/>
        <v>1</v>
      </c>
      <c r="V1433" s="2">
        <f>IF(Table4[[#This Row],[linear?]],Table4[[#This Row],[av]],10^(Table4[[#This Row],[av]]/10))</f>
        <v>0</v>
      </c>
      <c r="W1433" s="2">
        <f>IF(Table4[[#This Row],[linear?]],Table4[[#This Row],[av]],10^(Table4[[#This Row],[av]]/10))</f>
        <v>0</v>
      </c>
      <c r="X1433" s="2">
        <f>Table4[[#This Row],[av_lin]]-2*Table4[[#This Row],[std_lin]]</f>
        <v>0</v>
      </c>
      <c r="Y1433" s="2">
        <f>Table4[[#This Row],[av_lin]]+2*Table4[[#This Row],[std_lin]]</f>
        <v>0</v>
      </c>
    </row>
    <row r="1434" spans="1:25" x14ac:dyDescent="0.35">
      <c r="A1434" s="1">
        <v>211</v>
      </c>
      <c r="B1434" t="s">
        <v>75</v>
      </c>
      <c r="C1434" t="s">
        <v>142</v>
      </c>
      <c r="D1434" t="s">
        <v>239</v>
      </c>
      <c r="G1434">
        <v>27</v>
      </c>
      <c r="H1434" t="s">
        <v>19</v>
      </c>
      <c r="R1434" t="str">
        <f t="shared" si="66"/>
        <v>no</v>
      </c>
      <c r="S1434" t="str">
        <f t="shared" si="67"/>
        <v>no</v>
      </c>
      <c r="T14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4" s="2" t="b">
        <f t="shared" si="68"/>
        <v>1</v>
      </c>
      <c r="V1434" s="2">
        <f>IF(Table4[[#This Row],[linear?]],Table4[[#This Row],[av]],10^(Table4[[#This Row],[av]]/10))</f>
        <v>0</v>
      </c>
      <c r="W1434" s="2">
        <f>IF(Table4[[#This Row],[linear?]],Table4[[#This Row],[av]],10^(Table4[[#This Row],[av]]/10))</f>
        <v>0</v>
      </c>
      <c r="X1434" s="2">
        <f>Table4[[#This Row],[av_lin]]-2*Table4[[#This Row],[std_lin]]</f>
        <v>0</v>
      </c>
      <c r="Y1434" s="2">
        <f>Table4[[#This Row],[av_lin]]+2*Table4[[#This Row],[std_lin]]</f>
        <v>0</v>
      </c>
    </row>
    <row r="1435" spans="1:25" x14ac:dyDescent="0.35">
      <c r="A1435" s="1">
        <v>212</v>
      </c>
      <c r="B1435" t="s">
        <v>75</v>
      </c>
      <c r="C1435" t="s">
        <v>142</v>
      </c>
      <c r="D1435" t="s">
        <v>240</v>
      </c>
      <c r="E1435" s="2">
        <v>0</v>
      </c>
      <c r="F1435" s="2">
        <v>0</v>
      </c>
      <c r="G1435">
        <v>27</v>
      </c>
      <c r="H1435" t="s">
        <v>19</v>
      </c>
      <c r="M1435" s="2">
        <v>0</v>
      </c>
      <c r="N1435" s="2">
        <v>0</v>
      </c>
      <c r="O1435" s="2">
        <v>0</v>
      </c>
      <c r="R1435" t="str">
        <f t="shared" si="66"/>
        <v>no</v>
      </c>
      <c r="S1435" t="str">
        <f t="shared" si="67"/>
        <v>no</v>
      </c>
      <c r="T14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5" s="2" t="b">
        <f t="shared" si="68"/>
        <v>1</v>
      </c>
      <c r="V1435" s="2">
        <f>IF(Table4[[#This Row],[linear?]],Table4[[#This Row],[av]],10^(Table4[[#This Row],[av]]/10))</f>
        <v>0</v>
      </c>
      <c r="W1435" s="2">
        <f>IF(Table4[[#This Row],[linear?]],Table4[[#This Row],[av]],10^(Table4[[#This Row],[av]]/10))</f>
        <v>0</v>
      </c>
      <c r="X1435" s="2">
        <f>Table4[[#This Row],[av_lin]]-2*Table4[[#This Row],[std_lin]]</f>
        <v>0</v>
      </c>
      <c r="Y1435" s="2">
        <f>Table4[[#This Row],[av_lin]]+2*Table4[[#This Row],[std_lin]]</f>
        <v>0</v>
      </c>
    </row>
    <row r="1436" spans="1:25" x14ac:dyDescent="0.35">
      <c r="A1436" s="1">
        <v>213</v>
      </c>
      <c r="B1436" t="s">
        <v>75</v>
      </c>
      <c r="C1436" t="s">
        <v>142</v>
      </c>
      <c r="D1436" t="s">
        <v>241</v>
      </c>
      <c r="G1436">
        <v>27</v>
      </c>
      <c r="H1436" t="s">
        <v>19</v>
      </c>
      <c r="R1436" t="str">
        <f t="shared" si="66"/>
        <v>no</v>
      </c>
      <c r="S1436" t="str">
        <f t="shared" si="67"/>
        <v>no</v>
      </c>
      <c r="T14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6" s="2" t="b">
        <f t="shared" si="68"/>
        <v>1</v>
      </c>
      <c r="V1436" s="2">
        <f>IF(Table4[[#This Row],[linear?]],Table4[[#This Row],[av]],10^(Table4[[#This Row],[av]]/10))</f>
        <v>0</v>
      </c>
      <c r="W1436" s="2">
        <f>IF(Table4[[#This Row],[linear?]],Table4[[#This Row],[av]],10^(Table4[[#This Row],[av]]/10))</f>
        <v>0</v>
      </c>
      <c r="X1436" s="2">
        <f>Table4[[#This Row],[av_lin]]-2*Table4[[#This Row],[std_lin]]</f>
        <v>0</v>
      </c>
      <c r="Y1436" s="2">
        <f>Table4[[#This Row],[av_lin]]+2*Table4[[#This Row],[std_lin]]</f>
        <v>0</v>
      </c>
    </row>
    <row r="1437" spans="1:25" x14ac:dyDescent="0.35">
      <c r="A1437" s="1">
        <v>214</v>
      </c>
      <c r="B1437" t="s">
        <v>75</v>
      </c>
      <c r="C1437" t="s">
        <v>142</v>
      </c>
      <c r="D1437" t="s">
        <v>242</v>
      </c>
      <c r="G1437">
        <v>27</v>
      </c>
      <c r="H1437" t="s">
        <v>19</v>
      </c>
      <c r="R1437" t="str">
        <f t="shared" si="66"/>
        <v>no</v>
      </c>
      <c r="S1437" t="str">
        <f t="shared" si="67"/>
        <v>no</v>
      </c>
      <c r="T14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7" s="2" t="b">
        <f t="shared" si="68"/>
        <v>1</v>
      </c>
      <c r="V1437" s="2">
        <f>IF(Table4[[#This Row],[linear?]],Table4[[#This Row],[av]],10^(Table4[[#This Row],[av]]/10))</f>
        <v>0</v>
      </c>
      <c r="W1437" s="2">
        <f>IF(Table4[[#This Row],[linear?]],Table4[[#This Row],[av]],10^(Table4[[#This Row],[av]]/10))</f>
        <v>0</v>
      </c>
      <c r="X1437" s="2">
        <f>Table4[[#This Row],[av_lin]]-2*Table4[[#This Row],[std_lin]]</f>
        <v>0</v>
      </c>
      <c r="Y1437" s="2">
        <f>Table4[[#This Row],[av_lin]]+2*Table4[[#This Row],[std_lin]]</f>
        <v>0</v>
      </c>
    </row>
    <row r="1438" spans="1:25" x14ac:dyDescent="0.35">
      <c r="A1438" s="1">
        <v>215</v>
      </c>
      <c r="B1438" t="s">
        <v>75</v>
      </c>
      <c r="C1438" t="s">
        <v>142</v>
      </c>
      <c r="D1438" t="s">
        <v>243</v>
      </c>
      <c r="E1438" s="2">
        <v>0</v>
      </c>
      <c r="F1438" s="2">
        <v>0</v>
      </c>
      <c r="G1438">
        <v>27</v>
      </c>
      <c r="H1438" t="s">
        <v>19</v>
      </c>
      <c r="M1438" s="2">
        <v>0</v>
      </c>
      <c r="N1438" s="2">
        <v>0</v>
      </c>
      <c r="O1438" s="2">
        <v>0</v>
      </c>
      <c r="R1438" t="str">
        <f t="shared" si="66"/>
        <v>no</v>
      </c>
      <c r="S1438" t="str">
        <f t="shared" si="67"/>
        <v>no</v>
      </c>
      <c r="T14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8" s="2" t="b">
        <f t="shared" si="68"/>
        <v>1</v>
      </c>
      <c r="V1438" s="2">
        <f>IF(Table4[[#This Row],[linear?]],Table4[[#This Row],[av]],10^(Table4[[#This Row],[av]]/10))</f>
        <v>0</v>
      </c>
      <c r="W1438" s="2">
        <f>IF(Table4[[#This Row],[linear?]],Table4[[#This Row],[av]],10^(Table4[[#This Row],[av]]/10))</f>
        <v>0</v>
      </c>
      <c r="X1438" s="2">
        <f>Table4[[#This Row],[av_lin]]-2*Table4[[#This Row],[std_lin]]</f>
        <v>0</v>
      </c>
      <c r="Y1438" s="2">
        <f>Table4[[#This Row],[av_lin]]+2*Table4[[#This Row],[std_lin]]</f>
        <v>0</v>
      </c>
    </row>
    <row r="1439" spans="1:25" x14ac:dyDescent="0.35">
      <c r="A1439" s="1">
        <v>216</v>
      </c>
      <c r="B1439" t="s">
        <v>75</v>
      </c>
      <c r="C1439" t="s">
        <v>142</v>
      </c>
      <c r="D1439" t="s">
        <v>244</v>
      </c>
      <c r="G1439">
        <v>27</v>
      </c>
      <c r="H1439" t="s">
        <v>19</v>
      </c>
      <c r="R1439" t="str">
        <f t="shared" si="66"/>
        <v>no</v>
      </c>
      <c r="S1439" t="str">
        <f t="shared" si="67"/>
        <v>no</v>
      </c>
      <c r="T14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9" s="2" t="b">
        <f t="shared" si="68"/>
        <v>1</v>
      </c>
      <c r="V1439" s="2">
        <f>IF(Table4[[#This Row],[linear?]],Table4[[#This Row],[av]],10^(Table4[[#This Row],[av]]/10))</f>
        <v>0</v>
      </c>
      <c r="W1439" s="2">
        <f>IF(Table4[[#This Row],[linear?]],Table4[[#This Row],[av]],10^(Table4[[#This Row],[av]]/10))</f>
        <v>0</v>
      </c>
      <c r="X1439" s="2">
        <f>Table4[[#This Row],[av_lin]]-2*Table4[[#This Row],[std_lin]]</f>
        <v>0</v>
      </c>
      <c r="Y1439" s="2">
        <f>Table4[[#This Row],[av_lin]]+2*Table4[[#This Row],[std_lin]]</f>
        <v>0</v>
      </c>
    </row>
    <row r="1440" spans="1:25" x14ac:dyDescent="0.35">
      <c r="A1440" s="1">
        <v>217</v>
      </c>
      <c r="B1440" t="s">
        <v>75</v>
      </c>
      <c r="C1440" t="s">
        <v>142</v>
      </c>
      <c r="D1440" t="s">
        <v>245</v>
      </c>
      <c r="G1440">
        <v>27</v>
      </c>
      <c r="H1440" t="s">
        <v>19</v>
      </c>
      <c r="R1440" t="str">
        <f t="shared" si="66"/>
        <v>no</v>
      </c>
      <c r="S1440" t="str">
        <f t="shared" si="67"/>
        <v>no</v>
      </c>
      <c r="T14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0" s="2" t="b">
        <f t="shared" si="68"/>
        <v>1</v>
      </c>
      <c r="V1440" s="2">
        <f>IF(Table4[[#This Row],[linear?]],Table4[[#This Row],[av]],10^(Table4[[#This Row],[av]]/10))</f>
        <v>0</v>
      </c>
      <c r="W1440" s="2">
        <f>IF(Table4[[#This Row],[linear?]],Table4[[#This Row],[av]],10^(Table4[[#This Row],[av]]/10))</f>
        <v>0</v>
      </c>
      <c r="X1440" s="2">
        <f>Table4[[#This Row],[av_lin]]-2*Table4[[#This Row],[std_lin]]</f>
        <v>0</v>
      </c>
      <c r="Y1440" s="2">
        <f>Table4[[#This Row],[av_lin]]+2*Table4[[#This Row],[std_lin]]</f>
        <v>0</v>
      </c>
    </row>
    <row r="1441" spans="1:25" x14ac:dyDescent="0.35">
      <c r="A1441" s="1">
        <v>218</v>
      </c>
      <c r="B1441" t="s">
        <v>75</v>
      </c>
      <c r="C1441" t="s">
        <v>142</v>
      </c>
      <c r="D1441" t="s">
        <v>246</v>
      </c>
      <c r="E1441" s="2">
        <v>0</v>
      </c>
      <c r="F1441" s="2">
        <v>0</v>
      </c>
      <c r="G1441">
        <v>27</v>
      </c>
      <c r="H1441" t="s">
        <v>19</v>
      </c>
      <c r="M1441" s="2">
        <v>0</v>
      </c>
      <c r="N1441" s="2">
        <v>0</v>
      </c>
      <c r="O1441" s="2">
        <v>0</v>
      </c>
      <c r="R1441" t="str">
        <f t="shared" si="66"/>
        <v>no</v>
      </c>
      <c r="S1441" t="str">
        <f t="shared" si="67"/>
        <v>no</v>
      </c>
      <c r="T14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1" s="2" t="b">
        <f t="shared" si="68"/>
        <v>1</v>
      </c>
      <c r="V1441" s="2">
        <f>IF(Table4[[#This Row],[linear?]],Table4[[#This Row],[av]],10^(Table4[[#This Row],[av]]/10))</f>
        <v>0</v>
      </c>
      <c r="W1441" s="2">
        <f>IF(Table4[[#This Row],[linear?]],Table4[[#This Row],[av]],10^(Table4[[#This Row],[av]]/10))</f>
        <v>0</v>
      </c>
      <c r="X1441" s="2">
        <f>Table4[[#This Row],[av_lin]]-2*Table4[[#This Row],[std_lin]]</f>
        <v>0</v>
      </c>
      <c r="Y1441" s="2">
        <f>Table4[[#This Row],[av_lin]]+2*Table4[[#This Row],[std_lin]]</f>
        <v>0</v>
      </c>
    </row>
    <row r="1442" spans="1:25" x14ac:dyDescent="0.35">
      <c r="A1442" s="1">
        <v>219</v>
      </c>
      <c r="B1442" t="s">
        <v>75</v>
      </c>
      <c r="C1442" t="s">
        <v>142</v>
      </c>
      <c r="D1442" t="s">
        <v>247</v>
      </c>
      <c r="G1442">
        <v>27</v>
      </c>
      <c r="H1442" t="s">
        <v>19</v>
      </c>
      <c r="R1442" t="str">
        <f t="shared" si="66"/>
        <v>no</v>
      </c>
      <c r="S1442" t="str">
        <f t="shared" si="67"/>
        <v>no</v>
      </c>
      <c r="T14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2" s="2" t="b">
        <f t="shared" si="68"/>
        <v>1</v>
      </c>
      <c r="V1442" s="2">
        <f>IF(Table4[[#This Row],[linear?]],Table4[[#This Row],[av]],10^(Table4[[#This Row],[av]]/10))</f>
        <v>0</v>
      </c>
      <c r="W1442" s="2">
        <f>IF(Table4[[#This Row],[linear?]],Table4[[#This Row],[av]],10^(Table4[[#This Row],[av]]/10))</f>
        <v>0</v>
      </c>
      <c r="X1442" s="2">
        <f>Table4[[#This Row],[av_lin]]-2*Table4[[#This Row],[std_lin]]</f>
        <v>0</v>
      </c>
      <c r="Y1442" s="2">
        <f>Table4[[#This Row],[av_lin]]+2*Table4[[#This Row],[std_lin]]</f>
        <v>0</v>
      </c>
    </row>
    <row r="1443" spans="1:25" x14ac:dyDescent="0.35">
      <c r="A1443" s="1">
        <v>220</v>
      </c>
      <c r="B1443" t="s">
        <v>75</v>
      </c>
      <c r="C1443" t="s">
        <v>142</v>
      </c>
      <c r="D1443" t="s">
        <v>248</v>
      </c>
      <c r="G1443">
        <v>27</v>
      </c>
      <c r="H1443" t="s">
        <v>19</v>
      </c>
      <c r="R1443" t="str">
        <f t="shared" si="66"/>
        <v>no</v>
      </c>
      <c r="S1443" t="str">
        <f t="shared" si="67"/>
        <v>no</v>
      </c>
      <c r="T14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3" s="2" t="b">
        <f t="shared" si="68"/>
        <v>1</v>
      </c>
      <c r="V1443" s="2">
        <f>IF(Table4[[#This Row],[linear?]],Table4[[#This Row],[av]],10^(Table4[[#This Row],[av]]/10))</f>
        <v>0</v>
      </c>
      <c r="W1443" s="2">
        <f>IF(Table4[[#This Row],[linear?]],Table4[[#This Row],[av]],10^(Table4[[#This Row],[av]]/10))</f>
        <v>0</v>
      </c>
      <c r="X1443" s="2">
        <f>Table4[[#This Row],[av_lin]]-2*Table4[[#This Row],[std_lin]]</f>
        <v>0</v>
      </c>
      <c r="Y1443" s="2">
        <f>Table4[[#This Row],[av_lin]]+2*Table4[[#This Row],[std_lin]]</f>
        <v>0</v>
      </c>
    </row>
    <row r="1444" spans="1:25" x14ac:dyDescent="0.35">
      <c r="A1444" s="1">
        <v>221</v>
      </c>
      <c r="B1444" t="s">
        <v>75</v>
      </c>
      <c r="C1444" t="s">
        <v>142</v>
      </c>
      <c r="D1444" t="s">
        <v>249</v>
      </c>
      <c r="E1444" s="2">
        <v>0</v>
      </c>
      <c r="F1444" s="2">
        <v>0</v>
      </c>
      <c r="G1444">
        <v>27</v>
      </c>
      <c r="H1444" t="s">
        <v>19</v>
      </c>
      <c r="M1444" s="2">
        <v>0</v>
      </c>
      <c r="N1444" s="2">
        <v>0</v>
      </c>
      <c r="O1444" s="2">
        <v>0</v>
      </c>
      <c r="R1444" t="str">
        <f t="shared" si="66"/>
        <v>no</v>
      </c>
      <c r="S1444" t="str">
        <f t="shared" si="67"/>
        <v>no</v>
      </c>
      <c r="T14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4" s="2" t="b">
        <f t="shared" si="68"/>
        <v>1</v>
      </c>
      <c r="V1444" s="2">
        <f>IF(Table4[[#This Row],[linear?]],Table4[[#This Row],[av]],10^(Table4[[#This Row],[av]]/10))</f>
        <v>0</v>
      </c>
      <c r="W1444" s="2">
        <f>IF(Table4[[#This Row],[linear?]],Table4[[#This Row],[av]],10^(Table4[[#This Row],[av]]/10))</f>
        <v>0</v>
      </c>
      <c r="X1444" s="2">
        <f>Table4[[#This Row],[av_lin]]-2*Table4[[#This Row],[std_lin]]</f>
        <v>0</v>
      </c>
      <c r="Y1444" s="2">
        <f>Table4[[#This Row],[av_lin]]+2*Table4[[#This Row],[std_lin]]</f>
        <v>0</v>
      </c>
    </row>
    <row r="1445" spans="1:25" x14ac:dyDescent="0.35">
      <c r="A1445" s="1">
        <v>222</v>
      </c>
      <c r="B1445" t="s">
        <v>75</v>
      </c>
      <c r="C1445" t="s">
        <v>142</v>
      </c>
      <c r="D1445" t="s">
        <v>250</v>
      </c>
      <c r="G1445">
        <v>27</v>
      </c>
      <c r="H1445" t="s">
        <v>19</v>
      </c>
      <c r="R1445" t="str">
        <f t="shared" si="66"/>
        <v>no</v>
      </c>
      <c r="S1445" t="str">
        <f t="shared" si="67"/>
        <v>no</v>
      </c>
      <c r="T14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5" s="2" t="b">
        <f t="shared" si="68"/>
        <v>1</v>
      </c>
      <c r="V1445" s="2">
        <f>IF(Table4[[#This Row],[linear?]],Table4[[#This Row],[av]],10^(Table4[[#This Row],[av]]/10))</f>
        <v>0</v>
      </c>
      <c r="W1445" s="2">
        <f>IF(Table4[[#This Row],[linear?]],Table4[[#This Row],[av]],10^(Table4[[#This Row],[av]]/10))</f>
        <v>0</v>
      </c>
      <c r="X1445" s="2">
        <f>Table4[[#This Row],[av_lin]]-2*Table4[[#This Row],[std_lin]]</f>
        <v>0</v>
      </c>
      <c r="Y1445" s="2">
        <f>Table4[[#This Row],[av_lin]]+2*Table4[[#This Row],[std_lin]]</f>
        <v>0</v>
      </c>
    </row>
    <row r="1446" spans="1:25" x14ac:dyDescent="0.35">
      <c r="A1446" s="1">
        <v>223</v>
      </c>
      <c r="B1446" t="s">
        <v>75</v>
      </c>
      <c r="C1446" t="s">
        <v>251</v>
      </c>
      <c r="D1446" t="s">
        <v>252</v>
      </c>
      <c r="G1446">
        <v>27</v>
      </c>
      <c r="H1446" t="s">
        <v>19</v>
      </c>
      <c r="R1446" t="str">
        <f t="shared" si="66"/>
        <v>no</v>
      </c>
      <c r="S1446" t="str">
        <f t="shared" si="67"/>
        <v>no</v>
      </c>
      <c r="T14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6" s="2" t="b">
        <f t="shared" si="68"/>
        <v>1</v>
      </c>
      <c r="V1446" s="2">
        <f>IF(Table4[[#This Row],[linear?]],Table4[[#This Row],[av]],10^(Table4[[#This Row],[av]]/10))</f>
        <v>0</v>
      </c>
      <c r="W1446" s="2">
        <f>IF(Table4[[#This Row],[linear?]],Table4[[#This Row],[av]],10^(Table4[[#This Row],[av]]/10))</f>
        <v>0</v>
      </c>
      <c r="X1446" s="2">
        <f>Table4[[#This Row],[av_lin]]-2*Table4[[#This Row],[std_lin]]</f>
        <v>0</v>
      </c>
      <c r="Y1446" s="2">
        <f>Table4[[#This Row],[av_lin]]+2*Table4[[#This Row],[std_lin]]</f>
        <v>0</v>
      </c>
    </row>
    <row r="1447" spans="1:25" x14ac:dyDescent="0.35">
      <c r="A1447" s="1">
        <v>224</v>
      </c>
      <c r="B1447" t="s">
        <v>75</v>
      </c>
      <c r="C1447" t="s">
        <v>17</v>
      </c>
      <c r="D1447" t="s">
        <v>18</v>
      </c>
      <c r="E1447" s="2">
        <v>7505.680246913581</v>
      </c>
      <c r="F1447" s="2">
        <v>106.5525615452807</v>
      </c>
      <c r="G1447">
        <v>27</v>
      </c>
      <c r="H1447" t="s">
        <v>19</v>
      </c>
      <c r="M1447" s="2">
        <v>7718.7853700041424</v>
      </c>
      <c r="N1447" s="2">
        <v>7292.5751238230196</v>
      </c>
      <c r="O1447" s="2">
        <v>426.21024618112278</v>
      </c>
      <c r="P1447" s="2">
        <v>70.441105667121462</v>
      </c>
      <c r="R1447" t="str">
        <f t="shared" si="66"/>
        <v>no</v>
      </c>
      <c r="S1447" t="str">
        <f t="shared" si="67"/>
        <v>no</v>
      </c>
      <c r="T14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7" s="2" t="b">
        <f t="shared" si="68"/>
        <v>1</v>
      </c>
      <c r="V1447" s="2">
        <f>IF(Table4[[#This Row],[linear?]],Table4[[#This Row],[av]],10^(Table4[[#This Row],[av]]/10))</f>
        <v>7505.680246913581</v>
      </c>
      <c r="W1447" s="2">
        <f>IF(Table4[[#This Row],[linear?]],Table4[[#This Row],[av]],10^(Table4[[#This Row],[av]]/10))</f>
        <v>7505.680246913581</v>
      </c>
      <c r="X1447" s="2">
        <f>Table4[[#This Row],[av_lin]]-2*Table4[[#This Row],[std_lin]]</f>
        <v>-7505.680246913581</v>
      </c>
      <c r="Y1447" s="2">
        <f>Table4[[#This Row],[av_lin]]+2*Table4[[#This Row],[std_lin]]</f>
        <v>22517.040740740744</v>
      </c>
    </row>
    <row r="1448" spans="1:25" x14ac:dyDescent="0.35">
      <c r="A1448" s="1">
        <v>225</v>
      </c>
      <c r="B1448" t="s">
        <v>75</v>
      </c>
      <c r="C1448" t="s">
        <v>17</v>
      </c>
      <c r="D1448" t="s">
        <v>20</v>
      </c>
      <c r="E1448" s="2">
        <v>1</v>
      </c>
      <c r="F1448" s="2">
        <v>0</v>
      </c>
      <c r="G1448">
        <v>27</v>
      </c>
      <c r="H1448" t="s">
        <v>19</v>
      </c>
      <c r="M1448" s="2">
        <v>1</v>
      </c>
      <c r="N1448" s="2">
        <v>1</v>
      </c>
      <c r="O1448" s="2">
        <v>0</v>
      </c>
      <c r="P1448" s="2" t="s">
        <v>21</v>
      </c>
      <c r="R1448" t="str">
        <f t="shared" si="66"/>
        <v>no</v>
      </c>
      <c r="S1448" t="str">
        <f t="shared" si="67"/>
        <v>no</v>
      </c>
      <c r="T14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8" s="2" t="b">
        <f t="shared" si="68"/>
        <v>1</v>
      </c>
      <c r="V1448" s="2">
        <f>IF(Table4[[#This Row],[linear?]],Table4[[#This Row],[av]],10^(Table4[[#This Row],[av]]/10))</f>
        <v>1</v>
      </c>
      <c r="W1448" s="2">
        <f>IF(Table4[[#This Row],[linear?]],Table4[[#This Row],[av]],10^(Table4[[#This Row],[av]]/10))</f>
        <v>1</v>
      </c>
      <c r="X1448" s="2">
        <f>Table4[[#This Row],[av_lin]]-2*Table4[[#This Row],[std_lin]]</f>
        <v>-1</v>
      </c>
      <c r="Y1448" s="2">
        <f>Table4[[#This Row],[av_lin]]+2*Table4[[#This Row],[std_lin]]</f>
        <v>3</v>
      </c>
    </row>
    <row r="1449" spans="1:25" x14ac:dyDescent="0.35">
      <c r="A1449" s="1">
        <v>226</v>
      </c>
      <c r="B1449" t="s">
        <v>75</v>
      </c>
      <c r="C1449" t="s">
        <v>17</v>
      </c>
      <c r="D1449" t="s">
        <v>22</v>
      </c>
      <c r="E1449" s="2">
        <v>7510.0259259259255</v>
      </c>
      <c r="F1449" s="2">
        <v>120.0687958220564</v>
      </c>
      <c r="G1449">
        <v>27</v>
      </c>
      <c r="H1449" t="s">
        <v>19</v>
      </c>
      <c r="M1449" s="2">
        <v>7750.1635175700376</v>
      </c>
      <c r="N1449" s="2">
        <v>7269.8883342818126</v>
      </c>
      <c r="O1449" s="2">
        <v>480.27518328822589</v>
      </c>
      <c r="P1449" s="2">
        <v>62.547690884281756</v>
      </c>
      <c r="R1449" t="str">
        <f t="shared" si="66"/>
        <v>no</v>
      </c>
      <c r="S1449" t="str">
        <f t="shared" si="67"/>
        <v>no</v>
      </c>
      <c r="T14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9" s="2" t="b">
        <f t="shared" si="68"/>
        <v>1</v>
      </c>
      <c r="V1449" s="2">
        <f>IF(Table4[[#This Row],[linear?]],Table4[[#This Row],[av]],10^(Table4[[#This Row],[av]]/10))</f>
        <v>7510.0259259259255</v>
      </c>
      <c r="W1449" s="2">
        <f>IF(Table4[[#This Row],[linear?]],Table4[[#This Row],[av]],10^(Table4[[#This Row],[av]]/10))</f>
        <v>7510.0259259259255</v>
      </c>
      <c r="X1449" s="2">
        <f>Table4[[#This Row],[av_lin]]-2*Table4[[#This Row],[std_lin]]</f>
        <v>-7510.0259259259255</v>
      </c>
      <c r="Y1449" s="2">
        <f>Table4[[#This Row],[av_lin]]+2*Table4[[#This Row],[std_lin]]</f>
        <v>22530.077777777777</v>
      </c>
    </row>
    <row r="1450" spans="1:25" x14ac:dyDescent="0.35">
      <c r="A1450" s="1">
        <v>227</v>
      </c>
      <c r="B1450" t="s">
        <v>75</v>
      </c>
      <c r="C1450" t="s">
        <v>17</v>
      </c>
      <c r="D1450" t="s">
        <v>23</v>
      </c>
      <c r="E1450" s="2">
        <v>1</v>
      </c>
      <c r="F1450" s="2">
        <v>0</v>
      </c>
      <c r="G1450">
        <v>27</v>
      </c>
      <c r="H1450" t="s">
        <v>19</v>
      </c>
      <c r="M1450" s="2">
        <v>1</v>
      </c>
      <c r="N1450" s="2">
        <v>1</v>
      </c>
      <c r="O1450" s="2">
        <v>0</v>
      </c>
      <c r="P1450" s="2" t="s">
        <v>21</v>
      </c>
      <c r="R1450" t="str">
        <f t="shared" si="66"/>
        <v>no</v>
      </c>
      <c r="S1450" t="str">
        <f t="shared" si="67"/>
        <v>no</v>
      </c>
      <c r="T14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0" s="2" t="b">
        <f t="shared" si="68"/>
        <v>1</v>
      </c>
      <c r="V1450" s="2">
        <f>IF(Table4[[#This Row],[linear?]],Table4[[#This Row],[av]],10^(Table4[[#This Row],[av]]/10))</f>
        <v>1</v>
      </c>
      <c r="W1450" s="2">
        <f>IF(Table4[[#This Row],[linear?]],Table4[[#This Row],[av]],10^(Table4[[#This Row],[av]]/10))</f>
        <v>1</v>
      </c>
      <c r="X1450" s="2">
        <f>Table4[[#This Row],[av_lin]]-2*Table4[[#This Row],[std_lin]]</f>
        <v>-1</v>
      </c>
      <c r="Y1450" s="2">
        <f>Table4[[#This Row],[av_lin]]+2*Table4[[#This Row],[std_lin]]</f>
        <v>3</v>
      </c>
    </row>
    <row r="1451" spans="1:25" x14ac:dyDescent="0.35">
      <c r="A1451" s="1">
        <v>228</v>
      </c>
      <c r="B1451" t="s">
        <v>75</v>
      </c>
      <c r="C1451" t="s">
        <v>17</v>
      </c>
      <c r="D1451" t="s">
        <v>24</v>
      </c>
      <c r="E1451" s="2">
        <v>7646.103703703704</v>
      </c>
      <c r="F1451" s="2">
        <v>122.94959945318971</v>
      </c>
      <c r="G1451">
        <v>27</v>
      </c>
      <c r="H1451" t="s">
        <v>19</v>
      </c>
      <c r="M1451" s="2">
        <v>7892.0029026100838</v>
      </c>
      <c r="N1451" s="2">
        <v>7400.2045047973243</v>
      </c>
      <c r="O1451" s="2">
        <v>491.7983978127595</v>
      </c>
      <c r="P1451" s="2">
        <v>62.188927314194189</v>
      </c>
      <c r="R1451" t="str">
        <f t="shared" si="66"/>
        <v>no</v>
      </c>
      <c r="S1451" t="str">
        <f t="shared" si="67"/>
        <v>no</v>
      </c>
      <c r="T14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1" s="2" t="b">
        <f t="shared" si="68"/>
        <v>1</v>
      </c>
      <c r="V1451" s="2">
        <f>IF(Table4[[#This Row],[linear?]],Table4[[#This Row],[av]],10^(Table4[[#This Row],[av]]/10))</f>
        <v>7646.103703703704</v>
      </c>
      <c r="W1451" s="2">
        <f>IF(Table4[[#This Row],[linear?]],Table4[[#This Row],[av]],10^(Table4[[#This Row],[av]]/10))</f>
        <v>7646.103703703704</v>
      </c>
      <c r="X1451" s="2">
        <f>Table4[[#This Row],[av_lin]]-2*Table4[[#This Row],[std_lin]]</f>
        <v>-7646.103703703704</v>
      </c>
      <c r="Y1451" s="2">
        <f>Table4[[#This Row],[av_lin]]+2*Table4[[#This Row],[std_lin]]</f>
        <v>22938.311111111114</v>
      </c>
    </row>
    <row r="1452" spans="1:25" x14ac:dyDescent="0.35">
      <c r="A1452" s="1">
        <v>229</v>
      </c>
      <c r="B1452" t="s">
        <v>75</v>
      </c>
      <c r="C1452" t="s">
        <v>17</v>
      </c>
      <c r="D1452" t="s">
        <v>25</v>
      </c>
      <c r="E1452" s="2">
        <v>1</v>
      </c>
      <c r="F1452" s="2">
        <v>0</v>
      </c>
      <c r="G1452">
        <v>27</v>
      </c>
      <c r="H1452" t="s">
        <v>19</v>
      </c>
      <c r="M1452" s="2">
        <v>1</v>
      </c>
      <c r="N1452" s="2">
        <v>1</v>
      </c>
      <c r="O1452" s="2">
        <v>0</v>
      </c>
      <c r="P1452" s="2" t="s">
        <v>21</v>
      </c>
      <c r="R1452" t="str">
        <f t="shared" si="66"/>
        <v>no</v>
      </c>
      <c r="S1452" t="str">
        <f t="shared" si="67"/>
        <v>no</v>
      </c>
      <c r="T14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2" s="2" t="b">
        <f t="shared" si="68"/>
        <v>1</v>
      </c>
      <c r="V1452" s="2">
        <f>IF(Table4[[#This Row],[linear?]],Table4[[#This Row],[av]],10^(Table4[[#This Row],[av]]/10))</f>
        <v>1</v>
      </c>
      <c r="W1452" s="2">
        <f>IF(Table4[[#This Row],[linear?]],Table4[[#This Row],[av]],10^(Table4[[#This Row],[av]]/10))</f>
        <v>1</v>
      </c>
      <c r="X1452" s="2">
        <f>Table4[[#This Row],[av_lin]]-2*Table4[[#This Row],[std_lin]]</f>
        <v>-1</v>
      </c>
      <c r="Y1452" s="2">
        <f>Table4[[#This Row],[av_lin]]+2*Table4[[#This Row],[std_lin]]</f>
        <v>3</v>
      </c>
    </row>
    <row r="1453" spans="1:25" x14ac:dyDescent="0.35">
      <c r="A1453" s="1">
        <v>230</v>
      </c>
      <c r="B1453" t="s">
        <v>75</v>
      </c>
      <c r="C1453" t="s">
        <v>17</v>
      </c>
      <c r="D1453" t="s">
        <v>26</v>
      </c>
      <c r="E1453" s="2">
        <v>7589.2777777777783</v>
      </c>
      <c r="F1453" s="2">
        <v>102.3574193861098</v>
      </c>
      <c r="G1453">
        <v>27</v>
      </c>
      <c r="H1453" t="s">
        <v>19</v>
      </c>
      <c r="M1453" s="2">
        <v>7793.9926165499983</v>
      </c>
      <c r="N1453" s="2">
        <v>7384.5629390055583</v>
      </c>
      <c r="O1453" s="2">
        <v>409.42967754443998</v>
      </c>
      <c r="P1453" s="2">
        <v>74.144872187034309</v>
      </c>
      <c r="R1453" t="str">
        <f t="shared" si="66"/>
        <v>no</v>
      </c>
      <c r="S1453" t="str">
        <f t="shared" si="67"/>
        <v>no</v>
      </c>
      <c r="T14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3" s="2" t="b">
        <f t="shared" si="68"/>
        <v>1</v>
      </c>
      <c r="V1453" s="2">
        <f>IF(Table4[[#This Row],[linear?]],Table4[[#This Row],[av]],10^(Table4[[#This Row],[av]]/10))</f>
        <v>7589.2777777777783</v>
      </c>
      <c r="W1453" s="2">
        <f>IF(Table4[[#This Row],[linear?]],Table4[[#This Row],[av]],10^(Table4[[#This Row],[av]]/10))</f>
        <v>7589.2777777777783</v>
      </c>
      <c r="X1453" s="2">
        <f>Table4[[#This Row],[av_lin]]-2*Table4[[#This Row],[std_lin]]</f>
        <v>-7589.2777777777783</v>
      </c>
      <c r="Y1453" s="2">
        <f>Table4[[#This Row],[av_lin]]+2*Table4[[#This Row],[std_lin]]</f>
        <v>22767.833333333336</v>
      </c>
    </row>
    <row r="1454" spans="1:25" x14ac:dyDescent="0.35">
      <c r="A1454" s="1">
        <v>231</v>
      </c>
      <c r="B1454" t="s">
        <v>75</v>
      </c>
      <c r="C1454" t="s">
        <v>17</v>
      </c>
      <c r="D1454" t="s">
        <v>27</v>
      </c>
      <c r="E1454" s="2">
        <v>1</v>
      </c>
      <c r="F1454" s="2">
        <v>0</v>
      </c>
      <c r="G1454">
        <v>27</v>
      </c>
      <c r="H1454" t="s">
        <v>19</v>
      </c>
      <c r="M1454" s="2">
        <v>1</v>
      </c>
      <c r="N1454" s="2">
        <v>1</v>
      </c>
      <c r="O1454" s="2">
        <v>0</v>
      </c>
      <c r="P1454" s="2" t="s">
        <v>21</v>
      </c>
      <c r="R1454" t="str">
        <f t="shared" si="66"/>
        <v>no</v>
      </c>
      <c r="S1454" t="str">
        <f t="shared" si="67"/>
        <v>no</v>
      </c>
      <c r="T14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4" s="2" t="b">
        <f t="shared" si="68"/>
        <v>1</v>
      </c>
      <c r="V1454" s="2">
        <f>IF(Table4[[#This Row],[linear?]],Table4[[#This Row],[av]],10^(Table4[[#This Row],[av]]/10))</f>
        <v>1</v>
      </c>
      <c r="W1454" s="2">
        <f>IF(Table4[[#This Row],[linear?]],Table4[[#This Row],[av]],10^(Table4[[#This Row],[av]]/10))</f>
        <v>1</v>
      </c>
      <c r="X1454" s="2">
        <f>Table4[[#This Row],[av_lin]]-2*Table4[[#This Row],[std_lin]]</f>
        <v>-1</v>
      </c>
      <c r="Y1454" s="2">
        <f>Table4[[#This Row],[av_lin]]+2*Table4[[#This Row],[std_lin]]</f>
        <v>3</v>
      </c>
    </row>
    <row r="1455" spans="1:25" x14ac:dyDescent="0.35">
      <c r="A1455" s="1">
        <v>232</v>
      </c>
      <c r="B1455" t="s">
        <v>75</v>
      </c>
      <c r="C1455" t="s">
        <v>17</v>
      </c>
      <c r="D1455" t="s">
        <v>28</v>
      </c>
      <c r="E1455" s="2">
        <v>7537.7888888888883</v>
      </c>
      <c r="F1455" s="2">
        <v>104.3043445895474</v>
      </c>
      <c r="G1455">
        <v>27</v>
      </c>
      <c r="H1455" t="s">
        <v>19</v>
      </c>
      <c r="M1455" s="2">
        <v>7746.397578067983</v>
      </c>
      <c r="N1455" s="2">
        <v>7329.1801997097937</v>
      </c>
      <c r="O1455" s="2">
        <v>417.21737835818931</v>
      </c>
      <c r="P1455" s="2">
        <v>72.267257117152425</v>
      </c>
      <c r="R1455" t="str">
        <f t="shared" si="66"/>
        <v>no</v>
      </c>
      <c r="S1455" t="str">
        <f t="shared" si="67"/>
        <v>no</v>
      </c>
      <c r="T14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5" s="2" t="b">
        <f t="shared" si="68"/>
        <v>1</v>
      </c>
      <c r="V1455" s="2">
        <f>IF(Table4[[#This Row],[linear?]],Table4[[#This Row],[av]],10^(Table4[[#This Row],[av]]/10))</f>
        <v>7537.7888888888883</v>
      </c>
      <c r="W1455" s="2">
        <f>IF(Table4[[#This Row],[linear?]],Table4[[#This Row],[av]],10^(Table4[[#This Row],[av]]/10))</f>
        <v>7537.7888888888883</v>
      </c>
      <c r="X1455" s="2">
        <f>Table4[[#This Row],[av_lin]]-2*Table4[[#This Row],[std_lin]]</f>
        <v>-7537.7888888888883</v>
      </c>
      <c r="Y1455" s="2">
        <f>Table4[[#This Row],[av_lin]]+2*Table4[[#This Row],[std_lin]]</f>
        <v>22613.366666666665</v>
      </c>
    </row>
    <row r="1456" spans="1:25" x14ac:dyDescent="0.35">
      <c r="A1456" s="1">
        <v>233</v>
      </c>
      <c r="B1456" t="s">
        <v>75</v>
      </c>
      <c r="C1456" t="s">
        <v>17</v>
      </c>
      <c r="D1456" t="s">
        <v>29</v>
      </c>
      <c r="E1456" s="2">
        <v>1</v>
      </c>
      <c r="F1456" s="2">
        <v>0</v>
      </c>
      <c r="G1456">
        <v>27</v>
      </c>
      <c r="H1456" t="s">
        <v>19</v>
      </c>
      <c r="M1456" s="2">
        <v>1</v>
      </c>
      <c r="N1456" s="2">
        <v>1</v>
      </c>
      <c r="O1456" s="2">
        <v>0</v>
      </c>
      <c r="P1456" s="2" t="s">
        <v>21</v>
      </c>
      <c r="R1456" t="str">
        <f t="shared" si="66"/>
        <v>no</v>
      </c>
      <c r="S1456" t="str">
        <f t="shared" si="67"/>
        <v>no</v>
      </c>
      <c r="T14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6" s="2" t="b">
        <f t="shared" si="68"/>
        <v>1</v>
      </c>
      <c r="V1456" s="2">
        <f>IF(Table4[[#This Row],[linear?]],Table4[[#This Row],[av]],10^(Table4[[#This Row],[av]]/10))</f>
        <v>1</v>
      </c>
      <c r="W1456" s="2">
        <f>IF(Table4[[#This Row],[linear?]],Table4[[#This Row],[av]],10^(Table4[[#This Row],[av]]/10))</f>
        <v>1</v>
      </c>
      <c r="X1456" s="2">
        <f>Table4[[#This Row],[av_lin]]-2*Table4[[#This Row],[std_lin]]</f>
        <v>-1</v>
      </c>
      <c r="Y1456" s="2">
        <f>Table4[[#This Row],[av_lin]]+2*Table4[[#This Row],[std_lin]]</f>
        <v>3</v>
      </c>
    </row>
    <row r="1457" spans="1:25" x14ac:dyDescent="0.35">
      <c r="A1457" s="1">
        <v>234</v>
      </c>
      <c r="B1457" t="s">
        <v>75</v>
      </c>
      <c r="C1457" t="s">
        <v>17</v>
      </c>
      <c r="D1457" t="s">
        <v>30</v>
      </c>
      <c r="E1457" s="2">
        <v>7578.4901234567906</v>
      </c>
      <c r="F1457" s="2">
        <v>124.3090071644245</v>
      </c>
      <c r="G1457">
        <v>27</v>
      </c>
      <c r="H1457" t="s">
        <v>19</v>
      </c>
      <c r="M1457" s="2">
        <v>7827.1081377856399</v>
      </c>
      <c r="N1457" s="2">
        <v>7329.8721091279413</v>
      </c>
      <c r="O1457" s="2">
        <v>497.23602865769863</v>
      </c>
      <c r="P1457" s="2">
        <v>60.964931635506197</v>
      </c>
      <c r="R1457" t="str">
        <f t="shared" si="66"/>
        <v>no</v>
      </c>
      <c r="S1457" t="str">
        <f t="shared" si="67"/>
        <v>no</v>
      </c>
      <c r="T14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7" s="2" t="b">
        <f t="shared" si="68"/>
        <v>1</v>
      </c>
      <c r="V1457" s="2">
        <f>IF(Table4[[#This Row],[linear?]],Table4[[#This Row],[av]],10^(Table4[[#This Row],[av]]/10))</f>
        <v>7578.4901234567906</v>
      </c>
      <c r="W1457" s="2">
        <f>IF(Table4[[#This Row],[linear?]],Table4[[#This Row],[av]],10^(Table4[[#This Row],[av]]/10))</f>
        <v>7578.4901234567906</v>
      </c>
      <c r="X1457" s="2">
        <f>Table4[[#This Row],[av_lin]]-2*Table4[[#This Row],[std_lin]]</f>
        <v>-7578.4901234567906</v>
      </c>
      <c r="Y1457" s="2">
        <f>Table4[[#This Row],[av_lin]]+2*Table4[[#This Row],[std_lin]]</f>
        <v>22735.470370370371</v>
      </c>
    </row>
    <row r="1458" spans="1:25" x14ac:dyDescent="0.35">
      <c r="A1458" s="1">
        <v>235</v>
      </c>
      <c r="B1458" t="s">
        <v>75</v>
      </c>
      <c r="C1458" t="s">
        <v>17</v>
      </c>
      <c r="D1458" t="s">
        <v>31</v>
      </c>
      <c r="E1458" s="2">
        <v>1</v>
      </c>
      <c r="F1458" s="2">
        <v>0</v>
      </c>
      <c r="G1458">
        <v>27</v>
      </c>
      <c r="H1458" t="s">
        <v>19</v>
      </c>
      <c r="M1458" s="2">
        <v>1</v>
      </c>
      <c r="N1458" s="2">
        <v>1</v>
      </c>
      <c r="O1458" s="2">
        <v>0</v>
      </c>
      <c r="P1458" s="2" t="s">
        <v>21</v>
      </c>
      <c r="R1458" t="str">
        <f t="shared" si="66"/>
        <v>no</v>
      </c>
      <c r="S1458" t="str">
        <f t="shared" si="67"/>
        <v>no</v>
      </c>
      <c r="T14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8" s="2" t="b">
        <f t="shared" si="68"/>
        <v>1</v>
      </c>
      <c r="V1458" s="2">
        <f>IF(Table4[[#This Row],[linear?]],Table4[[#This Row],[av]],10^(Table4[[#This Row],[av]]/10))</f>
        <v>1</v>
      </c>
      <c r="W1458" s="2">
        <f>IF(Table4[[#This Row],[linear?]],Table4[[#This Row],[av]],10^(Table4[[#This Row],[av]]/10))</f>
        <v>1</v>
      </c>
      <c r="X1458" s="2">
        <f>Table4[[#This Row],[av_lin]]-2*Table4[[#This Row],[std_lin]]</f>
        <v>-1</v>
      </c>
      <c r="Y1458" s="2">
        <f>Table4[[#This Row],[av_lin]]+2*Table4[[#This Row],[std_lin]]</f>
        <v>3</v>
      </c>
    </row>
    <row r="1459" spans="1:25" x14ac:dyDescent="0.35">
      <c r="A1459" s="1">
        <v>236</v>
      </c>
      <c r="B1459" t="s">
        <v>75</v>
      </c>
      <c r="C1459" t="s">
        <v>17</v>
      </c>
      <c r="D1459" t="s">
        <v>32</v>
      </c>
      <c r="E1459" s="2">
        <v>7584.2345679012342</v>
      </c>
      <c r="F1459" s="2">
        <v>98.195748181833679</v>
      </c>
      <c r="G1459">
        <v>27</v>
      </c>
      <c r="H1459" t="s">
        <v>19</v>
      </c>
      <c r="M1459" s="2">
        <v>7780.6260642649013</v>
      </c>
      <c r="N1459" s="2">
        <v>7387.8430715375671</v>
      </c>
      <c r="O1459" s="2">
        <v>392.7829927273342</v>
      </c>
      <c r="P1459" s="2">
        <v>77.235875364553976</v>
      </c>
      <c r="R1459" t="str">
        <f t="shared" si="66"/>
        <v>no</v>
      </c>
      <c r="S1459" t="str">
        <f t="shared" si="67"/>
        <v>no</v>
      </c>
      <c r="T14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9" s="2" t="b">
        <f t="shared" si="68"/>
        <v>1</v>
      </c>
      <c r="V1459" s="2">
        <f>IF(Table4[[#This Row],[linear?]],Table4[[#This Row],[av]],10^(Table4[[#This Row],[av]]/10))</f>
        <v>7584.2345679012342</v>
      </c>
      <c r="W1459" s="2">
        <f>IF(Table4[[#This Row],[linear?]],Table4[[#This Row],[av]],10^(Table4[[#This Row],[av]]/10))</f>
        <v>7584.2345679012342</v>
      </c>
      <c r="X1459" s="2">
        <f>Table4[[#This Row],[av_lin]]-2*Table4[[#This Row],[std_lin]]</f>
        <v>-7584.2345679012342</v>
      </c>
      <c r="Y1459" s="2">
        <f>Table4[[#This Row],[av_lin]]+2*Table4[[#This Row],[std_lin]]</f>
        <v>22752.703703703701</v>
      </c>
    </row>
    <row r="1460" spans="1:25" x14ac:dyDescent="0.35">
      <c r="A1460" s="1">
        <v>237</v>
      </c>
      <c r="B1460" t="s">
        <v>75</v>
      </c>
      <c r="C1460" t="s">
        <v>17</v>
      </c>
      <c r="D1460" t="s">
        <v>33</v>
      </c>
      <c r="E1460" s="2">
        <v>1</v>
      </c>
      <c r="F1460" s="2">
        <v>0</v>
      </c>
      <c r="G1460">
        <v>27</v>
      </c>
      <c r="H1460" t="s">
        <v>19</v>
      </c>
      <c r="M1460" s="2">
        <v>1</v>
      </c>
      <c r="N1460" s="2">
        <v>1</v>
      </c>
      <c r="O1460" s="2">
        <v>0</v>
      </c>
      <c r="P1460" s="2" t="s">
        <v>21</v>
      </c>
      <c r="R1460" t="str">
        <f t="shared" si="66"/>
        <v>no</v>
      </c>
      <c r="S1460" t="str">
        <f t="shared" si="67"/>
        <v>no</v>
      </c>
      <c r="T14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0" s="2" t="b">
        <f t="shared" si="68"/>
        <v>1</v>
      </c>
      <c r="V1460" s="2">
        <f>IF(Table4[[#This Row],[linear?]],Table4[[#This Row],[av]],10^(Table4[[#This Row],[av]]/10))</f>
        <v>1</v>
      </c>
      <c r="W1460" s="2">
        <f>IF(Table4[[#This Row],[linear?]],Table4[[#This Row],[av]],10^(Table4[[#This Row],[av]]/10))</f>
        <v>1</v>
      </c>
      <c r="X1460" s="2">
        <f>Table4[[#This Row],[av_lin]]-2*Table4[[#This Row],[std_lin]]</f>
        <v>-1</v>
      </c>
      <c r="Y1460" s="2">
        <f>Table4[[#This Row],[av_lin]]+2*Table4[[#This Row],[std_lin]]</f>
        <v>3</v>
      </c>
    </row>
    <row r="1461" spans="1:25" x14ac:dyDescent="0.35">
      <c r="A1461" s="1">
        <v>238</v>
      </c>
      <c r="B1461" t="s">
        <v>75</v>
      </c>
      <c r="C1461" t="s">
        <v>17</v>
      </c>
      <c r="D1461" t="s">
        <v>34</v>
      </c>
      <c r="E1461" s="2">
        <v>7529.2123456790123</v>
      </c>
      <c r="F1461" s="2">
        <v>94.080522445586965</v>
      </c>
      <c r="G1461">
        <v>27</v>
      </c>
      <c r="H1461" t="s">
        <v>19</v>
      </c>
      <c r="M1461" s="2">
        <v>7717.3733905701874</v>
      </c>
      <c r="N1461" s="2">
        <v>7341.051300787838</v>
      </c>
      <c r="O1461" s="2">
        <v>376.32208978234848</v>
      </c>
      <c r="P1461" s="2">
        <v>80.029448710105299</v>
      </c>
      <c r="R1461" t="str">
        <f t="shared" si="66"/>
        <v>no</v>
      </c>
      <c r="S1461" t="str">
        <f t="shared" si="67"/>
        <v>no</v>
      </c>
      <c r="T14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1" s="2" t="b">
        <f t="shared" si="68"/>
        <v>1</v>
      </c>
      <c r="V1461" s="2">
        <f>IF(Table4[[#This Row],[linear?]],Table4[[#This Row],[av]],10^(Table4[[#This Row],[av]]/10))</f>
        <v>7529.2123456790123</v>
      </c>
      <c r="W1461" s="2">
        <f>IF(Table4[[#This Row],[linear?]],Table4[[#This Row],[av]],10^(Table4[[#This Row],[av]]/10))</f>
        <v>7529.2123456790123</v>
      </c>
      <c r="X1461" s="2">
        <f>Table4[[#This Row],[av_lin]]-2*Table4[[#This Row],[std_lin]]</f>
        <v>-7529.2123456790123</v>
      </c>
      <c r="Y1461" s="2">
        <f>Table4[[#This Row],[av_lin]]+2*Table4[[#This Row],[std_lin]]</f>
        <v>22587.637037037035</v>
      </c>
    </row>
    <row r="1462" spans="1:25" x14ac:dyDescent="0.35">
      <c r="A1462" s="1">
        <v>239</v>
      </c>
      <c r="B1462" t="s">
        <v>75</v>
      </c>
      <c r="C1462" t="s">
        <v>17</v>
      </c>
      <c r="D1462" t="s">
        <v>35</v>
      </c>
      <c r="E1462" s="2">
        <v>1</v>
      </c>
      <c r="F1462" s="2">
        <v>0</v>
      </c>
      <c r="G1462">
        <v>27</v>
      </c>
      <c r="H1462" t="s">
        <v>19</v>
      </c>
      <c r="M1462" s="2">
        <v>1</v>
      </c>
      <c r="N1462" s="2">
        <v>1</v>
      </c>
      <c r="O1462" s="2">
        <v>0</v>
      </c>
      <c r="P1462" s="2" t="s">
        <v>21</v>
      </c>
      <c r="R1462" t="str">
        <f t="shared" si="66"/>
        <v>no</v>
      </c>
      <c r="S1462" t="str">
        <f t="shared" si="67"/>
        <v>no</v>
      </c>
      <c r="T14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2" s="2" t="b">
        <f t="shared" si="68"/>
        <v>1</v>
      </c>
      <c r="V1462" s="2">
        <f>IF(Table4[[#This Row],[linear?]],Table4[[#This Row],[av]],10^(Table4[[#This Row],[av]]/10))</f>
        <v>1</v>
      </c>
      <c r="W1462" s="2">
        <f>IF(Table4[[#This Row],[linear?]],Table4[[#This Row],[av]],10^(Table4[[#This Row],[av]]/10))</f>
        <v>1</v>
      </c>
      <c r="X1462" s="2">
        <f>Table4[[#This Row],[av_lin]]-2*Table4[[#This Row],[std_lin]]</f>
        <v>-1</v>
      </c>
      <c r="Y1462" s="2">
        <f>Table4[[#This Row],[av_lin]]+2*Table4[[#This Row],[std_lin]]</f>
        <v>3</v>
      </c>
    </row>
    <row r="1463" spans="1:25" x14ac:dyDescent="0.35">
      <c r="A1463" s="1">
        <v>240</v>
      </c>
      <c r="B1463" t="s">
        <v>75</v>
      </c>
      <c r="C1463" t="s">
        <v>17</v>
      </c>
      <c r="D1463" t="s">
        <v>36</v>
      </c>
      <c r="E1463" s="2">
        <v>2.924081133557801</v>
      </c>
      <c r="F1463" s="2">
        <v>3.3567208840053382E-2</v>
      </c>
      <c r="G1463">
        <v>27</v>
      </c>
      <c r="H1463" t="s">
        <v>19</v>
      </c>
      <c r="M1463" s="2">
        <v>2.9912155512379082</v>
      </c>
      <c r="N1463" s="2">
        <v>2.8569467158776942</v>
      </c>
      <c r="O1463" s="2">
        <v>0.1342688353602135</v>
      </c>
      <c r="P1463" s="2">
        <v>87.111238455688977</v>
      </c>
      <c r="R1463" t="str">
        <f t="shared" si="66"/>
        <v>no</v>
      </c>
      <c r="S1463" t="str">
        <f t="shared" si="67"/>
        <v>no</v>
      </c>
      <c r="T14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3" s="2" t="b">
        <f t="shared" si="68"/>
        <v>1</v>
      </c>
      <c r="V1463" s="2">
        <f>IF(Table4[[#This Row],[linear?]],Table4[[#This Row],[av]],10^(Table4[[#This Row],[av]]/10))</f>
        <v>2.924081133557801</v>
      </c>
      <c r="W1463" s="2">
        <f>IF(Table4[[#This Row],[linear?]],Table4[[#This Row],[av]],10^(Table4[[#This Row],[av]]/10))</f>
        <v>2.924081133557801</v>
      </c>
      <c r="X1463" s="2">
        <f>Table4[[#This Row],[av_lin]]-2*Table4[[#This Row],[std_lin]]</f>
        <v>-2.924081133557801</v>
      </c>
      <c r="Y1463" s="2">
        <f>Table4[[#This Row],[av_lin]]+2*Table4[[#This Row],[std_lin]]</f>
        <v>8.7722434006734034</v>
      </c>
    </row>
    <row r="1464" spans="1:25" x14ac:dyDescent="0.35">
      <c r="A1464" s="1">
        <v>241</v>
      </c>
      <c r="B1464" t="s">
        <v>75</v>
      </c>
      <c r="C1464" t="s">
        <v>17</v>
      </c>
      <c r="D1464" t="s">
        <v>37</v>
      </c>
      <c r="E1464" s="2">
        <v>23.90660653198653</v>
      </c>
      <c r="F1464" s="2">
        <v>0.1404465177916509</v>
      </c>
      <c r="G1464">
        <v>27</v>
      </c>
      <c r="H1464" t="s">
        <v>19</v>
      </c>
      <c r="M1464" s="2">
        <v>24.18749956756983</v>
      </c>
      <c r="N1464" s="2">
        <v>23.625713496403229</v>
      </c>
      <c r="O1464" s="2">
        <v>0.56178607116660118</v>
      </c>
      <c r="P1464" s="2">
        <v>170.21857791769119</v>
      </c>
      <c r="R1464" t="str">
        <f t="shared" si="66"/>
        <v>no</v>
      </c>
      <c r="S1464" t="str">
        <f t="shared" si="67"/>
        <v>no</v>
      </c>
      <c r="T14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4" s="2" t="b">
        <f t="shared" si="68"/>
        <v>1</v>
      </c>
      <c r="V1464" s="2">
        <f>IF(Table4[[#This Row],[linear?]],Table4[[#This Row],[av]],10^(Table4[[#This Row],[av]]/10))</f>
        <v>23.90660653198653</v>
      </c>
      <c r="W1464" s="2">
        <f>IF(Table4[[#This Row],[linear?]],Table4[[#This Row],[av]],10^(Table4[[#This Row],[av]]/10))</f>
        <v>23.90660653198653</v>
      </c>
      <c r="X1464" s="2">
        <f>Table4[[#This Row],[av_lin]]-2*Table4[[#This Row],[std_lin]]</f>
        <v>-23.90660653198653</v>
      </c>
      <c r="Y1464" s="2">
        <f>Table4[[#This Row],[av_lin]]+2*Table4[[#This Row],[std_lin]]</f>
        <v>71.719819595959592</v>
      </c>
    </row>
    <row r="1465" spans="1:25" x14ac:dyDescent="0.35">
      <c r="A1465" s="1">
        <v>242</v>
      </c>
      <c r="B1465" t="s">
        <v>75</v>
      </c>
      <c r="C1465" t="s">
        <v>17</v>
      </c>
      <c r="D1465" t="s">
        <v>38</v>
      </c>
      <c r="E1465" s="2">
        <v>9.7833759820426497E-2</v>
      </c>
      <c r="F1465" s="2">
        <v>1.089698849065603E-2</v>
      </c>
      <c r="G1465">
        <v>27</v>
      </c>
      <c r="H1465" t="s">
        <v>19</v>
      </c>
      <c r="M1465" s="2">
        <v>0.11962773680173849</v>
      </c>
      <c r="N1465" s="2">
        <v>7.6039782839114445E-2</v>
      </c>
      <c r="O1465" s="2">
        <v>4.3587953962624097E-2</v>
      </c>
      <c r="P1465" s="2">
        <v>8.9780547996648039</v>
      </c>
      <c r="R1465" t="str">
        <f t="shared" si="66"/>
        <v>no</v>
      </c>
      <c r="S1465" t="str">
        <f t="shared" si="67"/>
        <v>no</v>
      </c>
      <c r="T14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5" s="2" t="b">
        <f t="shared" si="68"/>
        <v>1</v>
      </c>
      <c r="V1465" s="2">
        <f>IF(Table4[[#This Row],[linear?]],Table4[[#This Row],[av]],10^(Table4[[#This Row],[av]]/10))</f>
        <v>9.7833759820426497E-2</v>
      </c>
      <c r="W1465" s="2">
        <f>IF(Table4[[#This Row],[linear?]],Table4[[#This Row],[av]],10^(Table4[[#This Row],[av]]/10))</f>
        <v>9.7833759820426497E-2</v>
      </c>
      <c r="X1465" s="2">
        <f>Table4[[#This Row],[av_lin]]-2*Table4[[#This Row],[std_lin]]</f>
        <v>-9.7833759820426497E-2</v>
      </c>
      <c r="Y1465" s="2">
        <f>Table4[[#This Row],[av_lin]]+2*Table4[[#This Row],[std_lin]]</f>
        <v>0.29350127946127946</v>
      </c>
    </row>
    <row r="1466" spans="1:25" x14ac:dyDescent="0.35">
      <c r="A1466" s="1">
        <v>243</v>
      </c>
      <c r="B1466" t="s">
        <v>75</v>
      </c>
      <c r="C1466" t="s">
        <v>17</v>
      </c>
      <c r="D1466" t="s">
        <v>39</v>
      </c>
      <c r="E1466" s="2">
        <v>23.949108989898988</v>
      </c>
      <c r="F1466" s="2">
        <v>0.14435781612762411</v>
      </c>
      <c r="G1466">
        <v>27</v>
      </c>
      <c r="H1466" t="s">
        <v>19</v>
      </c>
      <c r="M1466" s="2">
        <v>24.237824622154239</v>
      </c>
      <c r="N1466" s="2">
        <v>23.660393357643741</v>
      </c>
      <c r="O1466" s="2">
        <v>0.5774312645104942</v>
      </c>
      <c r="P1466" s="2">
        <v>165.9010203418845</v>
      </c>
      <c r="R1466" t="str">
        <f t="shared" si="66"/>
        <v>no</v>
      </c>
      <c r="S1466" t="str">
        <f t="shared" si="67"/>
        <v>no</v>
      </c>
      <c r="T14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6" s="2" t="b">
        <f t="shared" si="68"/>
        <v>1</v>
      </c>
      <c r="V1466" s="2">
        <f>IF(Table4[[#This Row],[linear?]],Table4[[#This Row],[av]],10^(Table4[[#This Row],[av]]/10))</f>
        <v>23.949108989898988</v>
      </c>
      <c r="W1466" s="2">
        <f>IF(Table4[[#This Row],[linear?]],Table4[[#This Row],[av]],10^(Table4[[#This Row],[av]]/10))</f>
        <v>23.949108989898988</v>
      </c>
      <c r="X1466" s="2">
        <f>Table4[[#This Row],[av_lin]]-2*Table4[[#This Row],[std_lin]]</f>
        <v>-23.949108989898988</v>
      </c>
      <c r="Y1466" s="2">
        <f>Table4[[#This Row],[av_lin]]+2*Table4[[#This Row],[std_lin]]</f>
        <v>71.847326969696965</v>
      </c>
    </row>
    <row r="1467" spans="1:25" x14ac:dyDescent="0.35">
      <c r="A1467" s="1">
        <v>244</v>
      </c>
      <c r="B1467" t="s">
        <v>75</v>
      </c>
      <c r="C1467" t="s">
        <v>17</v>
      </c>
      <c r="D1467" t="s">
        <v>40</v>
      </c>
      <c r="E1467" s="2">
        <v>0.10178703703703711</v>
      </c>
      <c r="F1467" s="2">
        <v>1.6806907155125759E-2</v>
      </c>
      <c r="G1467">
        <v>27</v>
      </c>
      <c r="H1467" t="s">
        <v>19</v>
      </c>
      <c r="M1467" s="2">
        <v>0.1354008513472886</v>
      </c>
      <c r="N1467" s="2">
        <v>6.8173222726785582E-2</v>
      </c>
      <c r="O1467" s="2">
        <v>6.7227628620503049E-2</v>
      </c>
      <c r="P1467" s="2">
        <v>6.0562622318047472</v>
      </c>
      <c r="R1467" t="str">
        <f t="shared" si="66"/>
        <v>no</v>
      </c>
      <c r="S1467" t="str">
        <f t="shared" si="67"/>
        <v>no</v>
      </c>
      <c r="T14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7" s="2" t="b">
        <f t="shared" si="68"/>
        <v>1</v>
      </c>
      <c r="V1467" s="2">
        <f>IF(Table4[[#This Row],[linear?]],Table4[[#This Row],[av]],10^(Table4[[#This Row],[av]]/10))</f>
        <v>0.10178703703703711</v>
      </c>
      <c r="W1467" s="2">
        <f>IF(Table4[[#This Row],[linear?]],Table4[[#This Row],[av]],10^(Table4[[#This Row],[av]]/10))</f>
        <v>0.10178703703703711</v>
      </c>
      <c r="X1467" s="2">
        <f>Table4[[#This Row],[av_lin]]-2*Table4[[#This Row],[std_lin]]</f>
        <v>-0.10178703703703711</v>
      </c>
      <c r="Y1467" s="2">
        <f>Table4[[#This Row],[av_lin]]+2*Table4[[#This Row],[std_lin]]</f>
        <v>0.30536111111111131</v>
      </c>
    </row>
    <row r="1468" spans="1:25" x14ac:dyDescent="0.35">
      <c r="A1468" s="1">
        <v>245</v>
      </c>
      <c r="B1468" t="s">
        <v>75</v>
      </c>
      <c r="C1468" t="s">
        <v>17</v>
      </c>
      <c r="D1468" t="s">
        <v>41</v>
      </c>
      <c r="E1468" s="2">
        <v>23.982404904601569</v>
      </c>
      <c r="F1468" s="2">
        <v>0.1479431359558411</v>
      </c>
      <c r="G1468">
        <v>27</v>
      </c>
      <c r="H1468" t="s">
        <v>19</v>
      </c>
      <c r="M1468" s="2">
        <v>24.27829117651325</v>
      </c>
      <c r="N1468" s="2">
        <v>23.686518632689889</v>
      </c>
      <c r="O1468" s="2">
        <v>0.59177254382336741</v>
      </c>
      <c r="P1468" s="2">
        <v>162.10556001570751</v>
      </c>
      <c r="R1468" t="str">
        <f t="shared" si="66"/>
        <v>no</v>
      </c>
      <c r="S1468" t="str">
        <f t="shared" si="67"/>
        <v>no</v>
      </c>
      <c r="T14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8" s="2" t="b">
        <f t="shared" si="68"/>
        <v>1</v>
      </c>
      <c r="V1468" s="2">
        <f>IF(Table4[[#This Row],[linear?]],Table4[[#This Row],[av]],10^(Table4[[#This Row],[av]]/10))</f>
        <v>23.982404904601569</v>
      </c>
      <c r="W1468" s="2">
        <f>IF(Table4[[#This Row],[linear?]],Table4[[#This Row],[av]],10^(Table4[[#This Row],[av]]/10))</f>
        <v>23.982404904601569</v>
      </c>
      <c r="X1468" s="2">
        <f>Table4[[#This Row],[av_lin]]-2*Table4[[#This Row],[std_lin]]</f>
        <v>-23.982404904601569</v>
      </c>
      <c r="Y1468" s="2">
        <f>Table4[[#This Row],[av_lin]]+2*Table4[[#This Row],[std_lin]]</f>
        <v>71.947214713804712</v>
      </c>
    </row>
    <row r="1469" spans="1:25" x14ac:dyDescent="0.35">
      <c r="A1469" s="1">
        <v>246</v>
      </c>
      <c r="B1469" t="s">
        <v>75</v>
      </c>
      <c r="C1469" t="s">
        <v>17</v>
      </c>
      <c r="D1469" t="s">
        <v>42</v>
      </c>
      <c r="E1469" s="2">
        <v>1.945626262626262E-2</v>
      </c>
      <c r="F1469" s="2">
        <v>6.0508001744517207E-3</v>
      </c>
      <c r="G1469">
        <v>27</v>
      </c>
      <c r="H1469" t="s">
        <v>19</v>
      </c>
      <c r="M1469" s="2">
        <v>3.1557862975166058E-2</v>
      </c>
      <c r="N1469" s="2">
        <v>7.3546622773591787E-3</v>
      </c>
      <c r="O1469" s="2">
        <v>2.420320069780689E-2</v>
      </c>
      <c r="P1469" s="2">
        <v>3.2154858969583482</v>
      </c>
      <c r="R1469" t="str">
        <f t="shared" si="66"/>
        <v>no</v>
      </c>
      <c r="S1469" t="str">
        <f t="shared" si="67"/>
        <v>no</v>
      </c>
      <c r="T14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9" s="2" t="b">
        <f t="shared" si="68"/>
        <v>1</v>
      </c>
      <c r="V1469" s="2">
        <f>IF(Table4[[#This Row],[linear?]],Table4[[#This Row],[av]],10^(Table4[[#This Row],[av]]/10))</f>
        <v>1.945626262626262E-2</v>
      </c>
      <c r="W1469" s="2">
        <f>IF(Table4[[#This Row],[linear?]],Table4[[#This Row],[av]],10^(Table4[[#This Row],[av]]/10))</f>
        <v>1.945626262626262E-2</v>
      </c>
      <c r="X1469" s="2">
        <f>Table4[[#This Row],[av_lin]]-2*Table4[[#This Row],[std_lin]]</f>
        <v>-1.945626262626262E-2</v>
      </c>
      <c r="Y1469" s="2">
        <f>Table4[[#This Row],[av_lin]]+2*Table4[[#This Row],[std_lin]]</f>
        <v>5.836878787878786E-2</v>
      </c>
    </row>
    <row r="1470" spans="1:25" x14ac:dyDescent="0.35">
      <c r="A1470" s="1">
        <v>247</v>
      </c>
      <c r="B1470" t="s">
        <v>75</v>
      </c>
      <c r="C1470" t="s">
        <v>17</v>
      </c>
      <c r="D1470" t="s">
        <v>43</v>
      </c>
      <c r="E1470" s="2">
        <v>23.961875162738501</v>
      </c>
      <c r="F1470" s="2">
        <v>0.12332768752360521</v>
      </c>
      <c r="G1470">
        <v>27</v>
      </c>
      <c r="H1470" t="s">
        <v>19</v>
      </c>
      <c r="M1470" s="2">
        <v>24.208530537785709</v>
      </c>
      <c r="N1470" s="2">
        <v>23.715219787691289</v>
      </c>
      <c r="O1470" s="2">
        <v>0.49331075009442321</v>
      </c>
      <c r="P1470" s="2">
        <v>194.29436847384449</v>
      </c>
      <c r="R1470" t="str">
        <f t="shared" si="66"/>
        <v>no</v>
      </c>
      <c r="S1470" t="str">
        <f t="shared" si="67"/>
        <v>no</v>
      </c>
      <c r="T14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0" s="2" t="b">
        <f t="shared" si="68"/>
        <v>1</v>
      </c>
      <c r="V1470" s="2">
        <f>IF(Table4[[#This Row],[linear?]],Table4[[#This Row],[av]],10^(Table4[[#This Row],[av]]/10))</f>
        <v>23.961875162738501</v>
      </c>
      <c r="W1470" s="2">
        <f>IF(Table4[[#This Row],[linear?]],Table4[[#This Row],[av]],10^(Table4[[#This Row],[av]]/10))</f>
        <v>23.961875162738501</v>
      </c>
      <c r="X1470" s="2">
        <f>Table4[[#This Row],[av_lin]]-2*Table4[[#This Row],[std_lin]]</f>
        <v>-23.961875162738501</v>
      </c>
      <c r="Y1470" s="2">
        <f>Table4[[#This Row],[av_lin]]+2*Table4[[#This Row],[std_lin]]</f>
        <v>71.88562548821551</v>
      </c>
    </row>
    <row r="1471" spans="1:25" x14ac:dyDescent="0.35">
      <c r="A1471" s="1">
        <v>248</v>
      </c>
      <c r="B1471" t="s">
        <v>75</v>
      </c>
      <c r="C1471" t="s">
        <v>17</v>
      </c>
      <c r="D1471" t="s">
        <v>44</v>
      </c>
      <c r="E1471" s="2">
        <v>0.942071874298541</v>
      </c>
      <c r="F1471" s="2">
        <v>2.7674720601175359E-2</v>
      </c>
      <c r="G1471">
        <v>27</v>
      </c>
      <c r="H1471" t="s">
        <v>19</v>
      </c>
      <c r="M1471" s="2">
        <v>0.99742131550089175</v>
      </c>
      <c r="N1471" s="2">
        <v>0.88672243309619025</v>
      </c>
      <c r="O1471" s="2">
        <v>0.11069888240470151</v>
      </c>
      <c r="P1471" s="2">
        <v>34.040881130287943</v>
      </c>
      <c r="R1471" t="str">
        <f t="shared" si="66"/>
        <v>no</v>
      </c>
      <c r="S1471" t="str">
        <f t="shared" si="67"/>
        <v>no</v>
      </c>
      <c r="T14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1" s="2" t="b">
        <f t="shared" si="68"/>
        <v>1</v>
      </c>
      <c r="V1471" s="2">
        <f>IF(Table4[[#This Row],[linear?]],Table4[[#This Row],[av]],10^(Table4[[#This Row],[av]]/10))</f>
        <v>0.942071874298541</v>
      </c>
      <c r="W1471" s="2">
        <f>IF(Table4[[#This Row],[linear?]],Table4[[#This Row],[av]],10^(Table4[[#This Row],[av]]/10))</f>
        <v>0.942071874298541</v>
      </c>
      <c r="X1471" s="2">
        <f>Table4[[#This Row],[av_lin]]-2*Table4[[#This Row],[std_lin]]</f>
        <v>-0.942071874298541</v>
      </c>
      <c r="Y1471" s="2">
        <f>Table4[[#This Row],[av_lin]]+2*Table4[[#This Row],[std_lin]]</f>
        <v>2.826215622895623</v>
      </c>
    </row>
    <row r="1472" spans="1:25" x14ac:dyDescent="0.35">
      <c r="A1472" s="1">
        <v>249</v>
      </c>
      <c r="B1472" t="s">
        <v>75</v>
      </c>
      <c r="C1472" t="s">
        <v>17</v>
      </c>
      <c r="D1472" t="s">
        <v>45</v>
      </c>
      <c r="E1472" s="2">
        <v>35.796753097643098</v>
      </c>
      <c r="F1472" s="2">
        <v>0.1206734623175959</v>
      </c>
      <c r="G1472">
        <v>27</v>
      </c>
      <c r="H1472" t="s">
        <v>19</v>
      </c>
      <c r="M1472" s="2">
        <v>36.038100022278293</v>
      </c>
      <c r="N1472" s="2">
        <v>35.555406173007903</v>
      </c>
      <c r="O1472" s="2">
        <v>0.48269384927039027</v>
      </c>
      <c r="P1472" s="2">
        <v>296.64146872185518</v>
      </c>
      <c r="R1472" t="str">
        <f t="shared" si="66"/>
        <v>no</v>
      </c>
      <c r="S1472" t="str">
        <f t="shared" si="67"/>
        <v>no</v>
      </c>
      <c r="T14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2" s="2" t="b">
        <f t="shared" si="68"/>
        <v>1</v>
      </c>
      <c r="V1472" s="2">
        <f>IF(Table4[[#This Row],[linear?]],Table4[[#This Row],[av]],10^(Table4[[#This Row],[av]]/10))</f>
        <v>35.796753097643098</v>
      </c>
      <c r="W1472" s="2">
        <f>IF(Table4[[#This Row],[linear?]],Table4[[#This Row],[av]],10^(Table4[[#This Row],[av]]/10))</f>
        <v>35.796753097643098</v>
      </c>
      <c r="X1472" s="2">
        <f>Table4[[#This Row],[av_lin]]-2*Table4[[#This Row],[std_lin]]</f>
        <v>-35.796753097643098</v>
      </c>
      <c r="Y1472" s="2">
        <f>Table4[[#This Row],[av_lin]]+2*Table4[[#This Row],[std_lin]]</f>
        <v>107.3902592929293</v>
      </c>
    </row>
    <row r="1473" spans="1:25" x14ac:dyDescent="0.35">
      <c r="A1473" s="1">
        <v>250</v>
      </c>
      <c r="B1473" t="s">
        <v>75</v>
      </c>
      <c r="C1473" t="s">
        <v>17</v>
      </c>
      <c r="D1473" t="s">
        <v>46</v>
      </c>
      <c r="E1473" s="2">
        <v>0.95390251402918069</v>
      </c>
      <c r="F1473" s="2">
        <v>1.8591999924831789E-2</v>
      </c>
      <c r="G1473">
        <v>27</v>
      </c>
      <c r="H1473" t="s">
        <v>19</v>
      </c>
      <c r="M1473" s="2">
        <v>0.99108651387884428</v>
      </c>
      <c r="N1473" s="2">
        <v>0.91671851417951711</v>
      </c>
      <c r="O1473" s="2">
        <v>7.436799969932717E-2</v>
      </c>
      <c r="P1473" s="2">
        <v>51.307149197818809</v>
      </c>
      <c r="R1473" t="str">
        <f t="shared" si="66"/>
        <v>no</v>
      </c>
      <c r="S1473" t="str">
        <f t="shared" si="67"/>
        <v>no</v>
      </c>
      <c r="T14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3" s="2" t="b">
        <f t="shared" si="68"/>
        <v>1</v>
      </c>
      <c r="V1473" s="2">
        <f>IF(Table4[[#This Row],[linear?]],Table4[[#This Row],[av]],10^(Table4[[#This Row],[av]]/10))</f>
        <v>0.95390251402918069</v>
      </c>
      <c r="W1473" s="2">
        <f>IF(Table4[[#This Row],[linear?]],Table4[[#This Row],[av]],10^(Table4[[#This Row],[av]]/10))</f>
        <v>0.95390251402918069</v>
      </c>
      <c r="X1473" s="2">
        <f>Table4[[#This Row],[av_lin]]-2*Table4[[#This Row],[std_lin]]</f>
        <v>-0.95390251402918069</v>
      </c>
      <c r="Y1473" s="2">
        <f>Table4[[#This Row],[av_lin]]+2*Table4[[#This Row],[std_lin]]</f>
        <v>2.861707542087542</v>
      </c>
    </row>
    <row r="1474" spans="1:25" x14ac:dyDescent="0.35">
      <c r="A1474" s="1">
        <v>251</v>
      </c>
      <c r="B1474" t="s">
        <v>75</v>
      </c>
      <c r="C1474" t="s">
        <v>17</v>
      </c>
      <c r="D1474" t="s">
        <v>47</v>
      </c>
      <c r="E1474" s="2">
        <v>35.821033827160491</v>
      </c>
      <c r="F1474" s="2">
        <v>0.14339080446106239</v>
      </c>
      <c r="G1474">
        <v>27</v>
      </c>
      <c r="H1474" t="s">
        <v>19</v>
      </c>
      <c r="M1474" s="2">
        <v>36.107815436082618</v>
      </c>
      <c r="N1474" s="2">
        <v>35.534252218238358</v>
      </c>
      <c r="O1474" s="2">
        <v>0.5735632178442529</v>
      </c>
      <c r="P1474" s="2">
        <v>249.81402372205571</v>
      </c>
      <c r="R1474" t="str">
        <f t="shared" ref="R1474:R1537" si="69">IF(H1474="yes","yes","no")</f>
        <v>no</v>
      </c>
      <c r="S1474" t="str">
        <f t="shared" ref="S1474:S1537" si="70">IF(I1474,"yes","no")</f>
        <v>no</v>
      </c>
      <c r="T14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4" s="2" t="b">
        <f t="shared" ref="U1474:U1537" si="71">NOT(ISNUMBER(SEARCH("RFIC*POWER", D1474)))</f>
        <v>1</v>
      </c>
      <c r="V1474" s="2">
        <f>IF(Table4[[#This Row],[linear?]],Table4[[#This Row],[av]],10^(Table4[[#This Row],[av]]/10))</f>
        <v>35.821033827160491</v>
      </c>
      <c r="W1474" s="2">
        <f>IF(Table4[[#This Row],[linear?]],Table4[[#This Row],[av]],10^(Table4[[#This Row],[av]]/10))</f>
        <v>35.821033827160491</v>
      </c>
      <c r="X1474" s="2">
        <f>Table4[[#This Row],[av_lin]]-2*Table4[[#This Row],[std_lin]]</f>
        <v>-35.821033827160491</v>
      </c>
      <c r="Y1474" s="2">
        <f>Table4[[#This Row],[av_lin]]+2*Table4[[#This Row],[std_lin]]</f>
        <v>107.46310148148147</v>
      </c>
    </row>
    <row r="1475" spans="1:25" x14ac:dyDescent="0.35">
      <c r="A1475" s="1">
        <v>252</v>
      </c>
      <c r="B1475" t="s">
        <v>75</v>
      </c>
      <c r="C1475" t="s">
        <v>17</v>
      </c>
      <c r="D1475" t="s">
        <v>48</v>
      </c>
      <c r="E1475" s="2">
        <v>0.94431607182940513</v>
      </c>
      <c r="F1475" s="2">
        <v>1.67474637980248E-2</v>
      </c>
      <c r="G1475">
        <v>27</v>
      </c>
      <c r="H1475" t="s">
        <v>19</v>
      </c>
      <c r="M1475" s="2">
        <v>0.97781099942545469</v>
      </c>
      <c r="N1475" s="2">
        <v>0.91082114423335558</v>
      </c>
      <c r="O1475" s="2">
        <v>6.6989855192099101E-2</v>
      </c>
      <c r="P1475" s="2">
        <v>56.385616545758893</v>
      </c>
      <c r="R1475" t="str">
        <f t="shared" si="69"/>
        <v>no</v>
      </c>
      <c r="S1475" t="str">
        <f t="shared" si="70"/>
        <v>no</v>
      </c>
      <c r="T14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5" s="2" t="b">
        <f t="shared" si="71"/>
        <v>1</v>
      </c>
      <c r="V1475" s="2">
        <f>IF(Table4[[#This Row],[linear?]],Table4[[#This Row],[av]],10^(Table4[[#This Row],[av]]/10))</f>
        <v>0.94431607182940513</v>
      </c>
      <c r="W1475" s="2">
        <f>IF(Table4[[#This Row],[linear?]],Table4[[#This Row],[av]],10^(Table4[[#This Row],[av]]/10))</f>
        <v>0.94431607182940513</v>
      </c>
      <c r="X1475" s="2">
        <f>Table4[[#This Row],[av_lin]]-2*Table4[[#This Row],[std_lin]]</f>
        <v>-0.94431607182940513</v>
      </c>
      <c r="Y1475" s="2">
        <f>Table4[[#This Row],[av_lin]]+2*Table4[[#This Row],[std_lin]]</f>
        <v>2.8329482154882153</v>
      </c>
    </row>
    <row r="1476" spans="1:25" x14ac:dyDescent="0.35">
      <c r="A1476" s="1">
        <v>253</v>
      </c>
      <c r="B1476" t="s">
        <v>75</v>
      </c>
      <c r="C1476" t="s">
        <v>17</v>
      </c>
      <c r="D1476" t="s">
        <v>49</v>
      </c>
      <c r="E1476" s="2">
        <v>35.743606498316502</v>
      </c>
      <c r="F1476" s="2">
        <v>0.1184965008944584</v>
      </c>
      <c r="G1476">
        <v>27</v>
      </c>
      <c r="H1476" t="s">
        <v>19</v>
      </c>
      <c r="M1476" s="2">
        <v>35.98059950010542</v>
      </c>
      <c r="N1476" s="2">
        <v>35.506613496527592</v>
      </c>
      <c r="O1476" s="2">
        <v>0.47398600357783488</v>
      </c>
      <c r="P1476" s="2">
        <v>301.64271711408901</v>
      </c>
      <c r="R1476" t="str">
        <f t="shared" si="69"/>
        <v>no</v>
      </c>
      <c r="S1476" t="str">
        <f t="shared" si="70"/>
        <v>no</v>
      </c>
      <c r="T14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6" s="2" t="b">
        <f t="shared" si="71"/>
        <v>1</v>
      </c>
      <c r="V1476" s="2">
        <f>IF(Table4[[#This Row],[linear?]],Table4[[#This Row],[av]],10^(Table4[[#This Row],[av]]/10))</f>
        <v>35.743606498316502</v>
      </c>
      <c r="W1476" s="2">
        <f>IF(Table4[[#This Row],[linear?]],Table4[[#This Row],[av]],10^(Table4[[#This Row],[av]]/10))</f>
        <v>35.743606498316502</v>
      </c>
      <c r="X1476" s="2">
        <f>Table4[[#This Row],[av_lin]]-2*Table4[[#This Row],[std_lin]]</f>
        <v>-35.743606498316502</v>
      </c>
      <c r="Y1476" s="2">
        <f>Table4[[#This Row],[av_lin]]+2*Table4[[#This Row],[std_lin]]</f>
        <v>107.23081949494951</v>
      </c>
    </row>
    <row r="1477" spans="1:25" x14ac:dyDescent="0.35">
      <c r="A1477" s="1">
        <v>254</v>
      </c>
      <c r="B1477" t="s">
        <v>75</v>
      </c>
      <c r="C1477" t="s">
        <v>17</v>
      </c>
      <c r="D1477" t="s">
        <v>50</v>
      </c>
      <c r="E1477" s="2">
        <v>0.94338127946127948</v>
      </c>
      <c r="F1477" s="2">
        <v>1.9677879643579539E-2</v>
      </c>
      <c r="G1477">
        <v>27</v>
      </c>
      <c r="H1477" t="s">
        <v>19</v>
      </c>
      <c r="M1477" s="2">
        <v>0.98273703874843854</v>
      </c>
      <c r="N1477" s="2">
        <v>0.90402552017412041</v>
      </c>
      <c r="O1477" s="2">
        <v>7.8711518574318129E-2</v>
      </c>
      <c r="P1477" s="2">
        <v>47.941205889481303</v>
      </c>
      <c r="R1477" t="str">
        <f t="shared" si="69"/>
        <v>no</v>
      </c>
      <c r="S1477" t="str">
        <f t="shared" si="70"/>
        <v>no</v>
      </c>
      <c r="T14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7" s="2" t="b">
        <f t="shared" si="71"/>
        <v>1</v>
      </c>
      <c r="V1477" s="2">
        <f>IF(Table4[[#This Row],[linear?]],Table4[[#This Row],[av]],10^(Table4[[#This Row],[av]]/10))</f>
        <v>0.94338127946127948</v>
      </c>
      <c r="W1477" s="2">
        <f>IF(Table4[[#This Row],[linear?]],Table4[[#This Row],[av]],10^(Table4[[#This Row],[av]]/10))</f>
        <v>0.94338127946127948</v>
      </c>
      <c r="X1477" s="2">
        <f>Table4[[#This Row],[av_lin]]-2*Table4[[#This Row],[std_lin]]</f>
        <v>-0.94338127946127948</v>
      </c>
      <c r="Y1477" s="2">
        <f>Table4[[#This Row],[av_lin]]+2*Table4[[#This Row],[std_lin]]</f>
        <v>2.8301438383838384</v>
      </c>
    </row>
    <row r="1478" spans="1:25" x14ac:dyDescent="0.35">
      <c r="A1478" s="1">
        <v>255</v>
      </c>
      <c r="B1478" t="s">
        <v>75</v>
      </c>
      <c r="C1478" t="s">
        <v>17</v>
      </c>
      <c r="D1478" t="s">
        <v>51</v>
      </c>
      <c r="E1478" s="2">
        <v>35.706810157126817</v>
      </c>
      <c r="F1478" s="2">
        <v>0.1226415242591307</v>
      </c>
      <c r="G1478">
        <v>27</v>
      </c>
      <c r="H1478" t="s">
        <v>19</v>
      </c>
      <c r="M1478" s="2">
        <v>35.952093205645077</v>
      </c>
      <c r="N1478" s="2">
        <v>35.461527108608557</v>
      </c>
      <c r="O1478" s="2">
        <v>0.49056609703652038</v>
      </c>
      <c r="P1478" s="2">
        <v>291.14780147123321</v>
      </c>
      <c r="R1478" t="str">
        <f t="shared" si="69"/>
        <v>no</v>
      </c>
      <c r="S1478" t="str">
        <f t="shared" si="70"/>
        <v>no</v>
      </c>
      <c r="T14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8" s="2" t="b">
        <f t="shared" si="71"/>
        <v>1</v>
      </c>
      <c r="V1478" s="2">
        <f>IF(Table4[[#This Row],[linear?]],Table4[[#This Row],[av]],10^(Table4[[#This Row],[av]]/10))</f>
        <v>35.706810157126817</v>
      </c>
      <c r="W1478" s="2">
        <f>IF(Table4[[#This Row],[linear?]],Table4[[#This Row],[av]],10^(Table4[[#This Row],[av]]/10))</f>
        <v>35.706810157126817</v>
      </c>
      <c r="X1478" s="2">
        <f>Table4[[#This Row],[av_lin]]-2*Table4[[#This Row],[std_lin]]</f>
        <v>-35.706810157126817</v>
      </c>
      <c r="Y1478" s="2">
        <f>Table4[[#This Row],[av_lin]]+2*Table4[[#This Row],[std_lin]]</f>
        <v>107.12043047138044</v>
      </c>
    </row>
    <row r="1479" spans="1:25" x14ac:dyDescent="0.35">
      <c r="A1479" s="1">
        <v>256</v>
      </c>
      <c r="B1479" t="s">
        <v>75</v>
      </c>
      <c r="C1479" t="s">
        <v>17</v>
      </c>
      <c r="D1479" t="s">
        <v>52</v>
      </c>
      <c r="E1479" s="2">
        <v>0.93831372615039277</v>
      </c>
      <c r="F1479" s="2">
        <v>2.1750072890455031E-2</v>
      </c>
      <c r="G1479">
        <v>27</v>
      </c>
      <c r="H1479" t="s">
        <v>19</v>
      </c>
      <c r="M1479" s="2">
        <v>0.98181387193130287</v>
      </c>
      <c r="N1479" s="2">
        <v>0.89481358036948266</v>
      </c>
      <c r="O1479" s="2">
        <v>8.7000291561820209E-2</v>
      </c>
      <c r="P1479" s="2">
        <v>43.140716395583652</v>
      </c>
      <c r="R1479" t="str">
        <f t="shared" si="69"/>
        <v>no</v>
      </c>
      <c r="S1479" t="str">
        <f t="shared" si="70"/>
        <v>no</v>
      </c>
      <c r="T14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9" s="2" t="b">
        <f t="shared" si="71"/>
        <v>1</v>
      </c>
      <c r="V1479" s="2">
        <f>IF(Table4[[#This Row],[linear?]],Table4[[#This Row],[av]],10^(Table4[[#This Row],[av]]/10))</f>
        <v>0.93831372615039277</v>
      </c>
      <c r="W1479" s="2">
        <f>IF(Table4[[#This Row],[linear?]],Table4[[#This Row],[av]],10^(Table4[[#This Row],[av]]/10))</f>
        <v>0.93831372615039277</v>
      </c>
      <c r="X1479" s="2">
        <f>Table4[[#This Row],[av_lin]]-2*Table4[[#This Row],[std_lin]]</f>
        <v>-0.93831372615039277</v>
      </c>
      <c r="Y1479" s="2">
        <f>Table4[[#This Row],[av_lin]]+2*Table4[[#This Row],[std_lin]]</f>
        <v>2.8149411784511784</v>
      </c>
    </row>
    <row r="1480" spans="1:25" x14ac:dyDescent="0.35">
      <c r="A1480" s="1">
        <v>257</v>
      </c>
      <c r="B1480" t="s">
        <v>75</v>
      </c>
      <c r="C1480" t="s">
        <v>17</v>
      </c>
      <c r="D1480" t="s">
        <v>53</v>
      </c>
      <c r="E1480" s="2">
        <v>35.719321649831649</v>
      </c>
      <c r="F1480" s="2">
        <v>0.13700654598746559</v>
      </c>
      <c r="G1480">
        <v>27</v>
      </c>
      <c r="H1480" t="s">
        <v>19</v>
      </c>
      <c r="M1480" s="2">
        <v>35.993334741806578</v>
      </c>
      <c r="N1480" s="2">
        <v>35.44530855785672</v>
      </c>
      <c r="O1480" s="2">
        <v>0.54802618394985814</v>
      </c>
      <c r="P1480" s="2">
        <v>260.71251845951599</v>
      </c>
      <c r="R1480" t="str">
        <f t="shared" si="69"/>
        <v>no</v>
      </c>
      <c r="S1480" t="str">
        <f t="shared" si="70"/>
        <v>no</v>
      </c>
      <c r="T14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0" s="2" t="b">
        <f t="shared" si="71"/>
        <v>1</v>
      </c>
      <c r="V1480" s="2">
        <f>IF(Table4[[#This Row],[linear?]],Table4[[#This Row],[av]],10^(Table4[[#This Row],[av]]/10))</f>
        <v>35.719321649831649</v>
      </c>
      <c r="W1480" s="2">
        <f>IF(Table4[[#This Row],[linear?]],Table4[[#This Row],[av]],10^(Table4[[#This Row],[av]]/10))</f>
        <v>35.719321649831649</v>
      </c>
      <c r="X1480" s="2">
        <f>Table4[[#This Row],[av_lin]]-2*Table4[[#This Row],[std_lin]]</f>
        <v>-35.719321649831649</v>
      </c>
      <c r="Y1480" s="2">
        <f>Table4[[#This Row],[av_lin]]+2*Table4[[#This Row],[std_lin]]</f>
        <v>107.15796494949495</v>
      </c>
    </row>
    <row r="1481" spans="1:25" x14ac:dyDescent="0.35">
      <c r="A1481" s="1">
        <v>258</v>
      </c>
      <c r="B1481" t="s">
        <v>75</v>
      </c>
      <c r="C1481" t="s">
        <v>17</v>
      </c>
      <c r="D1481" t="s">
        <v>54</v>
      </c>
      <c r="E1481" s="2">
        <v>0.97050530864197526</v>
      </c>
      <c r="F1481" s="2">
        <v>1.7596681877356749E-2</v>
      </c>
      <c r="G1481">
        <v>27</v>
      </c>
      <c r="H1481" t="s">
        <v>19</v>
      </c>
      <c r="M1481" s="2">
        <v>1.005698672396689</v>
      </c>
      <c r="N1481" s="2">
        <v>0.93531194488726177</v>
      </c>
      <c r="O1481" s="2">
        <v>7.0386727509426983E-2</v>
      </c>
      <c r="P1481" s="2">
        <v>55.152745012161233</v>
      </c>
      <c r="R1481" t="str">
        <f t="shared" si="69"/>
        <v>no</v>
      </c>
      <c r="S1481" t="str">
        <f t="shared" si="70"/>
        <v>no</v>
      </c>
      <c r="T14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1" s="2" t="b">
        <f t="shared" si="71"/>
        <v>1</v>
      </c>
      <c r="V1481" s="2">
        <f>IF(Table4[[#This Row],[linear?]],Table4[[#This Row],[av]],10^(Table4[[#This Row],[av]]/10))</f>
        <v>0.97050530864197526</v>
      </c>
      <c r="W1481" s="2">
        <f>IF(Table4[[#This Row],[linear?]],Table4[[#This Row],[av]],10^(Table4[[#This Row],[av]]/10))</f>
        <v>0.97050530864197526</v>
      </c>
      <c r="X1481" s="2">
        <f>Table4[[#This Row],[av_lin]]-2*Table4[[#This Row],[std_lin]]</f>
        <v>-0.97050530864197526</v>
      </c>
      <c r="Y1481" s="2">
        <f>Table4[[#This Row],[av_lin]]+2*Table4[[#This Row],[std_lin]]</f>
        <v>2.9115159259259258</v>
      </c>
    </row>
    <row r="1482" spans="1:25" x14ac:dyDescent="0.35">
      <c r="A1482" s="1">
        <v>259</v>
      </c>
      <c r="B1482" t="s">
        <v>75</v>
      </c>
      <c r="C1482" t="s">
        <v>17</v>
      </c>
      <c r="D1482" t="s">
        <v>55</v>
      </c>
      <c r="E1482" s="2">
        <v>35.81669117845118</v>
      </c>
      <c r="F1482" s="2">
        <v>9.8469689836970381E-2</v>
      </c>
      <c r="G1482">
        <v>27</v>
      </c>
      <c r="H1482" t="s">
        <v>19</v>
      </c>
      <c r="M1482" s="2">
        <v>36.013630558125122</v>
      </c>
      <c r="N1482" s="2">
        <v>35.619751798777237</v>
      </c>
      <c r="O1482" s="2">
        <v>0.39387875934788502</v>
      </c>
      <c r="P1482" s="2">
        <v>363.73315725631369</v>
      </c>
      <c r="R1482" t="str">
        <f t="shared" si="69"/>
        <v>no</v>
      </c>
      <c r="S1482" t="str">
        <f t="shared" si="70"/>
        <v>no</v>
      </c>
      <c r="T14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2" s="2" t="b">
        <f t="shared" si="71"/>
        <v>1</v>
      </c>
      <c r="V1482" s="2">
        <f>IF(Table4[[#This Row],[linear?]],Table4[[#This Row],[av]],10^(Table4[[#This Row],[av]]/10))</f>
        <v>35.81669117845118</v>
      </c>
      <c r="W1482" s="2">
        <f>IF(Table4[[#This Row],[linear?]],Table4[[#This Row],[av]],10^(Table4[[#This Row],[av]]/10))</f>
        <v>35.81669117845118</v>
      </c>
      <c r="X1482" s="2">
        <f>Table4[[#This Row],[av_lin]]-2*Table4[[#This Row],[std_lin]]</f>
        <v>-35.81669117845118</v>
      </c>
      <c r="Y1482" s="2">
        <f>Table4[[#This Row],[av_lin]]+2*Table4[[#This Row],[std_lin]]</f>
        <v>107.45007353535354</v>
      </c>
    </row>
    <row r="1483" spans="1:25" x14ac:dyDescent="0.35">
      <c r="A1483" s="1">
        <v>846</v>
      </c>
      <c r="B1483" t="s">
        <v>826</v>
      </c>
      <c r="C1483" t="s">
        <v>76</v>
      </c>
      <c r="D1483" t="s">
        <v>77</v>
      </c>
      <c r="G1483">
        <v>12</v>
      </c>
      <c r="H1483" t="s">
        <v>19</v>
      </c>
      <c r="R1483" t="str">
        <f t="shared" si="69"/>
        <v>no</v>
      </c>
      <c r="S1483" t="str">
        <f t="shared" si="70"/>
        <v>no</v>
      </c>
      <c r="T14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3" s="2" t="b">
        <f t="shared" si="71"/>
        <v>1</v>
      </c>
      <c r="V1483" s="2">
        <f>IF(Table4[[#This Row],[linear?]],Table4[[#This Row],[av]],10^(Table4[[#This Row],[av]]/10))</f>
        <v>0</v>
      </c>
      <c r="W1483" s="2">
        <f>IF(Table4[[#This Row],[linear?]],Table4[[#This Row],[av]],10^(Table4[[#This Row],[av]]/10))</f>
        <v>0</v>
      </c>
      <c r="X1483" s="2">
        <f>Table4[[#This Row],[av_lin]]-2*Table4[[#This Row],[std_lin]]</f>
        <v>0</v>
      </c>
      <c r="Y1483" s="2">
        <f>Table4[[#This Row],[av_lin]]+2*Table4[[#This Row],[std_lin]]</f>
        <v>0</v>
      </c>
    </row>
    <row r="1484" spans="1:25" x14ac:dyDescent="0.35">
      <c r="A1484" s="1">
        <v>847</v>
      </c>
      <c r="B1484" t="s">
        <v>826</v>
      </c>
      <c r="C1484" t="s">
        <v>76</v>
      </c>
      <c r="D1484" t="s">
        <v>78</v>
      </c>
      <c r="E1484" s="2">
        <v>1</v>
      </c>
      <c r="F1484" s="2">
        <v>0</v>
      </c>
      <c r="G1484">
        <v>12</v>
      </c>
      <c r="H1484" t="s">
        <v>19</v>
      </c>
      <c r="M1484" s="2">
        <v>1</v>
      </c>
      <c r="N1484" s="2">
        <v>1</v>
      </c>
      <c r="O1484" s="2">
        <v>0</v>
      </c>
      <c r="P1484" s="2" t="s">
        <v>21</v>
      </c>
      <c r="R1484" t="str">
        <f t="shared" si="69"/>
        <v>no</v>
      </c>
      <c r="S1484" t="str">
        <f t="shared" si="70"/>
        <v>no</v>
      </c>
      <c r="T14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4" s="2" t="b">
        <f t="shared" si="71"/>
        <v>1</v>
      </c>
      <c r="V1484" s="2">
        <f>IF(Table4[[#This Row],[linear?]],Table4[[#This Row],[av]],10^(Table4[[#This Row],[av]]/10))</f>
        <v>1</v>
      </c>
      <c r="W1484" s="2">
        <f>IF(Table4[[#This Row],[linear?]],Table4[[#This Row],[av]],10^(Table4[[#This Row],[av]]/10))</f>
        <v>1</v>
      </c>
      <c r="X1484" s="2">
        <f>Table4[[#This Row],[av_lin]]-2*Table4[[#This Row],[std_lin]]</f>
        <v>-1</v>
      </c>
      <c r="Y1484" s="2">
        <f>Table4[[#This Row],[av_lin]]+2*Table4[[#This Row],[std_lin]]</f>
        <v>3</v>
      </c>
    </row>
    <row r="1485" spans="1:25" x14ac:dyDescent="0.35">
      <c r="A1485" s="1">
        <v>848</v>
      </c>
      <c r="B1485" t="s">
        <v>826</v>
      </c>
      <c r="C1485" t="s">
        <v>76</v>
      </c>
      <c r="D1485" t="s">
        <v>79</v>
      </c>
      <c r="E1485" s="2">
        <v>1</v>
      </c>
      <c r="F1485" s="2">
        <v>0</v>
      </c>
      <c r="G1485">
        <v>12</v>
      </c>
      <c r="H1485" t="s">
        <v>19</v>
      </c>
      <c r="M1485" s="2">
        <v>1</v>
      </c>
      <c r="N1485" s="2">
        <v>1</v>
      </c>
      <c r="O1485" s="2">
        <v>0</v>
      </c>
      <c r="P1485" s="2" t="s">
        <v>21</v>
      </c>
      <c r="R1485" t="str">
        <f t="shared" si="69"/>
        <v>no</v>
      </c>
      <c r="S1485" t="str">
        <f t="shared" si="70"/>
        <v>no</v>
      </c>
      <c r="T14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5" s="2" t="b">
        <f t="shared" si="71"/>
        <v>1</v>
      </c>
      <c r="V1485" s="2">
        <f>IF(Table4[[#This Row],[linear?]],Table4[[#This Row],[av]],10^(Table4[[#This Row],[av]]/10))</f>
        <v>1</v>
      </c>
      <c r="W1485" s="2">
        <f>IF(Table4[[#This Row],[linear?]],Table4[[#This Row],[av]],10^(Table4[[#This Row],[av]]/10))</f>
        <v>1</v>
      </c>
      <c r="X1485" s="2">
        <f>Table4[[#This Row],[av_lin]]-2*Table4[[#This Row],[std_lin]]</f>
        <v>-1</v>
      </c>
      <c r="Y1485" s="2">
        <f>Table4[[#This Row],[av_lin]]+2*Table4[[#This Row],[std_lin]]</f>
        <v>3</v>
      </c>
    </row>
    <row r="1486" spans="1:25" x14ac:dyDescent="0.35">
      <c r="A1486" s="1">
        <v>849</v>
      </c>
      <c r="B1486" t="s">
        <v>826</v>
      </c>
      <c r="C1486" t="s">
        <v>76</v>
      </c>
      <c r="D1486" t="s">
        <v>80</v>
      </c>
      <c r="E1486" s="2">
        <v>1</v>
      </c>
      <c r="F1486" s="2">
        <v>0</v>
      </c>
      <c r="G1486">
        <v>12</v>
      </c>
      <c r="H1486" t="s">
        <v>19</v>
      </c>
      <c r="M1486" s="2">
        <v>1</v>
      </c>
      <c r="N1486" s="2">
        <v>1</v>
      </c>
      <c r="O1486" s="2">
        <v>0</v>
      </c>
      <c r="P1486" s="2" t="s">
        <v>21</v>
      </c>
      <c r="R1486" t="str">
        <f t="shared" si="69"/>
        <v>no</v>
      </c>
      <c r="S1486" t="str">
        <f t="shared" si="70"/>
        <v>no</v>
      </c>
      <c r="T14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6" s="2" t="b">
        <f t="shared" si="71"/>
        <v>1</v>
      </c>
      <c r="V1486" s="2">
        <f>IF(Table4[[#This Row],[linear?]],Table4[[#This Row],[av]],10^(Table4[[#This Row],[av]]/10))</f>
        <v>1</v>
      </c>
      <c r="W1486" s="2">
        <f>IF(Table4[[#This Row],[linear?]],Table4[[#This Row],[av]],10^(Table4[[#This Row],[av]]/10))</f>
        <v>1</v>
      </c>
      <c r="X1486" s="2">
        <f>Table4[[#This Row],[av_lin]]-2*Table4[[#This Row],[std_lin]]</f>
        <v>-1</v>
      </c>
      <c r="Y1486" s="2">
        <f>Table4[[#This Row],[av_lin]]+2*Table4[[#This Row],[std_lin]]</f>
        <v>3</v>
      </c>
    </row>
    <row r="1487" spans="1:25" x14ac:dyDescent="0.35">
      <c r="A1487" s="1">
        <v>850</v>
      </c>
      <c r="B1487" t="s">
        <v>826</v>
      </c>
      <c r="C1487" t="s">
        <v>76</v>
      </c>
      <c r="D1487" t="s">
        <v>81</v>
      </c>
      <c r="E1487" s="2">
        <v>1</v>
      </c>
      <c r="F1487" s="2">
        <v>0</v>
      </c>
      <c r="G1487">
        <v>12</v>
      </c>
      <c r="H1487" t="s">
        <v>19</v>
      </c>
      <c r="M1487" s="2">
        <v>1</v>
      </c>
      <c r="N1487" s="2">
        <v>1</v>
      </c>
      <c r="O1487" s="2">
        <v>0</v>
      </c>
      <c r="P1487" s="2" t="s">
        <v>21</v>
      </c>
      <c r="R1487" t="str">
        <f t="shared" si="69"/>
        <v>no</v>
      </c>
      <c r="S1487" t="str">
        <f t="shared" si="70"/>
        <v>no</v>
      </c>
      <c r="T14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7" s="2" t="b">
        <f t="shared" si="71"/>
        <v>1</v>
      </c>
      <c r="V1487" s="2">
        <f>IF(Table4[[#This Row],[linear?]],Table4[[#This Row],[av]],10^(Table4[[#This Row],[av]]/10))</f>
        <v>1</v>
      </c>
      <c r="W1487" s="2">
        <f>IF(Table4[[#This Row],[linear?]],Table4[[#This Row],[av]],10^(Table4[[#This Row],[av]]/10))</f>
        <v>1</v>
      </c>
      <c r="X1487" s="2">
        <f>Table4[[#This Row],[av_lin]]-2*Table4[[#This Row],[std_lin]]</f>
        <v>-1</v>
      </c>
      <c r="Y1487" s="2">
        <f>Table4[[#This Row],[av_lin]]+2*Table4[[#This Row],[std_lin]]</f>
        <v>3</v>
      </c>
    </row>
    <row r="1488" spans="1:25" x14ac:dyDescent="0.35">
      <c r="A1488" s="1">
        <v>851</v>
      </c>
      <c r="B1488" t="s">
        <v>826</v>
      </c>
      <c r="C1488" t="s">
        <v>76</v>
      </c>
      <c r="D1488" t="s">
        <v>82</v>
      </c>
      <c r="E1488" s="2">
        <v>1</v>
      </c>
      <c r="F1488" s="2">
        <v>0</v>
      </c>
      <c r="G1488">
        <v>12</v>
      </c>
      <c r="H1488" t="s">
        <v>19</v>
      </c>
      <c r="M1488" s="2">
        <v>1</v>
      </c>
      <c r="N1488" s="2">
        <v>1</v>
      </c>
      <c r="O1488" s="2">
        <v>0</v>
      </c>
      <c r="P1488" s="2" t="s">
        <v>21</v>
      </c>
      <c r="R1488" t="str">
        <f t="shared" si="69"/>
        <v>no</v>
      </c>
      <c r="S1488" t="str">
        <f t="shared" si="70"/>
        <v>no</v>
      </c>
      <c r="T14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8" s="2" t="b">
        <f t="shared" si="71"/>
        <v>1</v>
      </c>
      <c r="V1488" s="2">
        <f>IF(Table4[[#This Row],[linear?]],Table4[[#This Row],[av]],10^(Table4[[#This Row],[av]]/10))</f>
        <v>1</v>
      </c>
      <c r="W1488" s="2">
        <f>IF(Table4[[#This Row],[linear?]],Table4[[#This Row],[av]],10^(Table4[[#This Row],[av]]/10))</f>
        <v>1</v>
      </c>
      <c r="X1488" s="2">
        <f>Table4[[#This Row],[av_lin]]-2*Table4[[#This Row],[std_lin]]</f>
        <v>-1</v>
      </c>
      <c r="Y1488" s="2">
        <f>Table4[[#This Row],[av_lin]]+2*Table4[[#This Row],[std_lin]]</f>
        <v>3</v>
      </c>
    </row>
    <row r="1489" spans="1:25" x14ac:dyDescent="0.35">
      <c r="A1489" s="1">
        <v>852</v>
      </c>
      <c r="B1489" t="s">
        <v>826</v>
      </c>
      <c r="C1489" t="s">
        <v>76</v>
      </c>
      <c r="D1489" t="s">
        <v>83</v>
      </c>
      <c r="E1489" s="2">
        <v>1</v>
      </c>
      <c r="F1489" s="2">
        <v>0</v>
      </c>
      <c r="G1489">
        <v>12</v>
      </c>
      <c r="H1489" t="s">
        <v>19</v>
      </c>
      <c r="M1489" s="2">
        <v>1</v>
      </c>
      <c r="N1489" s="2">
        <v>1</v>
      </c>
      <c r="O1489" s="2">
        <v>0</v>
      </c>
      <c r="P1489" s="2" t="s">
        <v>21</v>
      </c>
      <c r="R1489" t="str">
        <f t="shared" si="69"/>
        <v>no</v>
      </c>
      <c r="S1489" t="str">
        <f t="shared" si="70"/>
        <v>no</v>
      </c>
      <c r="T14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9" s="2" t="b">
        <f t="shared" si="71"/>
        <v>1</v>
      </c>
      <c r="V1489" s="2">
        <f>IF(Table4[[#This Row],[linear?]],Table4[[#This Row],[av]],10^(Table4[[#This Row],[av]]/10))</f>
        <v>1</v>
      </c>
      <c r="W1489" s="2">
        <f>IF(Table4[[#This Row],[linear?]],Table4[[#This Row],[av]],10^(Table4[[#This Row],[av]]/10))</f>
        <v>1</v>
      </c>
      <c r="X1489" s="2">
        <f>Table4[[#This Row],[av_lin]]-2*Table4[[#This Row],[std_lin]]</f>
        <v>-1</v>
      </c>
      <c r="Y1489" s="2">
        <f>Table4[[#This Row],[av_lin]]+2*Table4[[#This Row],[std_lin]]</f>
        <v>3</v>
      </c>
    </row>
    <row r="1490" spans="1:25" x14ac:dyDescent="0.35">
      <c r="A1490" s="1">
        <v>853</v>
      </c>
      <c r="B1490" t="s">
        <v>826</v>
      </c>
      <c r="C1490" t="s">
        <v>76</v>
      </c>
      <c r="D1490" t="s">
        <v>84</v>
      </c>
      <c r="E1490" s="2">
        <v>1</v>
      </c>
      <c r="F1490" s="2">
        <v>0</v>
      </c>
      <c r="G1490">
        <v>12</v>
      </c>
      <c r="H1490" t="s">
        <v>19</v>
      </c>
      <c r="M1490" s="2">
        <v>1</v>
      </c>
      <c r="N1490" s="2">
        <v>1</v>
      </c>
      <c r="O1490" s="2">
        <v>0</v>
      </c>
      <c r="P1490" s="2" t="s">
        <v>21</v>
      </c>
      <c r="R1490" t="str">
        <f t="shared" si="69"/>
        <v>no</v>
      </c>
      <c r="S1490" t="str">
        <f t="shared" si="70"/>
        <v>no</v>
      </c>
      <c r="T14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0" s="2" t="b">
        <f t="shared" si="71"/>
        <v>1</v>
      </c>
      <c r="V1490" s="2">
        <f>IF(Table4[[#This Row],[linear?]],Table4[[#This Row],[av]],10^(Table4[[#This Row],[av]]/10))</f>
        <v>1</v>
      </c>
      <c r="W1490" s="2">
        <f>IF(Table4[[#This Row],[linear?]],Table4[[#This Row],[av]],10^(Table4[[#This Row],[av]]/10))</f>
        <v>1</v>
      </c>
      <c r="X1490" s="2">
        <f>Table4[[#This Row],[av_lin]]-2*Table4[[#This Row],[std_lin]]</f>
        <v>-1</v>
      </c>
      <c r="Y1490" s="2">
        <f>Table4[[#This Row],[av_lin]]+2*Table4[[#This Row],[std_lin]]</f>
        <v>3</v>
      </c>
    </row>
    <row r="1491" spans="1:25" x14ac:dyDescent="0.35">
      <c r="A1491" s="1">
        <v>854</v>
      </c>
      <c r="B1491" t="s">
        <v>826</v>
      </c>
      <c r="C1491" t="s">
        <v>76</v>
      </c>
      <c r="D1491" t="s">
        <v>85</v>
      </c>
      <c r="E1491" s="2">
        <v>44.972698047222217</v>
      </c>
      <c r="F1491" s="2">
        <v>1.6773736745560059</v>
      </c>
      <c r="G1491">
        <v>12</v>
      </c>
      <c r="H1491" t="s">
        <v>19</v>
      </c>
      <c r="M1491" s="2">
        <v>48.327445396334227</v>
      </c>
      <c r="N1491" s="2">
        <v>41.617950698110207</v>
      </c>
      <c r="O1491" s="2">
        <v>6.7094946982240202</v>
      </c>
      <c r="P1491" s="2">
        <v>26.811377052955301</v>
      </c>
      <c r="R1491" t="str">
        <f t="shared" si="69"/>
        <v>no</v>
      </c>
      <c r="S1491" t="str">
        <f t="shared" si="70"/>
        <v>no</v>
      </c>
      <c r="T14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1" s="2" t="b">
        <f t="shared" si="71"/>
        <v>1</v>
      </c>
      <c r="V1491" s="2">
        <f>IF(Table4[[#This Row],[linear?]],Table4[[#This Row],[av]],10^(Table4[[#This Row],[av]]/10))</f>
        <v>44.972698047222217</v>
      </c>
      <c r="W1491" s="2">
        <f>IF(Table4[[#This Row],[linear?]],Table4[[#This Row],[av]],10^(Table4[[#This Row],[av]]/10))</f>
        <v>44.972698047222217</v>
      </c>
      <c r="X1491" s="2">
        <f>Table4[[#This Row],[av_lin]]-2*Table4[[#This Row],[std_lin]]</f>
        <v>-44.972698047222217</v>
      </c>
      <c r="Y1491" s="2">
        <f>Table4[[#This Row],[av_lin]]+2*Table4[[#This Row],[std_lin]]</f>
        <v>134.91809414166664</v>
      </c>
    </row>
    <row r="1492" spans="1:25" x14ac:dyDescent="0.35">
      <c r="A1492" s="1">
        <v>855</v>
      </c>
      <c r="B1492" t="s">
        <v>826</v>
      </c>
      <c r="C1492" t="s">
        <v>76</v>
      </c>
      <c r="D1492" t="s">
        <v>86</v>
      </c>
      <c r="G1492">
        <v>12</v>
      </c>
      <c r="H1492" t="s">
        <v>19</v>
      </c>
      <c r="R1492" t="str">
        <f t="shared" si="69"/>
        <v>no</v>
      </c>
      <c r="S1492" t="str">
        <f t="shared" si="70"/>
        <v>no</v>
      </c>
      <c r="T14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2" s="2" t="b">
        <f t="shared" si="71"/>
        <v>1</v>
      </c>
      <c r="V1492" s="2">
        <f>IF(Table4[[#This Row],[linear?]],Table4[[#This Row],[av]],10^(Table4[[#This Row],[av]]/10))</f>
        <v>0</v>
      </c>
      <c r="W1492" s="2">
        <f>IF(Table4[[#This Row],[linear?]],Table4[[#This Row],[av]],10^(Table4[[#This Row],[av]]/10))</f>
        <v>0</v>
      </c>
      <c r="X1492" s="2">
        <f>Table4[[#This Row],[av_lin]]-2*Table4[[#This Row],[std_lin]]</f>
        <v>0</v>
      </c>
      <c r="Y1492" s="2">
        <f>Table4[[#This Row],[av_lin]]+2*Table4[[#This Row],[std_lin]]</f>
        <v>0</v>
      </c>
    </row>
    <row r="1493" spans="1:25" x14ac:dyDescent="0.35">
      <c r="A1493" s="1">
        <v>856</v>
      </c>
      <c r="B1493" t="s">
        <v>826</v>
      </c>
      <c r="C1493" t="s">
        <v>251</v>
      </c>
      <c r="D1493" t="s">
        <v>252</v>
      </c>
      <c r="G1493">
        <v>12</v>
      </c>
      <c r="H1493" t="s">
        <v>19</v>
      </c>
      <c r="R1493" t="str">
        <f t="shared" si="69"/>
        <v>no</v>
      </c>
      <c r="S1493" t="str">
        <f t="shared" si="70"/>
        <v>no</v>
      </c>
      <c r="T14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3" s="2" t="b">
        <f t="shared" si="71"/>
        <v>1</v>
      </c>
      <c r="V1493" s="2">
        <f>IF(Table4[[#This Row],[linear?]],Table4[[#This Row],[av]],10^(Table4[[#This Row],[av]]/10))</f>
        <v>0</v>
      </c>
      <c r="W1493" s="2">
        <f>IF(Table4[[#This Row],[linear?]],Table4[[#This Row],[av]],10^(Table4[[#This Row],[av]]/10))</f>
        <v>0</v>
      </c>
      <c r="X1493" s="2">
        <f>Table4[[#This Row],[av_lin]]-2*Table4[[#This Row],[std_lin]]</f>
        <v>0</v>
      </c>
      <c r="Y1493" s="2">
        <f>Table4[[#This Row],[av_lin]]+2*Table4[[#This Row],[std_lin]]</f>
        <v>0</v>
      </c>
    </row>
    <row r="1494" spans="1:25" x14ac:dyDescent="0.35">
      <c r="A1494" s="1">
        <v>857</v>
      </c>
      <c r="B1494" t="s">
        <v>826</v>
      </c>
      <c r="C1494" t="s">
        <v>17</v>
      </c>
      <c r="D1494" t="s">
        <v>18</v>
      </c>
      <c r="E1494" s="2">
        <v>7721.6305555555546</v>
      </c>
      <c r="F1494" s="2">
        <v>115.04740234955941</v>
      </c>
      <c r="G1494">
        <v>12</v>
      </c>
      <c r="H1494" t="s">
        <v>19</v>
      </c>
      <c r="M1494" s="2">
        <v>7951.7253602546734</v>
      </c>
      <c r="N1494" s="2">
        <v>7491.5357508564357</v>
      </c>
      <c r="O1494" s="2">
        <v>460.18960939823768</v>
      </c>
      <c r="P1494" s="2">
        <v>67.116948300094549</v>
      </c>
      <c r="R1494" t="str">
        <f t="shared" si="69"/>
        <v>no</v>
      </c>
      <c r="S1494" t="str">
        <f t="shared" si="70"/>
        <v>no</v>
      </c>
      <c r="T14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4" s="2" t="b">
        <f t="shared" si="71"/>
        <v>1</v>
      </c>
      <c r="V1494" s="2">
        <f>IF(Table4[[#This Row],[linear?]],Table4[[#This Row],[av]],10^(Table4[[#This Row],[av]]/10))</f>
        <v>7721.6305555555546</v>
      </c>
      <c r="W1494" s="2">
        <f>IF(Table4[[#This Row],[linear?]],Table4[[#This Row],[av]],10^(Table4[[#This Row],[av]]/10))</f>
        <v>7721.6305555555546</v>
      </c>
      <c r="X1494" s="2">
        <f>Table4[[#This Row],[av_lin]]-2*Table4[[#This Row],[std_lin]]</f>
        <v>-7721.6305555555546</v>
      </c>
      <c r="Y1494" s="2">
        <f>Table4[[#This Row],[av_lin]]+2*Table4[[#This Row],[std_lin]]</f>
        <v>23164.891666666663</v>
      </c>
    </row>
    <row r="1495" spans="1:25" x14ac:dyDescent="0.35">
      <c r="A1495" s="1">
        <v>858</v>
      </c>
      <c r="B1495" t="s">
        <v>826</v>
      </c>
      <c r="C1495" t="s">
        <v>17</v>
      </c>
      <c r="D1495" t="s">
        <v>20</v>
      </c>
      <c r="E1495" s="2">
        <v>1</v>
      </c>
      <c r="F1495" s="2">
        <v>0</v>
      </c>
      <c r="G1495">
        <v>12</v>
      </c>
      <c r="H1495" t="s">
        <v>19</v>
      </c>
      <c r="M1495" s="2">
        <v>1</v>
      </c>
      <c r="N1495" s="2">
        <v>1</v>
      </c>
      <c r="O1495" s="2">
        <v>0</v>
      </c>
      <c r="P1495" s="2" t="s">
        <v>21</v>
      </c>
      <c r="R1495" t="str">
        <f t="shared" si="69"/>
        <v>no</v>
      </c>
      <c r="S1495" t="str">
        <f t="shared" si="70"/>
        <v>no</v>
      </c>
      <c r="T14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5" s="2" t="b">
        <f t="shared" si="71"/>
        <v>1</v>
      </c>
      <c r="V1495" s="2">
        <f>IF(Table4[[#This Row],[linear?]],Table4[[#This Row],[av]],10^(Table4[[#This Row],[av]]/10))</f>
        <v>1</v>
      </c>
      <c r="W1495" s="2">
        <f>IF(Table4[[#This Row],[linear?]],Table4[[#This Row],[av]],10^(Table4[[#This Row],[av]]/10))</f>
        <v>1</v>
      </c>
      <c r="X1495" s="2">
        <f>Table4[[#This Row],[av_lin]]-2*Table4[[#This Row],[std_lin]]</f>
        <v>-1</v>
      </c>
      <c r="Y1495" s="2">
        <f>Table4[[#This Row],[av_lin]]+2*Table4[[#This Row],[std_lin]]</f>
        <v>3</v>
      </c>
    </row>
    <row r="1496" spans="1:25" x14ac:dyDescent="0.35">
      <c r="A1496" s="1">
        <v>859</v>
      </c>
      <c r="B1496" t="s">
        <v>826</v>
      </c>
      <c r="C1496" t="s">
        <v>17</v>
      </c>
      <c r="D1496" t="s">
        <v>22</v>
      </c>
      <c r="E1496" s="2">
        <v>7699.1972222222221</v>
      </c>
      <c r="F1496" s="2">
        <v>175.02911209701449</v>
      </c>
      <c r="G1496">
        <v>12</v>
      </c>
      <c r="H1496" t="s">
        <v>19</v>
      </c>
      <c r="M1496" s="2">
        <v>8049.2554464162513</v>
      </c>
      <c r="N1496" s="2">
        <v>7349.1389980281929</v>
      </c>
      <c r="O1496" s="2">
        <v>700.11644838805842</v>
      </c>
      <c r="P1496" s="2">
        <v>43.988095065892473</v>
      </c>
      <c r="R1496" t="str">
        <f t="shared" si="69"/>
        <v>no</v>
      </c>
      <c r="S1496" t="str">
        <f t="shared" si="70"/>
        <v>no</v>
      </c>
      <c r="T14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6" s="2" t="b">
        <f t="shared" si="71"/>
        <v>1</v>
      </c>
      <c r="V1496" s="2">
        <f>IF(Table4[[#This Row],[linear?]],Table4[[#This Row],[av]],10^(Table4[[#This Row],[av]]/10))</f>
        <v>7699.1972222222221</v>
      </c>
      <c r="W1496" s="2">
        <f>IF(Table4[[#This Row],[linear?]],Table4[[#This Row],[av]],10^(Table4[[#This Row],[av]]/10))</f>
        <v>7699.1972222222221</v>
      </c>
      <c r="X1496" s="2">
        <f>Table4[[#This Row],[av_lin]]-2*Table4[[#This Row],[std_lin]]</f>
        <v>-7699.1972222222221</v>
      </c>
      <c r="Y1496" s="2">
        <f>Table4[[#This Row],[av_lin]]+2*Table4[[#This Row],[std_lin]]</f>
        <v>23097.591666666667</v>
      </c>
    </row>
    <row r="1497" spans="1:25" x14ac:dyDescent="0.35">
      <c r="A1497" s="1">
        <v>860</v>
      </c>
      <c r="B1497" t="s">
        <v>826</v>
      </c>
      <c r="C1497" t="s">
        <v>17</v>
      </c>
      <c r="D1497" t="s">
        <v>23</v>
      </c>
      <c r="E1497" s="2">
        <v>1</v>
      </c>
      <c r="F1497" s="2">
        <v>0</v>
      </c>
      <c r="G1497">
        <v>12</v>
      </c>
      <c r="H1497" t="s">
        <v>19</v>
      </c>
      <c r="M1497" s="2">
        <v>1</v>
      </c>
      <c r="N1497" s="2">
        <v>1</v>
      </c>
      <c r="O1497" s="2">
        <v>0</v>
      </c>
      <c r="P1497" s="2" t="s">
        <v>21</v>
      </c>
      <c r="R1497" t="str">
        <f t="shared" si="69"/>
        <v>no</v>
      </c>
      <c r="S1497" t="str">
        <f t="shared" si="70"/>
        <v>no</v>
      </c>
      <c r="T14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7" s="2" t="b">
        <f t="shared" si="71"/>
        <v>1</v>
      </c>
      <c r="V1497" s="2">
        <f>IF(Table4[[#This Row],[linear?]],Table4[[#This Row],[av]],10^(Table4[[#This Row],[av]]/10))</f>
        <v>1</v>
      </c>
      <c r="W1497" s="2">
        <f>IF(Table4[[#This Row],[linear?]],Table4[[#This Row],[av]],10^(Table4[[#This Row],[av]]/10))</f>
        <v>1</v>
      </c>
      <c r="X1497" s="2">
        <f>Table4[[#This Row],[av_lin]]-2*Table4[[#This Row],[std_lin]]</f>
        <v>-1</v>
      </c>
      <c r="Y1497" s="2">
        <f>Table4[[#This Row],[av_lin]]+2*Table4[[#This Row],[std_lin]]</f>
        <v>3</v>
      </c>
    </row>
    <row r="1498" spans="1:25" x14ac:dyDescent="0.35">
      <c r="A1498" s="1">
        <v>861</v>
      </c>
      <c r="B1498" t="s">
        <v>826</v>
      </c>
      <c r="C1498" t="s">
        <v>17</v>
      </c>
      <c r="D1498" t="s">
        <v>24</v>
      </c>
      <c r="E1498" s="2">
        <v>7693.8694444444454</v>
      </c>
      <c r="F1498" s="2">
        <v>74.132111327691391</v>
      </c>
      <c r="G1498">
        <v>12</v>
      </c>
      <c r="H1498" t="s">
        <v>19</v>
      </c>
      <c r="M1498" s="2">
        <v>7842.133667099828</v>
      </c>
      <c r="N1498" s="2">
        <v>7545.6052217890629</v>
      </c>
      <c r="O1498" s="2">
        <v>296.52844531076522</v>
      </c>
      <c r="P1498" s="2">
        <v>103.7859209275005</v>
      </c>
      <c r="R1498" t="str">
        <f t="shared" si="69"/>
        <v>no</v>
      </c>
      <c r="S1498" t="str">
        <f t="shared" si="70"/>
        <v>no</v>
      </c>
      <c r="T14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8" s="2" t="b">
        <f t="shared" si="71"/>
        <v>1</v>
      </c>
      <c r="V1498" s="2">
        <f>IF(Table4[[#This Row],[linear?]],Table4[[#This Row],[av]],10^(Table4[[#This Row],[av]]/10))</f>
        <v>7693.8694444444454</v>
      </c>
      <c r="W1498" s="2">
        <f>IF(Table4[[#This Row],[linear?]],Table4[[#This Row],[av]],10^(Table4[[#This Row],[av]]/10))</f>
        <v>7693.8694444444454</v>
      </c>
      <c r="X1498" s="2">
        <f>Table4[[#This Row],[av_lin]]-2*Table4[[#This Row],[std_lin]]</f>
        <v>-7693.8694444444454</v>
      </c>
      <c r="Y1498" s="2">
        <f>Table4[[#This Row],[av_lin]]+2*Table4[[#This Row],[std_lin]]</f>
        <v>23081.608333333337</v>
      </c>
    </row>
    <row r="1499" spans="1:25" x14ac:dyDescent="0.35">
      <c r="A1499" s="1">
        <v>862</v>
      </c>
      <c r="B1499" t="s">
        <v>826</v>
      </c>
      <c r="C1499" t="s">
        <v>17</v>
      </c>
      <c r="D1499" t="s">
        <v>25</v>
      </c>
      <c r="E1499" s="2">
        <v>1</v>
      </c>
      <c r="F1499" s="2">
        <v>0</v>
      </c>
      <c r="G1499">
        <v>12</v>
      </c>
      <c r="H1499" t="s">
        <v>19</v>
      </c>
      <c r="M1499" s="2">
        <v>1</v>
      </c>
      <c r="N1499" s="2">
        <v>1</v>
      </c>
      <c r="O1499" s="2">
        <v>0</v>
      </c>
      <c r="P1499" s="2" t="s">
        <v>21</v>
      </c>
      <c r="R1499" t="str">
        <f t="shared" si="69"/>
        <v>no</v>
      </c>
      <c r="S1499" t="str">
        <f t="shared" si="70"/>
        <v>no</v>
      </c>
      <c r="T14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9" s="2" t="b">
        <f t="shared" si="71"/>
        <v>1</v>
      </c>
      <c r="V1499" s="2">
        <f>IF(Table4[[#This Row],[linear?]],Table4[[#This Row],[av]],10^(Table4[[#This Row],[av]]/10))</f>
        <v>1</v>
      </c>
      <c r="W1499" s="2">
        <f>IF(Table4[[#This Row],[linear?]],Table4[[#This Row],[av]],10^(Table4[[#This Row],[av]]/10))</f>
        <v>1</v>
      </c>
      <c r="X1499" s="2">
        <f>Table4[[#This Row],[av_lin]]-2*Table4[[#This Row],[std_lin]]</f>
        <v>-1</v>
      </c>
      <c r="Y1499" s="2">
        <f>Table4[[#This Row],[av_lin]]+2*Table4[[#This Row],[std_lin]]</f>
        <v>3</v>
      </c>
    </row>
    <row r="1500" spans="1:25" x14ac:dyDescent="0.35">
      <c r="A1500" s="1">
        <v>863</v>
      </c>
      <c r="B1500" t="s">
        <v>826</v>
      </c>
      <c r="C1500" t="s">
        <v>17</v>
      </c>
      <c r="D1500" t="s">
        <v>26</v>
      </c>
      <c r="E1500" s="2">
        <v>7634.0666666666666</v>
      </c>
      <c r="F1500" s="2">
        <v>75.950449912311072</v>
      </c>
      <c r="G1500">
        <v>12</v>
      </c>
      <c r="H1500" t="s">
        <v>19</v>
      </c>
      <c r="M1500" s="2">
        <v>7785.9675664912884</v>
      </c>
      <c r="N1500" s="2">
        <v>7482.1657668420448</v>
      </c>
      <c r="O1500" s="2">
        <v>303.80179964924349</v>
      </c>
      <c r="P1500" s="2">
        <v>100.51377806820911</v>
      </c>
      <c r="R1500" t="str">
        <f t="shared" si="69"/>
        <v>no</v>
      </c>
      <c r="S1500" t="str">
        <f t="shared" si="70"/>
        <v>no</v>
      </c>
      <c r="T15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0" s="2" t="b">
        <f t="shared" si="71"/>
        <v>1</v>
      </c>
      <c r="V1500" s="2">
        <f>IF(Table4[[#This Row],[linear?]],Table4[[#This Row],[av]],10^(Table4[[#This Row],[av]]/10))</f>
        <v>7634.0666666666666</v>
      </c>
      <c r="W1500" s="2">
        <f>IF(Table4[[#This Row],[linear?]],Table4[[#This Row],[av]],10^(Table4[[#This Row],[av]]/10))</f>
        <v>7634.0666666666666</v>
      </c>
      <c r="X1500" s="2">
        <f>Table4[[#This Row],[av_lin]]-2*Table4[[#This Row],[std_lin]]</f>
        <v>-7634.0666666666666</v>
      </c>
      <c r="Y1500" s="2">
        <f>Table4[[#This Row],[av_lin]]+2*Table4[[#This Row],[std_lin]]</f>
        <v>22902.2</v>
      </c>
    </row>
    <row r="1501" spans="1:25" x14ac:dyDescent="0.35">
      <c r="A1501" s="1">
        <v>864</v>
      </c>
      <c r="B1501" t="s">
        <v>826</v>
      </c>
      <c r="C1501" t="s">
        <v>17</v>
      </c>
      <c r="D1501" t="s">
        <v>27</v>
      </c>
      <c r="E1501" s="2">
        <v>1</v>
      </c>
      <c r="F1501" s="2">
        <v>0</v>
      </c>
      <c r="G1501">
        <v>12</v>
      </c>
      <c r="H1501" t="s">
        <v>19</v>
      </c>
      <c r="M1501" s="2">
        <v>1</v>
      </c>
      <c r="N1501" s="2">
        <v>1</v>
      </c>
      <c r="O1501" s="2">
        <v>0</v>
      </c>
      <c r="P1501" s="2" t="s">
        <v>21</v>
      </c>
      <c r="R1501" t="str">
        <f t="shared" si="69"/>
        <v>no</v>
      </c>
      <c r="S1501" t="str">
        <f t="shared" si="70"/>
        <v>no</v>
      </c>
      <c r="T15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1" s="2" t="b">
        <f t="shared" si="71"/>
        <v>1</v>
      </c>
      <c r="V1501" s="2">
        <f>IF(Table4[[#This Row],[linear?]],Table4[[#This Row],[av]],10^(Table4[[#This Row],[av]]/10))</f>
        <v>1</v>
      </c>
      <c r="W1501" s="2">
        <f>IF(Table4[[#This Row],[linear?]],Table4[[#This Row],[av]],10^(Table4[[#This Row],[av]]/10))</f>
        <v>1</v>
      </c>
      <c r="X1501" s="2">
        <f>Table4[[#This Row],[av_lin]]-2*Table4[[#This Row],[std_lin]]</f>
        <v>-1</v>
      </c>
      <c r="Y1501" s="2">
        <f>Table4[[#This Row],[av_lin]]+2*Table4[[#This Row],[std_lin]]</f>
        <v>3</v>
      </c>
    </row>
    <row r="1502" spans="1:25" x14ac:dyDescent="0.35">
      <c r="A1502" s="1">
        <v>865</v>
      </c>
      <c r="B1502" t="s">
        <v>826</v>
      </c>
      <c r="C1502" t="s">
        <v>17</v>
      </c>
      <c r="D1502" t="s">
        <v>28</v>
      </c>
      <c r="E1502" s="2">
        <v>7736.8916666666664</v>
      </c>
      <c r="F1502" s="2">
        <v>111.0716074911652</v>
      </c>
      <c r="G1502">
        <v>12</v>
      </c>
      <c r="H1502" t="s">
        <v>19</v>
      </c>
      <c r="M1502" s="2">
        <v>7959.0348816489968</v>
      </c>
      <c r="N1502" s="2">
        <v>7514.748451684336</v>
      </c>
      <c r="O1502" s="2">
        <v>444.28642996466078</v>
      </c>
      <c r="P1502" s="2">
        <v>69.656790258321152</v>
      </c>
      <c r="R1502" t="str">
        <f t="shared" si="69"/>
        <v>no</v>
      </c>
      <c r="S1502" t="str">
        <f t="shared" si="70"/>
        <v>no</v>
      </c>
      <c r="T15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2" s="2" t="b">
        <f t="shared" si="71"/>
        <v>1</v>
      </c>
      <c r="V1502" s="2">
        <f>IF(Table4[[#This Row],[linear?]],Table4[[#This Row],[av]],10^(Table4[[#This Row],[av]]/10))</f>
        <v>7736.8916666666664</v>
      </c>
      <c r="W1502" s="2">
        <f>IF(Table4[[#This Row],[linear?]],Table4[[#This Row],[av]],10^(Table4[[#This Row],[av]]/10))</f>
        <v>7736.8916666666664</v>
      </c>
      <c r="X1502" s="2">
        <f>Table4[[#This Row],[av_lin]]-2*Table4[[#This Row],[std_lin]]</f>
        <v>-7736.8916666666664</v>
      </c>
      <c r="Y1502" s="2">
        <f>Table4[[#This Row],[av_lin]]+2*Table4[[#This Row],[std_lin]]</f>
        <v>23210.674999999999</v>
      </c>
    </row>
    <row r="1503" spans="1:25" x14ac:dyDescent="0.35">
      <c r="A1503" s="1">
        <v>866</v>
      </c>
      <c r="B1503" t="s">
        <v>826</v>
      </c>
      <c r="C1503" t="s">
        <v>17</v>
      </c>
      <c r="D1503" t="s">
        <v>29</v>
      </c>
      <c r="E1503" s="2">
        <v>1</v>
      </c>
      <c r="F1503" s="2">
        <v>0</v>
      </c>
      <c r="G1503">
        <v>12</v>
      </c>
      <c r="H1503" t="s">
        <v>19</v>
      </c>
      <c r="M1503" s="2">
        <v>1</v>
      </c>
      <c r="N1503" s="2">
        <v>1</v>
      </c>
      <c r="O1503" s="2">
        <v>0</v>
      </c>
      <c r="P1503" s="2" t="s">
        <v>21</v>
      </c>
      <c r="R1503" t="str">
        <f t="shared" si="69"/>
        <v>no</v>
      </c>
      <c r="S1503" t="str">
        <f t="shared" si="70"/>
        <v>no</v>
      </c>
      <c r="T15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3" s="2" t="b">
        <f t="shared" si="71"/>
        <v>1</v>
      </c>
      <c r="V1503" s="2">
        <f>IF(Table4[[#This Row],[linear?]],Table4[[#This Row],[av]],10^(Table4[[#This Row],[av]]/10))</f>
        <v>1</v>
      </c>
      <c r="W1503" s="2">
        <f>IF(Table4[[#This Row],[linear?]],Table4[[#This Row],[av]],10^(Table4[[#This Row],[av]]/10))</f>
        <v>1</v>
      </c>
      <c r="X1503" s="2">
        <f>Table4[[#This Row],[av_lin]]-2*Table4[[#This Row],[std_lin]]</f>
        <v>-1</v>
      </c>
      <c r="Y1503" s="2">
        <f>Table4[[#This Row],[av_lin]]+2*Table4[[#This Row],[std_lin]]</f>
        <v>3</v>
      </c>
    </row>
    <row r="1504" spans="1:25" x14ac:dyDescent="0.35">
      <c r="A1504" s="1">
        <v>867</v>
      </c>
      <c r="B1504" t="s">
        <v>826</v>
      </c>
      <c r="C1504" t="s">
        <v>17</v>
      </c>
      <c r="D1504" t="s">
        <v>30</v>
      </c>
      <c r="E1504" s="2">
        <v>7699.4194444444447</v>
      </c>
      <c r="F1504" s="2">
        <v>200.51994071684601</v>
      </c>
      <c r="G1504">
        <v>12</v>
      </c>
      <c r="H1504" t="s">
        <v>19</v>
      </c>
      <c r="M1504" s="2">
        <v>8100.459325878137</v>
      </c>
      <c r="N1504" s="2">
        <v>7298.3795630107516</v>
      </c>
      <c r="O1504" s="2">
        <v>802.07976286738449</v>
      </c>
      <c r="P1504" s="2">
        <v>38.397275686994078</v>
      </c>
      <c r="R1504" t="str">
        <f t="shared" si="69"/>
        <v>no</v>
      </c>
      <c r="S1504" t="str">
        <f t="shared" si="70"/>
        <v>no</v>
      </c>
      <c r="T15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4" s="2" t="b">
        <f t="shared" si="71"/>
        <v>1</v>
      </c>
      <c r="V1504" s="2">
        <f>IF(Table4[[#This Row],[linear?]],Table4[[#This Row],[av]],10^(Table4[[#This Row],[av]]/10))</f>
        <v>7699.4194444444447</v>
      </c>
      <c r="W1504" s="2">
        <f>IF(Table4[[#This Row],[linear?]],Table4[[#This Row],[av]],10^(Table4[[#This Row],[av]]/10))</f>
        <v>7699.4194444444447</v>
      </c>
      <c r="X1504" s="2">
        <f>Table4[[#This Row],[av_lin]]-2*Table4[[#This Row],[std_lin]]</f>
        <v>-7699.4194444444447</v>
      </c>
      <c r="Y1504" s="2">
        <f>Table4[[#This Row],[av_lin]]+2*Table4[[#This Row],[std_lin]]</f>
        <v>23098.258333333335</v>
      </c>
    </row>
    <row r="1505" spans="1:25" x14ac:dyDescent="0.35">
      <c r="A1505" s="1">
        <v>868</v>
      </c>
      <c r="B1505" t="s">
        <v>826</v>
      </c>
      <c r="C1505" t="s">
        <v>17</v>
      </c>
      <c r="D1505" t="s">
        <v>31</v>
      </c>
      <c r="E1505" s="2">
        <v>1</v>
      </c>
      <c r="F1505" s="2">
        <v>0</v>
      </c>
      <c r="G1505">
        <v>12</v>
      </c>
      <c r="H1505" t="s">
        <v>19</v>
      </c>
      <c r="M1505" s="2">
        <v>1</v>
      </c>
      <c r="N1505" s="2">
        <v>1</v>
      </c>
      <c r="O1505" s="2">
        <v>0</v>
      </c>
      <c r="P1505" s="2" t="s">
        <v>21</v>
      </c>
      <c r="R1505" t="str">
        <f t="shared" si="69"/>
        <v>no</v>
      </c>
      <c r="S1505" t="str">
        <f t="shared" si="70"/>
        <v>no</v>
      </c>
      <c r="T15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5" s="2" t="b">
        <f t="shared" si="71"/>
        <v>1</v>
      </c>
      <c r="V1505" s="2">
        <f>IF(Table4[[#This Row],[linear?]],Table4[[#This Row],[av]],10^(Table4[[#This Row],[av]]/10))</f>
        <v>1</v>
      </c>
      <c r="W1505" s="2">
        <f>IF(Table4[[#This Row],[linear?]],Table4[[#This Row],[av]],10^(Table4[[#This Row],[av]]/10))</f>
        <v>1</v>
      </c>
      <c r="X1505" s="2">
        <f>Table4[[#This Row],[av_lin]]-2*Table4[[#This Row],[std_lin]]</f>
        <v>-1</v>
      </c>
      <c r="Y1505" s="2">
        <f>Table4[[#This Row],[av_lin]]+2*Table4[[#This Row],[std_lin]]</f>
        <v>3</v>
      </c>
    </row>
    <row r="1506" spans="1:25" x14ac:dyDescent="0.35">
      <c r="A1506" s="1">
        <v>869</v>
      </c>
      <c r="B1506" t="s">
        <v>826</v>
      </c>
      <c r="C1506" t="s">
        <v>17</v>
      </c>
      <c r="D1506" t="s">
        <v>32</v>
      </c>
      <c r="E1506" s="2">
        <v>7700.8666666666668</v>
      </c>
      <c r="F1506" s="2">
        <v>64.083782006616701</v>
      </c>
      <c r="G1506">
        <v>12</v>
      </c>
      <c r="H1506" t="s">
        <v>19</v>
      </c>
      <c r="M1506" s="2">
        <v>7829.0342306799002</v>
      </c>
      <c r="N1506" s="2">
        <v>7572.6991026534333</v>
      </c>
      <c r="O1506" s="2">
        <v>256.33512802646692</v>
      </c>
      <c r="P1506" s="2">
        <v>120.1687295214809</v>
      </c>
      <c r="R1506" t="str">
        <f t="shared" si="69"/>
        <v>no</v>
      </c>
      <c r="S1506" t="str">
        <f t="shared" si="70"/>
        <v>no</v>
      </c>
      <c r="T15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6" s="2" t="b">
        <f t="shared" si="71"/>
        <v>1</v>
      </c>
      <c r="V1506" s="2">
        <f>IF(Table4[[#This Row],[linear?]],Table4[[#This Row],[av]],10^(Table4[[#This Row],[av]]/10))</f>
        <v>7700.8666666666668</v>
      </c>
      <c r="W1506" s="2">
        <f>IF(Table4[[#This Row],[linear?]],Table4[[#This Row],[av]],10^(Table4[[#This Row],[av]]/10))</f>
        <v>7700.8666666666668</v>
      </c>
      <c r="X1506" s="2">
        <f>Table4[[#This Row],[av_lin]]-2*Table4[[#This Row],[std_lin]]</f>
        <v>-7700.8666666666668</v>
      </c>
      <c r="Y1506" s="2">
        <f>Table4[[#This Row],[av_lin]]+2*Table4[[#This Row],[std_lin]]</f>
        <v>23102.6</v>
      </c>
    </row>
    <row r="1507" spans="1:25" x14ac:dyDescent="0.35">
      <c r="A1507" s="1">
        <v>870</v>
      </c>
      <c r="B1507" t="s">
        <v>826</v>
      </c>
      <c r="C1507" t="s">
        <v>17</v>
      </c>
      <c r="D1507" t="s">
        <v>33</v>
      </c>
      <c r="E1507" s="2">
        <v>1</v>
      </c>
      <c r="F1507" s="2">
        <v>0</v>
      </c>
      <c r="G1507">
        <v>12</v>
      </c>
      <c r="H1507" t="s">
        <v>19</v>
      </c>
      <c r="M1507" s="2">
        <v>1</v>
      </c>
      <c r="N1507" s="2">
        <v>1</v>
      </c>
      <c r="O1507" s="2">
        <v>0</v>
      </c>
      <c r="P1507" s="2" t="s">
        <v>21</v>
      </c>
      <c r="R1507" t="str">
        <f t="shared" si="69"/>
        <v>no</v>
      </c>
      <c r="S1507" t="str">
        <f t="shared" si="70"/>
        <v>no</v>
      </c>
      <c r="T15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7" s="2" t="b">
        <f t="shared" si="71"/>
        <v>1</v>
      </c>
      <c r="V1507" s="2">
        <f>IF(Table4[[#This Row],[linear?]],Table4[[#This Row],[av]],10^(Table4[[#This Row],[av]]/10))</f>
        <v>1</v>
      </c>
      <c r="W1507" s="2">
        <f>IF(Table4[[#This Row],[linear?]],Table4[[#This Row],[av]],10^(Table4[[#This Row],[av]]/10))</f>
        <v>1</v>
      </c>
      <c r="X1507" s="2">
        <f>Table4[[#This Row],[av_lin]]-2*Table4[[#This Row],[std_lin]]</f>
        <v>-1</v>
      </c>
      <c r="Y1507" s="2">
        <f>Table4[[#This Row],[av_lin]]+2*Table4[[#This Row],[std_lin]]</f>
        <v>3</v>
      </c>
    </row>
    <row r="1508" spans="1:25" x14ac:dyDescent="0.35">
      <c r="A1508" s="1">
        <v>871</v>
      </c>
      <c r="B1508" t="s">
        <v>826</v>
      </c>
      <c r="C1508" t="s">
        <v>17</v>
      </c>
      <c r="D1508" t="s">
        <v>34</v>
      </c>
      <c r="E1508" s="2">
        <v>7658.75</v>
      </c>
      <c r="F1508" s="2">
        <v>59.370388640457357</v>
      </c>
      <c r="G1508">
        <v>12</v>
      </c>
      <c r="H1508" t="s">
        <v>19</v>
      </c>
      <c r="M1508" s="2">
        <v>7777.4907772809147</v>
      </c>
      <c r="N1508" s="2">
        <v>7540.0092227190853</v>
      </c>
      <c r="O1508" s="2">
        <v>237.4815545618294</v>
      </c>
      <c r="P1508" s="2">
        <v>128.99949243015431</v>
      </c>
      <c r="R1508" t="str">
        <f t="shared" si="69"/>
        <v>no</v>
      </c>
      <c r="S1508" t="str">
        <f t="shared" si="70"/>
        <v>no</v>
      </c>
      <c r="T15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8" s="2" t="b">
        <f t="shared" si="71"/>
        <v>1</v>
      </c>
      <c r="V1508" s="2">
        <f>IF(Table4[[#This Row],[linear?]],Table4[[#This Row],[av]],10^(Table4[[#This Row],[av]]/10))</f>
        <v>7658.75</v>
      </c>
      <c r="W1508" s="2">
        <f>IF(Table4[[#This Row],[linear?]],Table4[[#This Row],[av]],10^(Table4[[#This Row],[av]]/10))</f>
        <v>7658.75</v>
      </c>
      <c r="X1508" s="2">
        <f>Table4[[#This Row],[av_lin]]-2*Table4[[#This Row],[std_lin]]</f>
        <v>-7658.75</v>
      </c>
      <c r="Y1508" s="2">
        <f>Table4[[#This Row],[av_lin]]+2*Table4[[#This Row],[std_lin]]</f>
        <v>22976.25</v>
      </c>
    </row>
    <row r="1509" spans="1:25" x14ac:dyDescent="0.35">
      <c r="A1509" s="1">
        <v>872</v>
      </c>
      <c r="B1509" t="s">
        <v>826</v>
      </c>
      <c r="C1509" t="s">
        <v>17</v>
      </c>
      <c r="D1509" t="s">
        <v>35</v>
      </c>
      <c r="E1509" s="2">
        <v>1</v>
      </c>
      <c r="F1509" s="2">
        <v>0</v>
      </c>
      <c r="G1509">
        <v>12</v>
      </c>
      <c r="H1509" t="s">
        <v>19</v>
      </c>
      <c r="M1509" s="2">
        <v>1</v>
      </c>
      <c r="N1509" s="2">
        <v>1</v>
      </c>
      <c r="O1509" s="2">
        <v>0</v>
      </c>
      <c r="P1509" s="2" t="s">
        <v>21</v>
      </c>
      <c r="R1509" t="str">
        <f t="shared" si="69"/>
        <v>no</v>
      </c>
      <c r="S1509" t="str">
        <f t="shared" si="70"/>
        <v>no</v>
      </c>
      <c r="T15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9" s="2" t="b">
        <f t="shared" si="71"/>
        <v>1</v>
      </c>
      <c r="V1509" s="2">
        <f>IF(Table4[[#This Row],[linear?]],Table4[[#This Row],[av]],10^(Table4[[#This Row],[av]]/10))</f>
        <v>1</v>
      </c>
      <c r="W1509" s="2">
        <f>IF(Table4[[#This Row],[linear?]],Table4[[#This Row],[av]],10^(Table4[[#This Row],[av]]/10))</f>
        <v>1</v>
      </c>
      <c r="X1509" s="2">
        <f>Table4[[#This Row],[av_lin]]-2*Table4[[#This Row],[std_lin]]</f>
        <v>-1</v>
      </c>
      <c r="Y1509" s="2">
        <f>Table4[[#This Row],[av_lin]]+2*Table4[[#This Row],[std_lin]]</f>
        <v>3</v>
      </c>
    </row>
    <row r="1510" spans="1:25" x14ac:dyDescent="0.35">
      <c r="A1510" s="1">
        <v>873</v>
      </c>
      <c r="B1510" t="s">
        <v>826</v>
      </c>
      <c r="C1510" t="s">
        <v>17</v>
      </c>
      <c r="D1510" t="s">
        <v>36</v>
      </c>
      <c r="E1510" s="2">
        <v>2.845746666666666</v>
      </c>
      <c r="F1510" s="2">
        <v>3.076736477161891E-2</v>
      </c>
      <c r="G1510">
        <v>12</v>
      </c>
      <c r="H1510" t="s">
        <v>19</v>
      </c>
      <c r="M1510" s="2">
        <v>2.9072813962099038</v>
      </c>
      <c r="N1510" s="2">
        <v>2.7842119371234282</v>
      </c>
      <c r="O1510" s="2">
        <v>0.1230694590864756</v>
      </c>
      <c r="P1510" s="2">
        <v>92.492375859621902</v>
      </c>
      <c r="R1510" t="str">
        <f t="shared" si="69"/>
        <v>no</v>
      </c>
      <c r="S1510" t="str">
        <f t="shared" si="70"/>
        <v>no</v>
      </c>
      <c r="T15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0" s="2" t="b">
        <f t="shared" si="71"/>
        <v>1</v>
      </c>
      <c r="V1510" s="2">
        <f>IF(Table4[[#This Row],[linear?]],Table4[[#This Row],[av]],10^(Table4[[#This Row],[av]]/10))</f>
        <v>2.845746666666666</v>
      </c>
      <c r="W1510" s="2">
        <f>IF(Table4[[#This Row],[linear?]],Table4[[#This Row],[av]],10^(Table4[[#This Row],[av]]/10))</f>
        <v>2.845746666666666</v>
      </c>
      <c r="X1510" s="2">
        <f>Table4[[#This Row],[av_lin]]-2*Table4[[#This Row],[std_lin]]</f>
        <v>-2.845746666666666</v>
      </c>
      <c r="Y1510" s="2">
        <f>Table4[[#This Row],[av_lin]]+2*Table4[[#This Row],[std_lin]]</f>
        <v>8.5372399999999971</v>
      </c>
    </row>
    <row r="1511" spans="1:25" x14ac:dyDescent="0.35">
      <c r="A1511" s="1">
        <v>874</v>
      </c>
      <c r="B1511" t="s">
        <v>826</v>
      </c>
      <c r="C1511" t="s">
        <v>17</v>
      </c>
      <c r="D1511" t="s">
        <v>37</v>
      </c>
      <c r="E1511" s="2">
        <v>24.293457777777778</v>
      </c>
      <c r="F1511" s="2">
        <v>0.30909152381254212</v>
      </c>
      <c r="G1511">
        <v>12</v>
      </c>
      <c r="H1511" t="s">
        <v>19</v>
      </c>
      <c r="M1511" s="2">
        <v>24.911640825402859</v>
      </c>
      <c r="N1511" s="2">
        <v>23.67527473015269</v>
      </c>
      <c r="O1511" s="2">
        <v>1.2363660952501689</v>
      </c>
      <c r="P1511" s="2">
        <v>78.596324732965755</v>
      </c>
      <c r="R1511" t="str">
        <f t="shared" si="69"/>
        <v>no</v>
      </c>
      <c r="S1511" t="str">
        <f t="shared" si="70"/>
        <v>no</v>
      </c>
      <c r="T15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1" s="2" t="b">
        <f t="shared" si="71"/>
        <v>1</v>
      </c>
      <c r="V1511" s="2">
        <f>IF(Table4[[#This Row],[linear?]],Table4[[#This Row],[av]],10^(Table4[[#This Row],[av]]/10))</f>
        <v>24.293457777777778</v>
      </c>
      <c r="W1511" s="2">
        <f>IF(Table4[[#This Row],[linear?]],Table4[[#This Row],[av]],10^(Table4[[#This Row],[av]]/10))</f>
        <v>24.293457777777778</v>
      </c>
      <c r="X1511" s="2">
        <f>Table4[[#This Row],[av_lin]]-2*Table4[[#This Row],[std_lin]]</f>
        <v>-24.293457777777778</v>
      </c>
      <c r="Y1511" s="2">
        <f>Table4[[#This Row],[av_lin]]+2*Table4[[#This Row],[std_lin]]</f>
        <v>72.880373333333338</v>
      </c>
    </row>
    <row r="1512" spans="1:25" x14ac:dyDescent="0.35">
      <c r="A1512" s="1">
        <v>875</v>
      </c>
      <c r="B1512" t="s">
        <v>826</v>
      </c>
      <c r="C1512" t="s">
        <v>17</v>
      </c>
      <c r="D1512" t="s">
        <v>38</v>
      </c>
      <c r="E1512" s="2">
        <v>8.5926111111111106E-2</v>
      </c>
      <c r="F1512" s="2">
        <v>3.4428981441827259E-3</v>
      </c>
      <c r="G1512">
        <v>12</v>
      </c>
      <c r="H1512" t="s">
        <v>19</v>
      </c>
      <c r="M1512" s="2">
        <v>9.2811907399476562E-2</v>
      </c>
      <c r="N1512" s="2">
        <v>7.904031482274565E-2</v>
      </c>
      <c r="O1512" s="2">
        <v>1.377159257673091E-2</v>
      </c>
      <c r="P1512" s="2">
        <v>24.95749438777203</v>
      </c>
      <c r="R1512" t="str">
        <f t="shared" si="69"/>
        <v>no</v>
      </c>
      <c r="S1512" t="str">
        <f t="shared" si="70"/>
        <v>no</v>
      </c>
      <c r="T15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2" s="2" t="b">
        <f t="shared" si="71"/>
        <v>1</v>
      </c>
      <c r="V1512" s="2">
        <f>IF(Table4[[#This Row],[linear?]],Table4[[#This Row],[av]],10^(Table4[[#This Row],[av]]/10))</f>
        <v>8.5926111111111106E-2</v>
      </c>
      <c r="W1512" s="2">
        <f>IF(Table4[[#This Row],[linear?]],Table4[[#This Row],[av]],10^(Table4[[#This Row],[av]]/10))</f>
        <v>8.5926111111111106E-2</v>
      </c>
      <c r="X1512" s="2">
        <f>Table4[[#This Row],[av_lin]]-2*Table4[[#This Row],[std_lin]]</f>
        <v>-8.5926111111111106E-2</v>
      </c>
      <c r="Y1512" s="2">
        <f>Table4[[#This Row],[av_lin]]+2*Table4[[#This Row],[std_lin]]</f>
        <v>0.25777833333333333</v>
      </c>
    </row>
    <row r="1513" spans="1:25" x14ac:dyDescent="0.35">
      <c r="A1513" s="1">
        <v>876</v>
      </c>
      <c r="B1513" t="s">
        <v>826</v>
      </c>
      <c r="C1513" t="s">
        <v>17</v>
      </c>
      <c r="D1513" t="s">
        <v>39</v>
      </c>
      <c r="E1513" s="2">
        <v>24.322433888888881</v>
      </c>
      <c r="F1513" s="2">
        <v>0.31932352623840549</v>
      </c>
      <c r="G1513">
        <v>12</v>
      </c>
      <c r="H1513" t="s">
        <v>19</v>
      </c>
      <c r="M1513" s="2">
        <v>24.96108094136569</v>
      </c>
      <c r="N1513" s="2">
        <v>23.683786836412072</v>
      </c>
      <c r="O1513" s="2">
        <v>1.2772941049536191</v>
      </c>
      <c r="P1513" s="2">
        <v>76.168624890888438</v>
      </c>
      <c r="R1513" t="str">
        <f t="shared" si="69"/>
        <v>no</v>
      </c>
      <c r="S1513" t="str">
        <f t="shared" si="70"/>
        <v>no</v>
      </c>
      <c r="T15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3" s="2" t="b">
        <f t="shared" si="71"/>
        <v>1</v>
      </c>
      <c r="V1513" s="2">
        <f>IF(Table4[[#This Row],[linear?]],Table4[[#This Row],[av]],10^(Table4[[#This Row],[av]]/10))</f>
        <v>24.322433888888881</v>
      </c>
      <c r="W1513" s="2">
        <f>IF(Table4[[#This Row],[linear?]],Table4[[#This Row],[av]],10^(Table4[[#This Row],[av]]/10))</f>
        <v>24.322433888888881</v>
      </c>
      <c r="X1513" s="2">
        <f>Table4[[#This Row],[av_lin]]-2*Table4[[#This Row],[std_lin]]</f>
        <v>-24.322433888888881</v>
      </c>
      <c r="Y1513" s="2">
        <f>Table4[[#This Row],[av_lin]]+2*Table4[[#This Row],[std_lin]]</f>
        <v>72.967301666666643</v>
      </c>
    </row>
    <row r="1514" spans="1:25" x14ac:dyDescent="0.35">
      <c r="A1514" s="1">
        <v>877</v>
      </c>
      <c r="B1514" t="s">
        <v>826</v>
      </c>
      <c r="C1514" t="s">
        <v>17</v>
      </c>
      <c r="D1514" t="s">
        <v>40</v>
      </c>
      <c r="E1514" s="2">
        <v>9.7119999999999998E-2</v>
      </c>
      <c r="F1514" s="2">
        <v>8.5622618313024347E-3</v>
      </c>
      <c r="G1514">
        <v>12</v>
      </c>
      <c r="H1514" t="s">
        <v>19</v>
      </c>
      <c r="M1514" s="2">
        <v>0.1142445236626049</v>
      </c>
      <c r="N1514" s="2">
        <v>7.9995476337395122E-2</v>
      </c>
      <c r="O1514" s="2">
        <v>3.4249047325209753E-2</v>
      </c>
      <c r="P1514" s="2">
        <v>11.342797255386751</v>
      </c>
      <c r="R1514" t="str">
        <f t="shared" si="69"/>
        <v>no</v>
      </c>
      <c r="S1514" t="str">
        <f t="shared" si="70"/>
        <v>no</v>
      </c>
      <c r="T15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4" s="2" t="b">
        <f t="shared" si="71"/>
        <v>1</v>
      </c>
      <c r="V1514" s="2">
        <f>IF(Table4[[#This Row],[linear?]],Table4[[#This Row],[av]],10^(Table4[[#This Row],[av]]/10))</f>
        <v>9.7119999999999998E-2</v>
      </c>
      <c r="W1514" s="2">
        <f>IF(Table4[[#This Row],[linear?]],Table4[[#This Row],[av]],10^(Table4[[#This Row],[av]]/10))</f>
        <v>9.7119999999999998E-2</v>
      </c>
      <c r="X1514" s="2">
        <f>Table4[[#This Row],[av_lin]]-2*Table4[[#This Row],[std_lin]]</f>
        <v>-9.7119999999999998E-2</v>
      </c>
      <c r="Y1514" s="2">
        <f>Table4[[#This Row],[av_lin]]+2*Table4[[#This Row],[std_lin]]</f>
        <v>0.29136000000000001</v>
      </c>
    </row>
    <row r="1515" spans="1:25" x14ac:dyDescent="0.35">
      <c r="A1515" s="1">
        <v>878</v>
      </c>
      <c r="B1515" t="s">
        <v>826</v>
      </c>
      <c r="C1515" t="s">
        <v>17</v>
      </c>
      <c r="D1515" t="s">
        <v>41</v>
      </c>
      <c r="E1515" s="2">
        <v>24.27074</v>
      </c>
      <c r="F1515" s="2">
        <v>0.2398530511198155</v>
      </c>
      <c r="G1515">
        <v>12</v>
      </c>
      <c r="H1515" t="s">
        <v>19</v>
      </c>
      <c r="M1515" s="2">
        <v>24.750446102239628</v>
      </c>
      <c r="N1515" s="2">
        <v>23.791033897760371</v>
      </c>
      <c r="O1515" s="2">
        <v>0.95941220447926412</v>
      </c>
      <c r="P1515" s="2">
        <v>101.19004067984891</v>
      </c>
      <c r="R1515" t="str">
        <f t="shared" si="69"/>
        <v>no</v>
      </c>
      <c r="S1515" t="str">
        <f t="shared" si="70"/>
        <v>no</v>
      </c>
      <c r="T15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5" s="2" t="b">
        <f t="shared" si="71"/>
        <v>1</v>
      </c>
      <c r="V1515" s="2">
        <f>IF(Table4[[#This Row],[linear?]],Table4[[#This Row],[av]],10^(Table4[[#This Row],[av]]/10))</f>
        <v>24.27074</v>
      </c>
      <c r="W1515" s="2">
        <f>IF(Table4[[#This Row],[linear?]],Table4[[#This Row],[av]],10^(Table4[[#This Row],[av]]/10))</f>
        <v>24.27074</v>
      </c>
      <c r="X1515" s="2">
        <f>Table4[[#This Row],[av_lin]]-2*Table4[[#This Row],[std_lin]]</f>
        <v>-24.27074</v>
      </c>
      <c r="Y1515" s="2">
        <f>Table4[[#This Row],[av_lin]]+2*Table4[[#This Row],[std_lin]]</f>
        <v>72.812219999999996</v>
      </c>
    </row>
    <row r="1516" spans="1:25" x14ac:dyDescent="0.35">
      <c r="A1516" s="1">
        <v>879</v>
      </c>
      <c r="B1516" t="s">
        <v>826</v>
      </c>
      <c r="C1516" t="s">
        <v>17</v>
      </c>
      <c r="D1516" t="s">
        <v>42</v>
      </c>
      <c r="E1516" s="2">
        <v>1.9313611111111111E-2</v>
      </c>
      <c r="F1516" s="2">
        <v>4.64937478760305E-3</v>
      </c>
      <c r="G1516">
        <v>12</v>
      </c>
      <c r="H1516" t="s">
        <v>19</v>
      </c>
      <c r="M1516" s="2">
        <v>2.8612360686317211E-2</v>
      </c>
      <c r="N1516" s="2">
        <v>1.001486153590501E-2</v>
      </c>
      <c r="O1516" s="2">
        <v>1.85974991504122E-2</v>
      </c>
      <c r="P1516" s="2">
        <v>4.1540232812825346</v>
      </c>
      <c r="R1516" t="str">
        <f t="shared" si="69"/>
        <v>no</v>
      </c>
      <c r="S1516" t="str">
        <f t="shared" si="70"/>
        <v>no</v>
      </c>
      <c r="T15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6" s="2" t="b">
        <f t="shared" si="71"/>
        <v>1</v>
      </c>
      <c r="V1516" s="2">
        <f>IF(Table4[[#This Row],[linear?]],Table4[[#This Row],[av]],10^(Table4[[#This Row],[av]]/10))</f>
        <v>1.9313611111111111E-2</v>
      </c>
      <c r="W1516" s="2">
        <f>IF(Table4[[#This Row],[linear?]],Table4[[#This Row],[av]],10^(Table4[[#This Row],[av]]/10))</f>
        <v>1.9313611111111111E-2</v>
      </c>
      <c r="X1516" s="2">
        <f>Table4[[#This Row],[av_lin]]-2*Table4[[#This Row],[std_lin]]</f>
        <v>-1.9313611111111111E-2</v>
      </c>
      <c r="Y1516" s="2">
        <f>Table4[[#This Row],[av_lin]]+2*Table4[[#This Row],[std_lin]]</f>
        <v>5.794083333333333E-2</v>
      </c>
    </row>
    <row r="1517" spans="1:25" x14ac:dyDescent="0.35">
      <c r="A1517" s="1">
        <v>880</v>
      </c>
      <c r="B1517" t="s">
        <v>826</v>
      </c>
      <c r="C1517" t="s">
        <v>17</v>
      </c>
      <c r="D1517" t="s">
        <v>43</v>
      </c>
      <c r="E1517" s="2">
        <v>24.283873611111119</v>
      </c>
      <c r="F1517" s="2">
        <v>0.27571904796679392</v>
      </c>
      <c r="G1517">
        <v>12</v>
      </c>
      <c r="H1517" t="s">
        <v>19</v>
      </c>
      <c r="M1517" s="2">
        <v>24.83531170704471</v>
      </c>
      <c r="N1517" s="2">
        <v>23.732435515177531</v>
      </c>
      <c r="O1517" s="2">
        <v>1.102876191867175</v>
      </c>
      <c r="P1517" s="2">
        <v>88.074704269382707</v>
      </c>
      <c r="R1517" t="str">
        <f t="shared" si="69"/>
        <v>no</v>
      </c>
      <c r="S1517" t="str">
        <f t="shared" si="70"/>
        <v>no</v>
      </c>
      <c r="T15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7" s="2" t="b">
        <f t="shared" si="71"/>
        <v>1</v>
      </c>
      <c r="V1517" s="2">
        <f>IF(Table4[[#This Row],[linear?]],Table4[[#This Row],[av]],10^(Table4[[#This Row],[av]]/10))</f>
        <v>24.283873611111119</v>
      </c>
      <c r="W1517" s="2">
        <f>IF(Table4[[#This Row],[linear?]],Table4[[#This Row],[av]],10^(Table4[[#This Row],[av]]/10))</f>
        <v>24.283873611111119</v>
      </c>
      <c r="X1517" s="2">
        <f>Table4[[#This Row],[av_lin]]-2*Table4[[#This Row],[std_lin]]</f>
        <v>-24.283873611111119</v>
      </c>
      <c r="Y1517" s="2">
        <f>Table4[[#This Row],[av_lin]]+2*Table4[[#This Row],[std_lin]]</f>
        <v>72.851620833333357</v>
      </c>
    </row>
    <row r="1518" spans="1:25" x14ac:dyDescent="0.35">
      <c r="A1518" s="1">
        <v>881</v>
      </c>
      <c r="B1518" t="s">
        <v>826</v>
      </c>
      <c r="C1518" t="s">
        <v>17</v>
      </c>
      <c r="D1518" t="s">
        <v>44</v>
      </c>
      <c r="E1518" s="2">
        <v>6.1399999999999996E-3</v>
      </c>
      <c r="F1518" s="2">
        <v>6.2140480865315723E-4</v>
      </c>
      <c r="G1518">
        <v>12</v>
      </c>
      <c r="H1518" t="s">
        <v>19</v>
      </c>
      <c r="M1518" s="2">
        <v>7.3828096173063143E-3</v>
      </c>
      <c r="N1518" s="2">
        <v>4.897190382693685E-3</v>
      </c>
      <c r="O1518" s="2">
        <v>2.4856192346126289E-3</v>
      </c>
      <c r="P1518" s="2">
        <v>9.8808376029595504</v>
      </c>
      <c r="R1518" t="str">
        <f t="shared" si="69"/>
        <v>no</v>
      </c>
      <c r="S1518" t="str">
        <f t="shared" si="70"/>
        <v>no</v>
      </c>
      <c r="T15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8" s="2" t="b">
        <f t="shared" si="71"/>
        <v>1</v>
      </c>
      <c r="V1518" s="2">
        <f>IF(Table4[[#This Row],[linear?]],Table4[[#This Row],[av]],10^(Table4[[#This Row],[av]]/10))</f>
        <v>6.1399999999999996E-3</v>
      </c>
      <c r="W1518" s="2">
        <f>IF(Table4[[#This Row],[linear?]],Table4[[#This Row],[av]],10^(Table4[[#This Row],[av]]/10))</f>
        <v>6.1399999999999996E-3</v>
      </c>
      <c r="X1518" s="2">
        <f>Table4[[#This Row],[av_lin]]-2*Table4[[#This Row],[std_lin]]</f>
        <v>-6.1399999999999996E-3</v>
      </c>
      <c r="Y1518" s="2">
        <f>Table4[[#This Row],[av_lin]]+2*Table4[[#This Row],[std_lin]]</f>
        <v>1.8419999999999999E-2</v>
      </c>
    </row>
    <row r="1519" spans="1:25" x14ac:dyDescent="0.35">
      <c r="A1519" s="1">
        <v>882</v>
      </c>
      <c r="B1519" t="s">
        <v>826</v>
      </c>
      <c r="C1519" t="s">
        <v>17</v>
      </c>
      <c r="D1519" t="s">
        <v>45</v>
      </c>
      <c r="E1519" s="2">
        <v>35.987464444444441</v>
      </c>
      <c r="F1519" s="2">
        <v>0.2207326090571122</v>
      </c>
      <c r="G1519">
        <v>12</v>
      </c>
      <c r="H1519" t="s">
        <v>19</v>
      </c>
      <c r="M1519" s="2">
        <v>36.428929662558673</v>
      </c>
      <c r="N1519" s="2">
        <v>35.545999226330217</v>
      </c>
      <c r="O1519" s="2">
        <v>0.88293043622844891</v>
      </c>
      <c r="P1519" s="2">
        <v>163.0364656956194</v>
      </c>
      <c r="R1519" t="str">
        <f t="shared" si="69"/>
        <v>no</v>
      </c>
      <c r="S1519" t="str">
        <f t="shared" si="70"/>
        <v>no</v>
      </c>
      <c r="T15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9" s="2" t="b">
        <f t="shared" si="71"/>
        <v>1</v>
      </c>
      <c r="V1519" s="2">
        <f>IF(Table4[[#This Row],[linear?]],Table4[[#This Row],[av]],10^(Table4[[#This Row],[av]]/10))</f>
        <v>35.987464444444441</v>
      </c>
      <c r="W1519" s="2">
        <f>IF(Table4[[#This Row],[linear?]],Table4[[#This Row],[av]],10^(Table4[[#This Row],[av]]/10))</f>
        <v>35.987464444444441</v>
      </c>
      <c r="X1519" s="2">
        <f>Table4[[#This Row],[av_lin]]-2*Table4[[#This Row],[std_lin]]</f>
        <v>-35.987464444444441</v>
      </c>
      <c r="Y1519" s="2">
        <f>Table4[[#This Row],[av_lin]]+2*Table4[[#This Row],[std_lin]]</f>
        <v>107.96239333333332</v>
      </c>
    </row>
    <row r="1520" spans="1:25" x14ac:dyDescent="0.35">
      <c r="A1520" s="1">
        <v>883</v>
      </c>
      <c r="B1520" t="s">
        <v>826</v>
      </c>
      <c r="C1520" t="s">
        <v>17</v>
      </c>
      <c r="D1520" t="s">
        <v>46</v>
      </c>
      <c r="E1520" s="2">
        <v>1.9890277777777781E-2</v>
      </c>
      <c r="F1520" s="2">
        <v>1.203917525242745E-2</v>
      </c>
      <c r="G1520">
        <v>12</v>
      </c>
      <c r="H1520" t="s">
        <v>19</v>
      </c>
      <c r="M1520" s="2">
        <v>4.3968628282632677E-2</v>
      </c>
      <c r="N1520" s="2">
        <v>-4.1880727270771183E-3</v>
      </c>
      <c r="O1520" s="2">
        <v>4.8156701009709799E-2</v>
      </c>
      <c r="P1520" s="2">
        <v>1.6521295986423421</v>
      </c>
      <c r="R1520" t="str">
        <f t="shared" si="69"/>
        <v>no</v>
      </c>
      <c r="S1520" t="str">
        <f t="shared" si="70"/>
        <v>no</v>
      </c>
      <c r="T15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0" s="2" t="b">
        <f t="shared" si="71"/>
        <v>1</v>
      </c>
      <c r="V1520" s="2">
        <f>IF(Table4[[#This Row],[linear?]],Table4[[#This Row],[av]],10^(Table4[[#This Row],[av]]/10))</f>
        <v>1.9890277777777781E-2</v>
      </c>
      <c r="W1520" s="2">
        <f>IF(Table4[[#This Row],[linear?]],Table4[[#This Row],[av]],10^(Table4[[#This Row],[av]]/10))</f>
        <v>1.9890277777777781E-2</v>
      </c>
      <c r="X1520" s="2">
        <f>Table4[[#This Row],[av_lin]]-2*Table4[[#This Row],[std_lin]]</f>
        <v>-1.9890277777777781E-2</v>
      </c>
      <c r="Y1520" s="2">
        <f>Table4[[#This Row],[av_lin]]+2*Table4[[#This Row],[std_lin]]</f>
        <v>5.967083333333334E-2</v>
      </c>
    </row>
    <row r="1521" spans="1:25" x14ac:dyDescent="0.35">
      <c r="A1521" s="1">
        <v>884</v>
      </c>
      <c r="B1521" t="s">
        <v>826</v>
      </c>
      <c r="C1521" t="s">
        <v>17</v>
      </c>
      <c r="D1521" t="s">
        <v>47</v>
      </c>
      <c r="E1521" s="2">
        <v>35.992015000000002</v>
      </c>
      <c r="F1521" s="2">
        <v>0.1976677026437664</v>
      </c>
      <c r="G1521">
        <v>12</v>
      </c>
      <c r="H1521" t="s">
        <v>19</v>
      </c>
      <c r="M1521" s="2">
        <v>36.387350405287528</v>
      </c>
      <c r="N1521" s="2">
        <v>35.596679594712469</v>
      </c>
      <c r="O1521" s="2">
        <v>0.79067081057506527</v>
      </c>
      <c r="P1521" s="2">
        <v>182.0834386124487</v>
      </c>
      <c r="R1521" t="str">
        <f t="shared" si="69"/>
        <v>no</v>
      </c>
      <c r="S1521" t="str">
        <f t="shared" si="70"/>
        <v>no</v>
      </c>
      <c r="T15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1" s="2" t="b">
        <f t="shared" si="71"/>
        <v>1</v>
      </c>
      <c r="V1521" s="2">
        <f>IF(Table4[[#This Row],[linear?]],Table4[[#This Row],[av]],10^(Table4[[#This Row],[av]]/10))</f>
        <v>35.992015000000002</v>
      </c>
      <c r="W1521" s="2">
        <f>IF(Table4[[#This Row],[linear?]],Table4[[#This Row],[av]],10^(Table4[[#This Row],[av]]/10))</f>
        <v>35.992015000000002</v>
      </c>
      <c r="X1521" s="2">
        <f>Table4[[#This Row],[av_lin]]-2*Table4[[#This Row],[std_lin]]</f>
        <v>-35.992015000000002</v>
      </c>
      <c r="Y1521" s="2">
        <f>Table4[[#This Row],[av_lin]]+2*Table4[[#This Row],[std_lin]]</f>
        <v>107.976045</v>
      </c>
    </row>
    <row r="1522" spans="1:25" x14ac:dyDescent="0.35">
      <c r="A1522" s="1">
        <v>885</v>
      </c>
      <c r="B1522" t="s">
        <v>826</v>
      </c>
      <c r="C1522" t="s">
        <v>17</v>
      </c>
      <c r="D1522" t="s">
        <v>48</v>
      </c>
      <c r="E1522" s="2">
        <v>6.163611111111111E-3</v>
      </c>
      <c r="F1522" s="2">
        <v>5.9381529668951208E-4</v>
      </c>
      <c r="G1522">
        <v>12</v>
      </c>
      <c r="H1522" t="s">
        <v>19</v>
      </c>
      <c r="M1522" s="2">
        <v>7.3512417044901352E-3</v>
      </c>
      <c r="N1522" s="2">
        <v>4.9759805177320869E-3</v>
      </c>
      <c r="O1522" s="2">
        <v>2.3752611867580479E-3</v>
      </c>
      <c r="P1522" s="2">
        <v>10.379677225347519</v>
      </c>
      <c r="R1522" t="str">
        <f t="shared" si="69"/>
        <v>no</v>
      </c>
      <c r="S1522" t="str">
        <f t="shared" si="70"/>
        <v>no</v>
      </c>
      <c r="T15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2" s="2" t="b">
        <f t="shared" si="71"/>
        <v>1</v>
      </c>
      <c r="V1522" s="2">
        <f>IF(Table4[[#This Row],[linear?]],Table4[[#This Row],[av]],10^(Table4[[#This Row],[av]]/10))</f>
        <v>6.163611111111111E-3</v>
      </c>
      <c r="W1522" s="2">
        <f>IF(Table4[[#This Row],[linear?]],Table4[[#This Row],[av]],10^(Table4[[#This Row],[av]]/10))</f>
        <v>6.163611111111111E-3</v>
      </c>
      <c r="X1522" s="2">
        <f>Table4[[#This Row],[av_lin]]-2*Table4[[#This Row],[std_lin]]</f>
        <v>-6.163611111111111E-3</v>
      </c>
      <c r="Y1522" s="2">
        <f>Table4[[#This Row],[av_lin]]+2*Table4[[#This Row],[std_lin]]</f>
        <v>1.8490833333333331E-2</v>
      </c>
    </row>
    <row r="1523" spans="1:25" x14ac:dyDescent="0.35">
      <c r="A1523" s="1">
        <v>886</v>
      </c>
      <c r="B1523" t="s">
        <v>826</v>
      </c>
      <c r="C1523" t="s">
        <v>17</v>
      </c>
      <c r="D1523" t="s">
        <v>49</v>
      </c>
      <c r="E1523" s="2">
        <v>35.950657500000013</v>
      </c>
      <c r="F1523" s="2">
        <v>0.1267117217414801</v>
      </c>
      <c r="G1523">
        <v>12</v>
      </c>
      <c r="H1523" t="s">
        <v>19</v>
      </c>
      <c r="M1523" s="2">
        <v>36.204080943482971</v>
      </c>
      <c r="N1523" s="2">
        <v>35.697234056517047</v>
      </c>
      <c r="O1523" s="2">
        <v>0.50684688696591707</v>
      </c>
      <c r="P1523" s="2">
        <v>283.72006161629861</v>
      </c>
      <c r="R1523" t="str">
        <f t="shared" si="69"/>
        <v>no</v>
      </c>
      <c r="S1523" t="str">
        <f t="shared" si="70"/>
        <v>no</v>
      </c>
      <c r="T15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3" s="2" t="b">
        <f t="shared" si="71"/>
        <v>1</v>
      </c>
      <c r="V1523" s="2">
        <f>IF(Table4[[#This Row],[linear?]],Table4[[#This Row],[av]],10^(Table4[[#This Row],[av]]/10))</f>
        <v>35.950657500000013</v>
      </c>
      <c r="W1523" s="2">
        <f>IF(Table4[[#This Row],[linear?]],Table4[[#This Row],[av]],10^(Table4[[#This Row],[av]]/10))</f>
        <v>35.950657500000013</v>
      </c>
      <c r="X1523" s="2">
        <f>Table4[[#This Row],[av_lin]]-2*Table4[[#This Row],[std_lin]]</f>
        <v>-35.950657500000013</v>
      </c>
      <c r="Y1523" s="2">
        <f>Table4[[#This Row],[av_lin]]+2*Table4[[#This Row],[std_lin]]</f>
        <v>107.85197250000004</v>
      </c>
    </row>
    <row r="1524" spans="1:25" x14ac:dyDescent="0.35">
      <c r="A1524" s="1">
        <v>887</v>
      </c>
      <c r="B1524" t="s">
        <v>826</v>
      </c>
      <c r="C1524" t="s">
        <v>17</v>
      </c>
      <c r="D1524" t="s">
        <v>50</v>
      </c>
      <c r="E1524" s="2">
        <v>8.6977777777777765E-3</v>
      </c>
      <c r="F1524" s="2">
        <v>8.6851986459131059E-3</v>
      </c>
      <c r="G1524">
        <v>12</v>
      </c>
      <c r="H1524" t="s">
        <v>19</v>
      </c>
      <c r="M1524" s="2">
        <v>2.6068175069603992E-2</v>
      </c>
      <c r="N1524" s="2">
        <v>-8.6726195140484352E-3</v>
      </c>
      <c r="O1524" s="2">
        <v>3.4740794583652423E-2</v>
      </c>
      <c r="P1524" s="2">
        <v>1.001448341296211</v>
      </c>
      <c r="R1524" t="str">
        <f t="shared" si="69"/>
        <v>no</v>
      </c>
      <c r="S1524" t="str">
        <f t="shared" si="70"/>
        <v>no</v>
      </c>
      <c r="T15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4" s="2" t="b">
        <f t="shared" si="71"/>
        <v>1</v>
      </c>
      <c r="V1524" s="2">
        <f>IF(Table4[[#This Row],[linear?]],Table4[[#This Row],[av]],10^(Table4[[#This Row],[av]]/10))</f>
        <v>8.6977777777777765E-3</v>
      </c>
      <c r="W1524" s="2">
        <f>IF(Table4[[#This Row],[linear?]],Table4[[#This Row],[av]],10^(Table4[[#This Row],[av]]/10))</f>
        <v>8.6977777777777765E-3</v>
      </c>
      <c r="X1524" s="2">
        <f>Table4[[#This Row],[av_lin]]-2*Table4[[#This Row],[std_lin]]</f>
        <v>-8.6977777777777765E-3</v>
      </c>
      <c r="Y1524" s="2">
        <f>Table4[[#This Row],[av_lin]]+2*Table4[[#This Row],[std_lin]]</f>
        <v>2.6093333333333329E-2</v>
      </c>
    </row>
    <row r="1525" spans="1:25" x14ac:dyDescent="0.35">
      <c r="A1525" s="1">
        <v>888</v>
      </c>
      <c r="B1525" t="s">
        <v>826</v>
      </c>
      <c r="C1525" t="s">
        <v>17</v>
      </c>
      <c r="D1525" t="s">
        <v>51</v>
      </c>
      <c r="E1525" s="2">
        <v>35.854332222222219</v>
      </c>
      <c r="F1525" s="2">
        <v>0.2138520664291646</v>
      </c>
      <c r="G1525">
        <v>12</v>
      </c>
      <c r="H1525" t="s">
        <v>19</v>
      </c>
      <c r="M1525" s="2">
        <v>36.28203635508055</v>
      </c>
      <c r="N1525" s="2">
        <v>35.426628089363888</v>
      </c>
      <c r="O1525" s="2">
        <v>0.85540826571666173</v>
      </c>
      <c r="P1525" s="2">
        <v>167.65950790612749</v>
      </c>
      <c r="R1525" t="str">
        <f t="shared" si="69"/>
        <v>no</v>
      </c>
      <c r="S1525" t="str">
        <f t="shared" si="70"/>
        <v>no</v>
      </c>
      <c r="T15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5" s="2" t="b">
        <f t="shared" si="71"/>
        <v>1</v>
      </c>
      <c r="V1525" s="2">
        <f>IF(Table4[[#This Row],[linear?]],Table4[[#This Row],[av]],10^(Table4[[#This Row],[av]]/10))</f>
        <v>35.854332222222219</v>
      </c>
      <c r="W1525" s="2">
        <f>IF(Table4[[#This Row],[linear?]],Table4[[#This Row],[av]],10^(Table4[[#This Row],[av]]/10))</f>
        <v>35.854332222222219</v>
      </c>
      <c r="X1525" s="2">
        <f>Table4[[#This Row],[av_lin]]-2*Table4[[#This Row],[std_lin]]</f>
        <v>-35.854332222222219</v>
      </c>
      <c r="Y1525" s="2">
        <f>Table4[[#This Row],[av_lin]]+2*Table4[[#This Row],[std_lin]]</f>
        <v>107.56299666666666</v>
      </c>
    </row>
    <row r="1526" spans="1:25" x14ac:dyDescent="0.35">
      <c r="A1526" s="1">
        <v>889</v>
      </c>
      <c r="B1526" t="s">
        <v>826</v>
      </c>
      <c r="C1526" t="s">
        <v>17</v>
      </c>
      <c r="D1526" t="s">
        <v>52</v>
      </c>
      <c r="E1526" s="2">
        <v>8.1205555555555545E-3</v>
      </c>
      <c r="F1526" s="2">
        <v>7.8008778879140152E-3</v>
      </c>
      <c r="G1526">
        <v>12</v>
      </c>
      <c r="H1526" t="s">
        <v>19</v>
      </c>
      <c r="M1526" s="2">
        <v>2.372231133138358E-2</v>
      </c>
      <c r="N1526" s="2">
        <v>-7.481200220272476E-3</v>
      </c>
      <c r="O1526" s="2">
        <v>3.1203511551656061E-2</v>
      </c>
      <c r="P1526" s="2">
        <v>1.0409797041095621</v>
      </c>
      <c r="R1526" t="str">
        <f t="shared" si="69"/>
        <v>no</v>
      </c>
      <c r="S1526" t="str">
        <f t="shared" si="70"/>
        <v>no</v>
      </c>
      <c r="T15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6" s="2" t="b">
        <f t="shared" si="71"/>
        <v>1</v>
      </c>
      <c r="V1526" s="2">
        <f>IF(Table4[[#This Row],[linear?]],Table4[[#This Row],[av]],10^(Table4[[#This Row],[av]]/10))</f>
        <v>8.1205555555555545E-3</v>
      </c>
      <c r="W1526" s="2">
        <f>IF(Table4[[#This Row],[linear?]],Table4[[#This Row],[av]],10^(Table4[[#This Row],[av]]/10))</f>
        <v>8.1205555555555545E-3</v>
      </c>
      <c r="X1526" s="2">
        <f>Table4[[#This Row],[av_lin]]-2*Table4[[#This Row],[std_lin]]</f>
        <v>-8.1205555555555545E-3</v>
      </c>
      <c r="Y1526" s="2">
        <f>Table4[[#This Row],[av_lin]]+2*Table4[[#This Row],[std_lin]]</f>
        <v>2.4361666666666663E-2</v>
      </c>
    </row>
    <row r="1527" spans="1:25" x14ac:dyDescent="0.35">
      <c r="A1527" s="1">
        <v>890</v>
      </c>
      <c r="B1527" t="s">
        <v>826</v>
      </c>
      <c r="C1527" t="s">
        <v>17</v>
      </c>
      <c r="D1527" t="s">
        <v>53</v>
      </c>
      <c r="E1527" s="2">
        <v>35.97965111111111</v>
      </c>
      <c r="F1527" s="2">
        <v>0.2753682013807342</v>
      </c>
      <c r="G1527">
        <v>12</v>
      </c>
      <c r="H1527" t="s">
        <v>19</v>
      </c>
      <c r="M1527" s="2">
        <v>36.530387513872583</v>
      </c>
      <c r="N1527" s="2">
        <v>35.428914708349637</v>
      </c>
      <c r="O1527" s="2">
        <v>1.101472805522931</v>
      </c>
      <c r="P1527" s="2">
        <v>130.6601522278323</v>
      </c>
      <c r="R1527" t="str">
        <f t="shared" si="69"/>
        <v>no</v>
      </c>
      <c r="S1527" t="str">
        <f t="shared" si="70"/>
        <v>no</v>
      </c>
      <c r="T15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7" s="2" t="b">
        <f t="shared" si="71"/>
        <v>1</v>
      </c>
      <c r="V1527" s="2">
        <f>IF(Table4[[#This Row],[linear?]],Table4[[#This Row],[av]],10^(Table4[[#This Row],[av]]/10))</f>
        <v>35.97965111111111</v>
      </c>
      <c r="W1527" s="2">
        <f>IF(Table4[[#This Row],[linear?]],Table4[[#This Row],[av]],10^(Table4[[#This Row],[av]]/10))</f>
        <v>35.97965111111111</v>
      </c>
      <c r="X1527" s="2">
        <f>Table4[[#This Row],[av_lin]]-2*Table4[[#This Row],[std_lin]]</f>
        <v>-35.97965111111111</v>
      </c>
      <c r="Y1527" s="2">
        <f>Table4[[#This Row],[av_lin]]+2*Table4[[#This Row],[std_lin]]</f>
        <v>107.93895333333333</v>
      </c>
    </row>
    <row r="1528" spans="1:25" x14ac:dyDescent="0.35">
      <c r="A1528" s="1">
        <v>891</v>
      </c>
      <c r="B1528" t="s">
        <v>826</v>
      </c>
      <c r="C1528" t="s">
        <v>17</v>
      </c>
      <c r="D1528" t="s">
        <v>54</v>
      </c>
      <c r="E1528" s="2">
        <v>1.121722222222222E-2</v>
      </c>
      <c r="F1528" s="2">
        <v>9.0615718382632444E-3</v>
      </c>
      <c r="G1528">
        <v>12</v>
      </c>
      <c r="H1528" t="s">
        <v>19</v>
      </c>
      <c r="M1528" s="2">
        <v>2.9340365898748711E-2</v>
      </c>
      <c r="N1528" s="2">
        <v>-6.9059214543042676E-3</v>
      </c>
      <c r="O1528" s="2">
        <v>3.6246287353052978E-2</v>
      </c>
      <c r="P1528" s="2">
        <v>1.2378892340572261</v>
      </c>
      <c r="R1528" t="str">
        <f t="shared" si="69"/>
        <v>no</v>
      </c>
      <c r="S1528" t="str">
        <f t="shared" si="70"/>
        <v>no</v>
      </c>
      <c r="T15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8" s="2" t="b">
        <f t="shared" si="71"/>
        <v>1</v>
      </c>
      <c r="V1528" s="2">
        <f>IF(Table4[[#This Row],[linear?]],Table4[[#This Row],[av]],10^(Table4[[#This Row],[av]]/10))</f>
        <v>1.121722222222222E-2</v>
      </c>
      <c r="W1528" s="2">
        <f>IF(Table4[[#This Row],[linear?]],Table4[[#This Row],[av]],10^(Table4[[#This Row],[av]]/10))</f>
        <v>1.121722222222222E-2</v>
      </c>
      <c r="X1528" s="2">
        <f>Table4[[#This Row],[av_lin]]-2*Table4[[#This Row],[std_lin]]</f>
        <v>-1.121722222222222E-2</v>
      </c>
      <c r="Y1528" s="2">
        <f>Table4[[#This Row],[av_lin]]+2*Table4[[#This Row],[std_lin]]</f>
        <v>3.3651666666666663E-2</v>
      </c>
    </row>
    <row r="1529" spans="1:25" x14ac:dyDescent="0.35">
      <c r="A1529" s="1">
        <v>892</v>
      </c>
      <c r="B1529" t="s">
        <v>826</v>
      </c>
      <c r="C1529" t="s">
        <v>17</v>
      </c>
      <c r="D1529" t="s">
        <v>55</v>
      </c>
      <c r="E1529" s="2">
        <v>35.864260555555553</v>
      </c>
      <c r="F1529" s="2">
        <v>6.9984177024000269E-2</v>
      </c>
      <c r="G1529">
        <v>12</v>
      </c>
      <c r="H1529" t="s">
        <v>19</v>
      </c>
      <c r="M1529" s="2">
        <v>36.004228909603547</v>
      </c>
      <c r="N1529" s="2">
        <v>35.724292201507552</v>
      </c>
      <c r="O1529" s="2">
        <v>0.27993670809600252</v>
      </c>
      <c r="P1529" s="2">
        <v>512.46241765844184</v>
      </c>
      <c r="R1529" t="str">
        <f t="shared" si="69"/>
        <v>no</v>
      </c>
      <c r="S1529" t="str">
        <f t="shared" si="70"/>
        <v>no</v>
      </c>
      <c r="T15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9" s="2" t="b">
        <f t="shared" si="71"/>
        <v>1</v>
      </c>
      <c r="V1529" s="2">
        <f>IF(Table4[[#This Row],[linear?]],Table4[[#This Row],[av]],10^(Table4[[#This Row],[av]]/10))</f>
        <v>35.864260555555553</v>
      </c>
      <c r="W1529" s="2">
        <f>IF(Table4[[#This Row],[linear?]],Table4[[#This Row],[av]],10^(Table4[[#This Row],[av]]/10))</f>
        <v>35.864260555555553</v>
      </c>
      <c r="X1529" s="2">
        <f>Table4[[#This Row],[av_lin]]-2*Table4[[#This Row],[std_lin]]</f>
        <v>-35.864260555555553</v>
      </c>
      <c r="Y1529" s="2">
        <f>Table4[[#This Row],[av_lin]]+2*Table4[[#This Row],[std_lin]]</f>
        <v>107.59278166666667</v>
      </c>
    </row>
    <row r="1530" spans="1:25" x14ac:dyDescent="0.35">
      <c r="A1530" s="1">
        <v>898</v>
      </c>
      <c r="B1530" t="s">
        <v>827</v>
      </c>
      <c r="C1530" t="s">
        <v>76</v>
      </c>
      <c r="D1530" t="s">
        <v>77</v>
      </c>
      <c r="G1530">
        <v>6</v>
      </c>
      <c r="H1530" t="s">
        <v>19</v>
      </c>
      <c r="R1530" t="str">
        <f t="shared" si="69"/>
        <v>no</v>
      </c>
      <c r="S1530" t="str">
        <f t="shared" si="70"/>
        <v>no</v>
      </c>
      <c r="T15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0" s="2" t="b">
        <f t="shared" si="71"/>
        <v>1</v>
      </c>
      <c r="V1530" s="2">
        <f>IF(Table4[[#This Row],[linear?]],Table4[[#This Row],[av]],10^(Table4[[#This Row],[av]]/10))</f>
        <v>0</v>
      </c>
      <c r="W1530" s="2">
        <f>IF(Table4[[#This Row],[linear?]],Table4[[#This Row],[av]],10^(Table4[[#This Row],[av]]/10))</f>
        <v>0</v>
      </c>
      <c r="X1530" s="2">
        <f>Table4[[#This Row],[av_lin]]-2*Table4[[#This Row],[std_lin]]</f>
        <v>0</v>
      </c>
      <c r="Y1530" s="2">
        <f>Table4[[#This Row],[av_lin]]+2*Table4[[#This Row],[std_lin]]</f>
        <v>0</v>
      </c>
    </row>
    <row r="1531" spans="1:25" x14ac:dyDescent="0.35">
      <c r="A1531" s="1">
        <v>899</v>
      </c>
      <c r="B1531" t="s">
        <v>827</v>
      </c>
      <c r="C1531" t="s">
        <v>76</v>
      </c>
      <c r="D1531" t="s">
        <v>78</v>
      </c>
      <c r="E1531" s="2">
        <v>1</v>
      </c>
      <c r="F1531" s="2">
        <v>0</v>
      </c>
      <c r="G1531">
        <v>6</v>
      </c>
      <c r="H1531" t="s">
        <v>19</v>
      </c>
      <c r="M1531" s="2">
        <v>1</v>
      </c>
      <c r="N1531" s="2">
        <v>1</v>
      </c>
      <c r="O1531" s="2">
        <v>0</v>
      </c>
      <c r="P1531" s="2" t="s">
        <v>21</v>
      </c>
      <c r="R1531" t="str">
        <f t="shared" si="69"/>
        <v>no</v>
      </c>
      <c r="S1531" t="str">
        <f t="shared" si="70"/>
        <v>no</v>
      </c>
      <c r="T15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1" s="2" t="b">
        <f t="shared" si="71"/>
        <v>1</v>
      </c>
      <c r="V1531" s="2">
        <f>IF(Table4[[#This Row],[linear?]],Table4[[#This Row],[av]],10^(Table4[[#This Row],[av]]/10))</f>
        <v>1</v>
      </c>
      <c r="W1531" s="2">
        <f>IF(Table4[[#This Row],[linear?]],Table4[[#This Row],[av]],10^(Table4[[#This Row],[av]]/10))</f>
        <v>1</v>
      </c>
      <c r="X1531" s="2">
        <f>Table4[[#This Row],[av_lin]]-2*Table4[[#This Row],[std_lin]]</f>
        <v>-1</v>
      </c>
      <c r="Y1531" s="2">
        <f>Table4[[#This Row],[av_lin]]+2*Table4[[#This Row],[std_lin]]</f>
        <v>3</v>
      </c>
    </row>
    <row r="1532" spans="1:25" x14ac:dyDescent="0.35">
      <c r="A1532" s="1">
        <v>900</v>
      </c>
      <c r="B1532" t="s">
        <v>827</v>
      </c>
      <c r="C1532" t="s">
        <v>76</v>
      </c>
      <c r="D1532" t="s">
        <v>79</v>
      </c>
      <c r="E1532" s="2">
        <v>1</v>
      </c>
      <c r="F1532" s="2">
        <v>0</v>
      </c>
      <c r="G1532">
        <v>6</v>
      </c>
      <c r="H1532" t="s">
        <v>19</v>
      </c>
      <c r="M1532" s="2">
        <v>1</v>
      </c>
      <c r="N1532" s="2">
        <v>1</v>
      </c>
      <c r="O1532" s="2">
        <v>0</v>
      </c>
      <c r="P1532" s="2" t="s">
        <v>21</v>
      </c>
      <c r="R1532" t="str">
        <f t="shared" si="69"/>
        <v>no</v>
      </c>
      <c r="S1532" t="str">
        <f t="shared" si="70"/>
        <v>no</v>
      </c>
      <c r="T15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2" s="2" t="b">
        <f t="shared" si="71"/>
        <v>1</v>
      </c>
      <c r="V1532" s="2">
        <f>IF(Table4[[#This Row],[linear?]],Table4[[#This Row],[av]],10^(Table4[[#This Row],[av]]/10))</f>
        <v>1</v>
      </c>
      <c r="W1532" s="2">
        <f>IF(Table4[[#This Row],[linear?]],Table4[[#This Row],[av]],10^(Table4[[#This Row],[av]]/10))</f>
        <v>1</v>
      </c>
      <c r="X1532" s="2">
        <f>Table4[[#This Row],[av_lin]]-2*Table4[[#This Row],[std_lin]]</f>
        <v>-1</v>
      </c>
      <c r="Y1532" s="2">
        <f>Table4[[#This Row],[av_lin]]+2*Table4[[#This Row],[std_lin]]</f>
        <v>3</v>
      </c>
    </row>
    <row r="1533" spans="1:25" x14ac:dyDescent="0.35">
      <c r="A1533" s="1">
        <v>901</v>
      </c>
      <c r="B1533" t="s">
        <v>827</v>
      </c>
      <c r="C1533" t="s">
        <v>76</v>
      </c>
      <c r="D1533" t="s">
        <v>80</v>
      </c>
      <c r="E1533" s="2">
        <v>1</v>
      </c>
      <c r="F1533" s="2">
        <v>0</v>
      </c>
      <c r="G1533">
        <v>6</v>
      </c>
      <c r="H1533" t="s">
        <v>19</v>
      </c>
      <c r="M1533" s="2">
        <v>1</v>
      </c>
      <c r="N1533" s="2">
        <v>1</v>
      </c>
      <c r="O1533" s="2">
        <v>0</v>
      </c>
      <c r="P1533" s="2" t="s">
        <v>21</v>
      </c>
      <c r="R1533" t="str">
        <f t="shared" si="69"/>
        <v>no</v>
      </c>
      <c r="S1533" t="str">
        <f t="shared" si="70"/>
        <v>no</v>
      </c>
      <c r="T15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3" s="2" t="b">
        <f t="shared" si="71"/>
        <v>1</v>
      </c>
      <c r="V1533" s="2">
        <f>IF(Table4[[#This Row],[linear?]],Table4[[#This Row],[av]],10^(Table4[[#This Row],[av]]/10))</f>
        <v>1</v>
      </c>
      <c r="W1533" s="2">
        <f>IF(Table4[[#This Row],[linear?]],Table4[[#This Row],[av]],10^(Table4[[#This Row],[av]]/10))</f>
        <v>1</v>
      </c>
      <c r="X1533" s="2">
        <f>Table4[[#This Row],[av_lin]]-2*Table4[[#This Row],[std_lin]]</f>
        <v>-1</v>
      </c>
      <c r="Y1533" s="2">
        <f>Table4[[#This Row],[av_lin]]+2*Table4[[#This Row],[std_lin]]</f>
        <v>3</v>
      </c>
    </row>
    <row r="1534" spans="1:25" x14ac:dyDescent="0.35">
      <c r="A1534" s="1">
        <v>902</v>
      </c>
      <c r="B1534" t="s">
        <v>827</v>
      </c>
      <c r="C1534" t="s">
        <v>76</v>
      </c>
      <c r="D1534" t="s">
        <v>81</v>
      </c>
      <c r="E1534" s="2">
        <v>1</v>
      </c>
      <c r="F1534" s="2">
        <v>0</v>
      </c>
      <c r="G1534">
        <v>6</v>
      </c>
      <c r="H1534" t="s">
        <v>19</v>
      </c>
      <c r="M1534" s="2">
        <v>1</v>
      </c>
      <c r="N1534" s="2">
        <v>1</v>
      </c>
      <c r="O1534" s="2">
        <v>0</v>
      </c>
      <c r="P1534" s="2" t="s">
        <v>21</v>
      </c>
      <c r="R1534" t="str">
        <f t="shared" si="69"/>
        <v>no</v>
      </c>
      <c r="S1534" t="str">
        <f t="shared" si="70"/>
        <v>no</v>
      </c>
      <c r="T15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4" s="2" t="b">
        <f t="shared" si="71"/>
        <v>1</v>
      </c>
      <c r="V1534" s="2">
        <f>IF(Table4[[#This Row],[linear?]],Table4[[#This Row],[av]],10^(Table4[[#This Row],[av]]/10))</f>
        <v>1</v>
      </c>
      <c r="W1534" s="2">
        <f>IF(Table4[[#This Row],[linear?]],Table4[[#This Row],[av]],10^(Table4[[#This Row],[av]]/10))</f>
        <v>1</v>
      </c>
      <c r="X1534" s="2">
        <f>Table4[[#This Row],[av_lin]]-2*Table4[[#This Row],[std_lin]]</f>
        <v>-1</v>
      </c>
      <c r="Y1534" s="2">
        <f>Table4[[#This Row],[av_lin]]+2*Table4[[#This Row],[std_lin]]</f>
        <v>3</v>
      </c>
    </row>
    <row r="1535" spans="1:25" x14ac:dyDescent="0.35">
      <c r="A1535" s="1">
        <v>903</v>
      </c>
      <c r="B1535" t="s">
        <v>827</v>
      </c>
      <c r="C1535" t="s">
        <v>76</v>
      </c>
      <c r="D1535" t="s">
        <v>82</v>
      </c>
      <c r="E1535" s="2">
        <v>1</v>
      </c>
      <c r="F1535" s="2">
        <v>0</v>
      </c>
      <c r="G1535">
        <v>6</v>
      </c>
      <c r="H1535" t="s">
        <v>19</v>
      </c>
      <c r="M1535" s="2">
        <v>1</v>
      </c>
      <c r="N1535" s="2">
        <v>1</v>
      </c>
      <c r="O1535" s="2">
        <v>0</v>
      </c>
      <c r="P1535" s="2" t="s">
        <v>21</v>
      </c>
      <c r="R1535" t="str">
        <f t="shared" si="69"/>
        <v>no</v>
      </c>
      <c r="S1535" t="str">
        <f t="shared" si="70"/>
        <v>no</v>
      </c>
      <c r="T15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5" s="2" t="b">
        <f t="shared" si="71"/>
        <v>1</v>
      </c>
      <c r="V1535" s="2">
        <f>IF(Table4[[#This Row],[linear?]],Table4[[#This Row],[av]],10^(Table4[[#This Row],[av]]/10))</f>
        <v>1</v>
      </c>
      <c r="W1535" s="2">
        <f>IF(Table4[[#This Row],[linear?]],Table4[[#This Row],[av]],10^(Table4[[#This Row],[av]]/10))</f>
        <v>1</v>
      </c>
      <c r="X1535" s="2">
        <f>Table4[[#This Row],[av_lin]]-2*Table4[[#This Row],[std_lin]]</f>
        <v>-1</v>
      </c>
      <c r="Y1535" s="2">
        <f>Table4[[#This Row],[av_lin]]+2*Table4[[#This Row],[std_lin]]</f>
        <v>3</v>
      </c>
    </row>
    <row r="1536" spans="1:25" x14ac:dyDescent="0.35">
      <c r="A1536" s="1">
        <v>904</v>
      </c>
      <c r="B1536" t="s">
        <v>827</v>
      </c>
      <c r="C1536" t="s">
        <v>76</v>
      </c>
      <c r="D1536" t="s">
        <v>83</v>
      </c>
      <c r="E1536" s="2">
        <v>1</v>
      </c>
      <c r="F1536" s="2">
        <v>0</v>
      </c>
      <c r="G1536">
        <v>6</v>
      </c>
      <c r="H1536" t="s">
        <v>19</v>
      </c>
      <c r="M1536" s="2">
        <v>1</v>
      </c>
      <c r="N1536" s="2">
        <v>1</v>
      </c>
      <c r="O1536" s="2">
        <v>0</v>
      </c>
      <c r="P1536" s="2" t="s">
        <v>21</v>
      </c>
      <c r="R1536" t="str">
        <f t="shared" si="69"/>
        <v>no</v>
      </c>
      <c r="S1536" t="str">
        <f t="shared" si="70"/>
        <v>no</v>
      </c>
      <c r="T15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6" s="2" t="b">
        <f t="shared" si="71"/>
        <v>1</v>
      </c>
      <c r="V1536" s="2">
        <f>IF(Table4[[#This Row],[linear?]],Table4[[#This Row],[av]],10^(Table4[[#This Row],[av]]/10))</f>
        <v>1</v>
      </c>
      <c r="W1536" s="2">
        <f>IF(Table4[[#This Row],[linear?]],Table4[[#This Row],[av]],10^(Table4[[#This Row],[av]]/10))</f>
        <v>1</v>
      </c>
      <c r="X1536" s="2">
        <f>Table4[[#This Row],[av_lin]]-2*Table4[[#This Row],[std_lin]]</f>
        <v>-1</v>
      </c>
      <c r="Y1536" s="2">
        <f>Table4[[#This Row],[av_lin]]+2*Table4[[#This Row],[std_lin]]</f>
        <v>3</v>
      </c>
    </row>
    <row r="1537" spans="1:25" x14ac:dyDescent="0.35">
      <c r="A1537" s="1">
        <v>905</v>
      </c>
      <c r="B1537" t="s">
        <v>827</v>
      </c>
      <c r="C1537" t="s">
        <v>76</v>
      </c>
      <c r="D1537" t="s">
        <v>84</v>
      </c>
      <c r="E1537" s="2">
        <v>1</v>
      </c>
      <c r="F1537" s="2">
        <v>0</v>
      </c>
      <c r="G1537">
        <v>6</v>
      </c>
      <c r="H1537" t="s">
        <v>19</v>
      </c>
      <c r="M1537" s="2">
        <v>1</v>
      </c>
      <c r="N1537" s="2">
        <v>1</v>
      </c>
      <c r="O1537" s="2">
        <v>0</v>
      </c>
      <c r="P1537" s="2" t="s">
        <v>21</v>
      </c>
      <c r="R1537" t="str">
        <f t="shared" si="69"/>
        <v>no</v>
      </c>
      <c r="S1537" t="str">
        <f t="shared" si="70"/>
        <v>no</v>
      </c>
      <c r="T15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7" s="2" t="b">
        <f t="shared" si="71"/>
        <v>1</v>
      </c>
      <c r="V1537" s="2">
        <f>IF(Table4[[#This Row],[linear?]],Table4[[#This Row],[av]],10^(Table4[[#This Row],[av]]/10))</f>
        <v>1</v>
      </c>
      <c r="W1537" s="2">
        <f>IF(Table4[[#This Row],[linear?]],Table4[[#This Row],[av]],10^(Table4[[#This Row],[av]]/10))</f>
        <v>1</v>
      </c>
      <c r="X1537" s="2">
        <f>Table4[[#This Row],[av_lin]]-2*Table4[[#This Row],[std_lin]]</f>
        <v>-1</v>
      </c>
      <c r="Y1537" s="2">
        <f>Table4[[#This Row],[av_lin]]+2*Table4[[#This Row],[std_lin]]</f>
        <v>3</v>
      </c>
    </row>
    <row r="1538" spans="1:25" x14ac:dyDescent="0.35">
      <c r="A1538" s="1">
        <v>906</v>
      </c>
      <c r="B1538" t="s">
        <v>827</v>
      </c>
      <c r="C1538" t="s">
        <v>76</v>
      </c>
      <c r="D1538" t="s">
        <v>85</v>
      </c>
      <c r="E1538" s="2">
        <v>48.600484238888882</v>
      </c>
      <c r="F1538" s="2">
        <v>2.049871913961038</v>
      </c>
      <c r="G1538">
        <v>6</v>
      </c>
      <c r="H1538" t="s">
        <v>19</v>
      </c>
      <c r="M1538" s="2">
        <v>52.700228066810958</v>
      </c>
      <c r="N1538" s="2">
        <v>44.500740410966813</v>
      </c>
      <c r="O1538" s="2">
        <v>8.1994876558441518</v>
      </c>
      <c r="P1538" s="2">
        <v>23.709034651329262</v>
      </c>
      <c r="R1538" t="str">
        <f t="shared" ref="R1538:R1601" si="72">IF(H1538="yes","yes","no")</f>
        <v>no</v>
      </c>
      <c r="S1538" t="str">
        <f t="shared" ref="S1538:S1601" si="73">IF(I1538,"yes","no")</f>
        <v>no</v>
      </c>
      <c r="T15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8" s="2" t="b">
        <f t="shared" ref="U1538:U1601" si="74">NOT(ISNUMBER(SEARCH("RFIC*POWER", D1538)))</f>
        <v>1</v>
      </c>
      <c r="V1538" s="2">
        <f>IF(Table4[[#This Row],[linear?]],Table4[[#This Row],[av]],10^(Table4[[#This Row],[av]]/10))</f>
        <v>48.600484238888882</v>
      </c>
      <c r="W1538" s="2">
        <f>IF(Table4[[#This Row],[linear?]],Table4[[#This Row],[av]],10^(Table4[[#This Row],[av]]/10))</f>
        <v>48.600484238888882</v>
      </c>
      <c r="X1538" s="2">
        <f>Table4[[#This Row],[av_lin]]-2*Table4[[#This Row],[std_lin]]</f>
        <v>-48.600484238888882</v>
      </c>
      <c r="Y1538" s="2">
        <f>Table4[[#This Row],[av_lin]]+2*Table4[[#This Row],[std_lin]]</f>
        <v>145.80145271666663</v>
      </c>
    </row>
    <row r="1539" spans="1:25" x14ac:dyDescent="0.35">
      <c r="A1539" s="1">
        <v>907</v>
      </c>
      <c r="B1539" t="s">
        <v>827</v>
      </c>
      <c r="C1539" t="s">
        <v>76</v>
      </c>
      <c r="D1539" t="s">
        <v>86</v>
      </c>
      <c r="G1539">
        <v>6</v>
      </c>
      <c r="H1539" t="s">
        <v>19</v>
      </c>
      <c r="R1539" t="str">
        <f t="shared" si="72"/>
        <v>no</v>
      </c>
      <c r="S1539" t="str">
        <f t="shared" si="73"/>
        <v>no</v>
      </c>
      <c r="T15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9" s="2" t="b">
        <f t="shared" si="74"/>
        <v>1</v>
      </c>
      <c r="V1539" s="2">
        <f>IF(Table4[[#This Row],[linear?]],Table4[[#This Row],[av]],10^(Table4[[#This Row],[av]]/10))</f>
        <v>0</v>
      </c>
      <c r="W1539" s="2">
        <f>IF(Table4[[#This Row],[linear?]],Table4[[#This Row],[av]],10^(Table4[[#This Row],[av]]/10))</f>
        <v>0</v>
      </c>
      <c r="X1539" s="2">
        <f>Table4[[#This Row],[av_lin]]-2*Table4[[#This Row],[std_lin]]</f>
        <v>0</v>
      </c>
      <c r="Y1539" s="2">
        <f>Table4[[#This Row],[av_lin]]+2*Table4[[#This Row],[std_lin]]</f>
        <v>0</v>
      </c>
    </row>
    <row r="1540" spans="1:25" x14ac:dyDescent="0.35">
      <c r="A1540" s="1">
        <v>908</v>
      </c>
      <c r="B1540" t="s">
        <v>827</v>
      </c>
      <c r="C1540" t="s">
        <v>87</v>
      </c>
      <c r="D1540" t="s">
        <v>88</v>
      </c>
      <c r="G1540">
        <v>6</v>
      </c>
      <c r="H1540" t="s">
        <v>19</v>
      </c>
      <c r="R1540" t="str">
        <f t="shared" si="72"/>
        <v>no</v>
      </c>
      <c r="S1540" t="str">
        <f t="shared" si="73"/>
        <v>no</v>
      </c>
      <c r="T15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0" s="2" t="b">
        <f t="shared" si="74"/>
        <v>1</v>
      </c>
      <c r="V1540" s="2">
        <f>IF(Table4[[#This Row],[linear?]],Table4[[#This Row],[av]],10^(Table4[[#This Row],[av]]/10))</f>
        <v>0</v>
      </c>
      <c r="W1540" s="2">
        <f>IF(Table4[[#This Row],[linear?]],Table4[[#This Row],[av]],10^(Table4[[#This Row],[av]]/10))</f>
        <v>0</v>
      </c>
      <c r="X1540" s="2">
        <f>Table4[[#This Row],[av_lin]]-2*Table4[[#This Row],[std_lin]]</f>
        <v>0</v>
      </c>
      <c r="Y1540" s="2">
        <f>Table4[[#This Row],[av_lin]]+2*Table4[[#This Row],[std_lin]]</f>
        <v>0</v>
      </c>
    </row>
    <row r="1541" spans="1:25" x14ac:dyDescent="0.35">
      <c r="A1541" s="1">
        <v>909</v>
      </c>
      <c r="B1541" t="s">
        <v>827</v>
      </c>
      <c r="C1541" t="s">
        <v>87</v>
      </c>
      <c r="D1541" t="s">
        <v>89</v>
      </c>
      <c r="E1541" s="2">
        <v>1</v>
      </c>
      <c r="F1541" s="2">
        <v>0</v>
      </c>
      <c r="G1541">
        <v>6</v>
      </c>
      <c r="H1541" t="s">
        <v>19</v>
      </c>
      <c r="M1541" s="2">
        <v>1</v>
      </c>
      <c r="N1541" s="2">
        <v>1</v>
      </c>
      <c r="O1541" s="2">
        <v>0</v>
      </c>
      <c r="P1541" s="2" t="s">
        <v>21</v>
      </c>
      <c r="R1541" t="str">
        <f t="shared" si="72"/>
        <v>no</v>
      </c>
      <c r="S1541" t="str">
        <f t="shared" si="73"/>
        <v>no</v>
      </c>
      <c r="T15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1" s="2" t="b">
        <f t="shared" si="74"/>
        <v>1</v>
      </c>
      <c r="V1541" s="2">
        <f>IF(Table4[[#This Row],[linear?]],Table4[[#This Row],[av]],10^(Table4[[#This Row],[av]]/10))</f>
        <v>1</v>
      </c>
      <c r="W1541" s="2">
        <f>IF(Table4[[#This Row],[linear?]],Table4[[#This Row],[av]],10^(Table4[[#This Row],[av]]/10))</f>
        <v>1</v>
      </c>
      <c r="X1541" s="2">
        <f>Table4[[#This Row],[av_lin]]-2*Table4[[#This Row],[std_lin]]</f>
        <v>-1</v>
      </c>
      <c r="Y1541" s="2">
        <f>Table4[[#This Row],[av_lin]]+2*Table4[[#This Row],[std_lin]]</f>
        <v>3</v>
      </c>
    </row>
    <row r="1542" spans="1:25" x14ac:dyDescent="0.35">
      <c r="A1542" s="1">
        <v>910</v>
      </c>
      <c r="B1542" t="s">
        <v>827</v>
      </c>
      <c r="C1542" t="s">
        <v>87</v>
      </c>
      <c r="D1542" t="s">
        <v>90</v>
      </c>
      <c r="E1542" s="2">
        <v>1</v>
      </c>
      <c r="F1542" s="2">
        <v>0</v>
      </c>
      <c r="G1542">
        <v>6</v>
      </c>
      <c r="H1542" t="s">
        <v>19</v>
      </c>
      <c r="M1542" s="2">
        <v>1</v>
      </c>
      <c r="N1542" s="2">
        <v>1</v>
      </c>
      <c r="O1542" s="2">
        <v>0</v>
      </c>
      <c r="P1542" s="2" t="s">
        <v>21</v>
      </c>
      <c r="R1542" t="str">
        <f t="shared" si="72"/>
        <v>no</v>
      </c>
      <c r="S1542" t="str">
        <f t="shared" si="73"/>
        <v>no</v>
      </c>
      <c r="T15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2" s="2" t="b">
        <f t="shared" si="74"/>
        <v>1</v>
      </c>
      <c r="V1542" s="2">
        <f>IF(Table4[[#This Row],[linear?]],Table4[[#This Row],[av]],10^(Table4[[#This Row],[av]]/10))</f>
        <v>1</v>
      </c>
      <c r="W1542" s="2">
        <f>IF(Table4[[#This Row],[linear?]],Table4[[#This Row],[av]],10^(Table4[[#This Row],[av]]/10))</f>
        <v>1</v>
      </c>
      <c r="X1542" s="2">
        <f>Table4[[#This Row],[av_lin]]-2*Table4[[#This Row],[std_lin]]</f>
        <v>-1</v>
      </c>
      <c r="Y1542" s="2">
        <f>Table4[[#This Row],[av_lin]]+2*Table4[[#This Row],[std_lin]]</f>
        <v>3</v>
      </c>
    </row>
    <row r="1543" spans="1:25" x14ac:dyDescent="0.35">
      <c r="A1543" s="1">
        <v>911</v>
      </c>
      <c r="B1543" t="s">
        <v>827</v>
      </c>
      <c r="C1543" t="s">
        <v>87</v>
      </c>
      <c r="D1543" t="s">
        <v>91</v>
      </c>
      <c r="G1543">
        <v>6</v>
      </c>
      <c r="H1543" t="s">
        <v>19</v>
      </c>
      <c r="R1543" t="str">
        <f t="shared" si="72"/>
        <v>no</v>
      </c>
      <c r="S1543" t="str">
        <f t="shared" si="73"/>
        <v>no</v>
      </c>
      <c r="T15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3" s="2" t="b">
        <f t="shared" si="74"/>
        <v>1</v>
      </c>
      <c r="V1543" s="2">
        <f>IF(Table4[[#This Row],[linear?]],Table4[[#This Row],[av]],10^(Table4[[#This Row],[av]]/10))</f>
        <v>0</v>
      </c>
      <c r="W1543" s="2">
        <f>IF(Table4[[#This Row],[linear?]],Table4[[#This Row],[av]],10^(Table4[[#This Row],[av]]/10))</f>
        <v>0</v>
      </c>
      <c r="X1543" s="2">
        <f>Table4[[#This Row],[av_lin]]-2*Table4[[#This Row],[std_lin]]</f>
        <v>0</v>
      </c>
      <c r="Y1543" s="2">
        <f>Table4[[#This Row],[av_lin]]+2*Table4[[#This Row],[std_lin]]</f>
        <v>0</v>
      </c>
    </row>
    <row r="1544" spans="1:25" x14ac:dyDescent="0.35">
      <c r="A1544" s="1">
        <v>912</v>
      </c>
      <c r="B1544" t="s">
        <v>827</v>
      </c>
      <c r="C1544" t="s">
        <v>87</v>
      </c>
      <c r="D1544" t="s">
        <v>92</v>
      </c>
      <c r="E1544" s="2">
        <v>34.62083333333333</v>
      </c>
      <c r="F1544" s="2">
        <v>1.1145390798446779</v>
      </c>
      <c r="G1544">
        <v>6</v>
      </c>
      <c r="H1544" t="s">
        <v>19</v>
      </c>
      <c r="M1544" s="2">
        <v>36.849911493022688</v>
      </c>
      <c r="N1544" s="2">
        <v>32.391755173643972</v>
      </c>
      <c r="O1544" s="2">
        <v>4.4581563193787161</v>
      </c>
      <c r="P1544" s="2">
        <v>31.062915566996619</v>
      </c>
      <c r="R1544" t="str">
        <f t="shared" si="72"/>
        <v>no</v>
      </c>
      <c r="S1544" t="str">
        <f t="shared" si="73"/>
        <v>no</v>
      </c>
      <c r="T15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4" s="2" t="b">
        <f t="shared" si="74"/>
        <v>1</v>
      </c>
      <c r="V1544" s="2">
        <f>IF(Table4[[#This Row],[linear?]],Table4[[#This Row],[av]],10^(Table4[[#This Row],[av]]/10))</f>
        <v>34.62083333333333</v>
      </c>
      <c r="W1544" s="2">
        <f>IF(Table4[[#This Row],[linear?]],Table4[[#This Row],[av]],10^(Table4[[#This Row],[av]]/10))</f>
        <v>34.62083333333333</v>
      </c>
      <c r="X1544" s="2">
        <f>Table4[[#This Row],[av_lin]]-2*Table4[[#This Row],[std_lin]]</f>
        <v>-34.62083333333333</v>
      </c>
      <c r="Y1544" s="2">
        <f>Table4[[#This Row],[av_lin]]+2*Table4[[#This Row],[std_lin]]</f>
        <v>103.86249999999998</v>
      </c>
    </row>
    <row r="1545" spans="1:25" x14ac:dyDescent="0.35">
      <c r="A1545" s="1">
        <v>913</v>
      </c>
      <c r="B1545" t="s">
        <v>827</v>
      </c>
      <c r="C1545" t="s">
        <v>87</v>
      </c>
      <c r="D1545" t="s">
        <v>93</v>
      </c>
      <c r="E1545" s="2">
        <v>36.245138888888889</v>
      </c>
      <c r="F1545" s="2">
        <v>0.86128068591958873</v>
      </c>
      <c r="G1545">
        <v>6</v>
      </c>
      <c r="H1545" t="s">
        <v>19</v>
      </c>
      <c r="M1545" s="2">
        <v>37.967700260728073</v>
      </c>
      <c r="N1545" s="2">
        <v>34.522577517049712</v>
      </c>
      <c r="O1545" s="2">
        <v>3.445122743678354</v>
      </c>
      <c r="P1545" s="2">
        <v>42.082841844049923</v>
      </c>
      <c r="R1545" t="str">
        <f t="shared" si="72"/>
        <v>no</v>
      </c>
      <c r="S1545" t="str">
        <f t="shared" si="73"/>
        <v>no</v>
      </c>
      <c r="T15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5" s="2" t="b">
        <f t="shared" si="74"/>
        <v>1</v>
      </c>
      <c r="V1545" s="2">
        <f>IF(Table4[[#This Row],[linear?]],Table4[[#This Row],[av]],10^(Table4[[#This Row],[av]]/10))</f>
        <v>36.245138888888889</v>
      </c>
      <c r="W1545" s="2">
        <f>IF(Table4[[#This Row],[linear?]],Table4[[#This Row],[av]],10^(Table4[[#This Row],[av]]/10))</f>
        <v>36.245138888888889</v>
      </c>
      <c r="X1545" s="2">
        <f>Table4[[#This Row],[av_lin]]-2*Table4[[#This Row],[std_lin]]</f>
        <v>-36.245138888888889</v>
      </c>
      <c r="Y1545" s="2">
        <f>Table4[[#This Row],[av_lin]]+2*Table4[[#This Row],[std_lin]]</f>
        <v>108.73541666666667</v>
      </c>
    </row>
    <row r="1546" spans="1:25" x14ac:dyDescent="0.35">
      <c r="A1546" s="1">
        <v>914</v>
      </c>
      <c r="B1546" t="s">
        <v>827</v>
      </c>
      <c r="C1546" t="s">
        <v>94</v>
      </c>
      <c r="D1546" t="s">
        <v>95</v>
      </c>
      <c r="E1546" s="2">
        <v>30.542727611111111</v>
      </c>
      <c r="F1546" s="2">
        <v>0.98455142970485054</v>
      </c>
      <c r="G1546">
        <v>6</v>
      </c>
      <c r="H1546" t="s">
        <v>19</v>
      </c>
      <c r="M1546" s="2">
        <v>32.511830470520813</v>
      </c>
      <c r="N1546" s="2">
        <v>28.573624751701409</v>
      </c>
      <c r="O1546" s="2">
        <v>3.938205718819404</v>
      </c>
      <c r="P1546" s="2">
        <v>31.021972737642791</v>
      </c>
      <c r="R1546" t="str">
        <f t="shared" si="72"/>
        <v>no</v>
      </c>
      <c r="S1546" t="str">
        <f t="shared" si="73"/>
        <v>no</v>
      </c>
      <c r="T15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6" s="2" t="b">
        <f t="shared" si="74"/>
        <v>1</v>
      </c>
      <c r="V1546" s="2">
        <f>IF(Table4[[#This Row],[linear?]],Table4[[#This Row],[av]],10^(Table4[[#This Row],[av]]/10))</f>
        <v>30.542727611111111</v>
      </c>
      <c r="W1546" s="2">
        <f>IF(Table4[[#This Row],[linear?]],Table4[[#This Row],[av]],10^(Table4[[#This Row],[av]]/10))</f>
        <v>30.542727611111111</v>
      </c>
      <c r="X1546" s="2">
        <f>Table4[[#This Row],[av_lin]]-2*Table4[[#This Row],[std_lin]]</f>
        <v>-30.542727611111111</v>
      </c>
      <c r="Y1546" s="2">
        <f>Table4[[#This Row],[av_lin]]+2*Table4[[#This Row],[std_lin]]</f>
        <v>91.628182833333341</v>
      </c>
    </row>
    <row r="1547" spans="1:25" x14ac:dyDescent="0.35">
      <c r="A1547" s="1">
        <v>915</v>
      </c>
      <c r="B1547" t="s">
        <v>827</v>
      </c>
      <c r="C1547" t="s">
        <v>94</v>
      </c>
      <c r="D1547" t="s">
        <v>96</v>
      </c>
      <c r="E1547" s="2">
        <v>60</v>
      </c>
      <c r="F1547" s="2">
        <v>0</v>
      </c>
      <c r="G1547">
        <v>6</v>
      </c>
      <c r="H1547" t="s">
        <v>19</v>
      </c>
      <c r="M1547" s="2">
        <v>60</v>
      </c>
      <c r="N1547" s="2">
        <v>60</v>
      </c>
      <c r="O1547" s="2">
        <v>0</v>
      </c>
      <c r="P1547" s="2" t="s">
        <v>21</v>
      </c>
      <c r="R1547" t="str">
        <f t="shared" si="72"/>
        <v>no</v>
      </c>
      <c r="S1547" t="str">
        <f t="shared" si="73"/>
        <v>no</v>
      </c>
      <c r="T15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7" s="2" t="b">
        <f t="shared" si="74"/>
        <v>1</v>
      </c>
      <c r="V1547" s="2">
        <f>IF(Table4[[#This Row],[linear?]],Table4[[#This Row],[av]],10^(Table4[[#This Row],[av]]/10))</f>
        <v>60</v>
      </c>
      <c r="W1547" s="2">
        <f>IF(Table4[[#This Row],[linear?]],Table4[[#This Row],[av]],10^(Table4[[#This Row],[av]]/10))</f>
        <v>60</v>
      </c>
      <c r="X1547" s="2">
        <f>Table4[[#This Row],[av_lin]]-2*Table4[[#This Row],[std_lin]]</f>
        <v>-60</v>
      </c>
      <c r="Y1547" s="2">
        <f>Table4[[#This Row],[av_lin]]+2*Table4[[#This Row],[std_lin]]</f>
        <v>180</v>
      </c>
    </row>
    <row r="1548" spans="1:25" x14ac:dyDescent="0.35">
      <c r="A1548" s="1">
        <v>916</v>
      </c>
      <c r="B1548" t="s">
        <v>827</v>
      </c>
      <c r="C1548" t="s">
        <v>94</v>
      </c>
      <c r="D1548" t="s">
        <v>97</v>
      </c>
      <c r="E1548" s="2">
        <v>33.22827927777778</v>
      </c>
      <c r="F1548" s="2">
        <v>1.008723427526278</v>
      </c>
      <c r="G1548">
        <v>6</v>
      </c>
      <c r="H1548" t="s">
        <v>19</v>
      </c>
      <c r="M1548" s="2">
        <v>35.245726132830328</v>
      </c>
      <c r="N1548" s="2">
        <v>31.210832422725229</v>
      </c>
      <c r="O1548" s="2">
        <v>4.0348937101051092</v>
      </c>
      <c r="P1548" s="2">
        <v>32.940921536108718</v>
      </c>
      <c r="R1548" t="str">
        <f t="shared" si="72"/>
        <v>no</v>
      </c>
      <c r="S1548" t="str">
        <f t="shared" si="73"/>
        <v>no</v>
      </c>
      <c r="T15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8" s="2" t="b">
        <f t="shared" si="74"/>
        <v>1</v>
      </c>
      <c r="V1548" s="2">
        <f>IF(Table4[[#This Row],[linear?]],Table4[[#This Row],[av]],10^(Table4[[#This Row],[av]]/10))</f>
        <v>33.22827927777778</v>
      </c>
      <c r="W1548" s="2">
        <f>IF(Table4[[#This Row],[linear?]],Table4[[#This Row],[av]],10^(Table4[[#This Row],[av]]/10))</f>
        <v>33.22827927777778</v>
      </c>
      <c r="X1548" s="2">
        <f>Table4[[#This Row],[av_lin]]-2*Table4[[#This Row],[std_lin]]</f>
        <v>-33.22827927777778</v>
      </c>
      <c r="Y1548" s="2">
        <f>Table4[[#This Row],[av_lin]]+2*Table4[[#This Row],[std_lin]]</f>
        <v>99.684837833333347</v>
      </c>
    </row>
    <row r="1549" spans="1:25" x14ac:dyDescent="0.35">
      <c r="A1549" s="1">
        <v>917</v>
      </c>
      <c r="B1549" t="s">
        <v>827</v>
      </c>
      <c r="C1549" t="s">
        <v>94</v>
      </c>
      <c r="D1549" t="s">
        <v>98</v>
      </c>
      <c r="E1549" s="2">
        <v>27.85717593888889</v>
      </c>
      <c r="F1549" s="2">
        <v>0.96935562217816329</v>
      </c>
      <c r="G1549">
        <v>6</v>
      </c>
      <c r="H1549" t="s">
        <v>19</v>
      </c>
      <c r="M1549" s="2">
        <v>29.79588718324522</v>
      </c>
      <c r="N1549" s="2">
        <v>25.91846469453256</v>
      </c>
      <c r="O1549" s="2">
        <v>3.877422488712654</v>
      </c>
      <c r="P1549" s="2">
        <v>28.737828823123969</v>
      </c>
      <c r="R1549" t="str">
        <f t="shared" si="72"/>
        <v>no</v>
      </c>
      <c r="S1549" t="str">
        <f t="shared" si="73"/>
        <v>no</v>
      </c>
      <c r="T15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9" s="2" t="b">
        <f t="shared" si="74"/>
        <v>1</v>
      </c>
      <c r="V1549" s="2">
        <f>IF(Table4[[#This Row],[linear?]],Table4[[#This Row],[av]],10^(Table4[[#This Row],[av]]/10))</f>
        <v>27.85717593888889</v>
      </c>
      <c r="W1549" s="2">
        <f>IF(Table4[[#This Row],[linear?]],Table4[[#This Row],[av]],10^(Table4[[#This Row],[av]]/10))</f>
        <v>27.85717593888889</v>
      </c>
      <c r="X1549" s="2">
        <f>Table4[[#This Row],[av_lin]]-2*Table4[[#This Row],[std_lin]]</f>
        <v>-27.85717593888889</v>
      </c>
      <c r="Y1549" s="2">
        <f>Table4[[#This Row],[av_lin]]+2*Table4[[#This Row],[std_lin]]</f>
        <v>83.571527816666674</v>
      </c>
    </row>
    <row r="1550" spans="1:25" x14ac:dyDescent="0.35">
      <c r="A1550" s="1">
        <v>918</v>
      </c>
      <c r="B1550" t="s">
        <v>827</v>
      </c>
      <c r="C1550" t="s">
        <v>99</v>
      </c>
      <c r="D1550" t="s">
        <v>100</v>
      </c>
      <c r="G1550">
        <v>6</v>
      </c>
      <c r="H1550" t="s">
        <v>19</v>
      </c>
      <c r="R1550" t="str">
        <f t="shared" si="72"/>
        <v>no</v>
      </c>
      <c r="S1550" t="str">
        <f t="shared" si="73"/>
        <v>no</v>
      </c>
      <c r="T15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0" s="2" t="b">
        <f t="shared" si="74"/>
        <v>1</v>
      </c>
      <c r="V1550" s="2">
        <f>IF(Table4[[#This Row],[linear?]],Table4[[#This Row],[av]],10^(Table4[[#This Row],[av]]/10))</f>
        <v>0</v>
      </c>
      <c r="W1550" s="2">
        <f>IF(Table4[[#This Row],[linear?]],Table4[[#This Row],[av]],10^(Table4[[#This Row],[av]]/10))</f>
        <v>0</v>
      </c>
      <c r="X1550" s="2">
        <f>Table4[[#This Row],[av_lin]]-2*Table4[[#This Row],[std_lin]]</f>
        <v>0</v>
      </c>
      <c r="Y1550" s="2">
        <f>Table4[[#This Row],[av_lin]]+2*Table4[[#This Row],[std_lin]]</f>
        <v>0</v>
      </c>
    </row>
    <row r="1551" spans="1:25" x14ac:dyDescent="0.35">
      <c r="A1551" s="1">
        <v>919</v>
      </c>
      <c r="B1551" t="s">
        <v>827</v>
      </c>
      <c r="C1551" t="s">
        <v>99</v>
      </c>
      <c r="D1551" t="s">
        <v>101</v>
      </c>
      <c r="E1551" s="2">
        <v>1</v>
      </c>
      <c r="F1551" s="2">
        <v>0</v>
      </c>
      <c r="G1551">
        <v>6</v>
      </c>
      <c r="H1551" t="s">
        <v>19</v>
      </c>
      <c r="M1551" s="2">
        <v>1</v>
      </c>
      <c r="N1551" s="2">
        <v>1</v>
      </c>
      <c r="O1551" s="2">
        <v>0</v>
      </c>
      <c r="P1551" s="2" t="s">
        <v>21</v>
      </c>
      <c r="R1551" t="str">
        <f t="shared" si="72"/>
        <v>no</v>
      </c>
      <c r="S1551" t="str">
        <f t="shared" si="73"/>
        <v>no</v>
      </c>
      <c r="T15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1" s="2" t="b">
        <f t="shared" si="74"/>
        <v>1</v>
      </c>
      <c r="V1551" s="2">
        <f>IF(Table4[[#This Row],[linear?]],Table4[[#This Row],[av]],10^(Table4[[#This Row],[av]]/10))</f>
        <v>1</v>
      </c>
      <c r="W1551" s="2">
        <f>IF(Table4[[#This Row],[linear?]],Table4[[#This Row],[av]],10^(Table4[[#This Row],[av]]/10))</f>
        <v>1</v>
      </c>
      <c r="X1551" s="2">
        <f>Table4[[#This Row],[av_lin]]-2*Table4[[#This Row],[std_lin]]</f>
        <v>-1</v>
      </c>
      <c r="Y1551" s="2">
        <f>Table4[[#This Row],[av_lin]]+2*Table4[[#This Row],[std_lin]]</f>
        <v>3</v>
      </c>
    </row>
    <row r="1552" spans="1:25" x14ac:dyDescent="0.35">
      <c r="A1552" s="1">
        <v>920</v>
      </c>
      <c r="B1552" t="s">
        <v>827</v>
      </c>
      <c r="C1552" t="s">
        <v>99</v>
      </c>
      <c r="D1552" t="s">
        <v>102</v>
      </c>
      <c r="E1552" s="2">
        <v>1</v>
      </c>
      <c r="F1552" s="2">
        <v>0</v>
      </c>
      <c r="G1552">
        <v>6</v>
      </c>
      <c r="H1552" t="s">
        <v>19</v>
      </c>
      <c r="M1552" s="2">
        <v>1</v>
      </c>
      <c r="N1552" s="2">
        <v>1</v>
      </c>
      <c r="O1552" s="2">
        <v>0</v>
      </c>
      <c r="P1552" s="2" t="s">
        <v>21</v>
      </c>
      <c r="R1552" t="str">
        <f t="shared" si="72"/>
        <v>no</v>
      </c>
      <c r="S1552" t="str">
        <f t="shared" si="73"/>
        <v>no</v>
      </c>
      <c r="T15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2" s="2" t="b">
        <f t="shared" si="74"/>
        <v>1</v>
      </c>
      <c r="V1552" s="2">
        <f>IF(Table4[[#This Row],[linear?]],Table4[[#This Row],[av]],10^(Table4[[#This Row],[av]]/10))</f>
        <v>1</v>
      </c>
      <c r="W1552" s="2">
        <f>IF(Table4[[#This Row],[linear?]],Table4[[#This Row],[av]],10^(Table4[[#This Row],[av]]/10))</f>
        <v>1</v>
      </c>
      <c r="X1552" s="2">
        <f>Table4[[#This Row],[av_lin]]-2*Table4[[#This Row],[std_lin]]</f>
        <v>-1</v>
      </c>
      <c r="Y1552" s="2">
        <f>Table4[[#This Row],[av_lin]]+2*Table4[[#This Row],[std_lin]]</f>
        <v>3</v>
      </c>
    </row>
    <row r="1553" spans="1:25" x14ac:dyDescent="0.35">
      <c r="A1553" s="1">
        <v>921</v>
      </c>
      <c r="B1553" t="s">
        <v>827</v>
      </c>
      <c r="C1553" t="s">
        <v>99</v>
      </c>
      <c r="D1553" t="s">
        <v>103</v>
      </c>
      <c r="E1553" s="2">
        <v>1</v>
      </c>
      <c r="F1553" s="2">
        <v>0</v>
      </c>
      <c r="G1553">
        <v>6</v>
      </c>
      <c r="H1553" t="s">
        <v>19</v>
      </c>
      <c r="M1553" s="2">
        <v>1</v>
      </c>
      <c r="N1553" s="2">
        <v>1</v>
      </c>
      <c r="O1553" s="2">
        <v>0</v>
      </c>
      <c r="P1553" s="2" t="s">
        <v>21</v>
      </c>
      <c r="R1553" t="str">
        <f t="shared" si="72"/>
        <v>no</v>
      </c>
      <c r="S1553" t="str">
        <f t="shared" si="73"/>
        <v>no</v>
      </c>
      <c r="T15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3" s="2" t="b">
        <f t="shared" si="74"/>
        <v>1</v>
      </c>
      <c r="V1553" s="2">
        <f>IF(Table4[[#This Row],[linear?]],Table4[[#This Row],[av]],10^(Table4[[#This Row],[av]]/10))</f>
        <v>1</v>
      </c>
      <c r="W1553" s="2">
        <f>IF(Table4[[#This Row],[linear?]],Table4[[#This Row],[av]],10^(Table4[[#This Row],[av]]/10))</f>
        <v>1</v>
      </c>
      <c r="X1553" s="2">
        <f>Table4[[#This Row],[av_lin]]-2*Table4[[#This Row],[std_lin]]</f>
        <v>-1</v>
      </c>
      <c r="Y1553" s="2">
        <f>Table4[[#This Row],[av_lin]]+2*Table4[[#This Row],[std_lin]]</f>
        <v>3</v>
      </c>
    </row>
    <row r="1554" spans="1:25" x14ac:dyDescent="0.35">
      <c r="A1554" s="1">
        <v>922</v>
      </c>
      <c r="B1554" t="s">
        <v>827</v>
      </c>
      <c r="C1554" t="s">
        <v>99</v>
      </c>
      <c r="D1554" t="s">
        <v>104</v>
      </c>
      <c r="E1554" s="2">
        <v>1</v>
      </c>
      <c r="F1554" s="2">
        <v>0</v>
      </c>
      <c r="G1554">
        <v>6</v>
      </c>
      <c r="H1554" t="s">
        <v>19</v>
      </c>
      <c r="M1554" s="2">
        <v>1</v>
      </c>
      <c r="N1554" s="2">
        <v>1</v>
      </c>
      <c r="O1554" s="2">
        <v>0</v>
      </c>
      <c r="P1554" s="2" t="s">
        <v>21</v>
      </c>
      <c r="R1554" t="str">
        <f t="shared" si="72"/>
        <v>no</v>
      </c>
      <c r="S1554" t="str">
        <f t="shared" si="73"/>
        <v>no</v>
      </c>
      <c r="T15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4" s="2" t="b">
        <f t="shared" si="74"/>
        <v>1</v>
      </c>
      <c r="V1554" s="2">
        <f>IF(Table4[[#This Row],[linear?]],Table4[[#This Row],[av]],10^(Table4[[#This Row],[av]]/10))</f>
        <v>1</v>
      </c>
      <c r="W1554" s="2">
        <f>IF(Table4[[#This Row],[linear?]],Table4[[#This Row],[av]],10^(Table4[[#This Row],[av]]/10))</f>
        <v>1</v>
      </c>
      <c r="X1554" s="2">
        <f>Table4[[#This Row],[av_lin]]-2*Table4[[#This Row],[std_lin]]</f>
        <v>-1</v>
      </c>
      <c r="Y1554" s="2">
        <f>Table4[[#This Row],[av_lin]]+2*Table4[[#This Row],[std_lin]]</f>
        <v>3</v>
      </c>
    </row>
    <row r="1555" spans="1:25" x14ac:dyDescent="0.35">
      <c r="A1555" s="1">
        <v>923</v>
      </c>
      <c r="B1555" t="s">
        <v>827</v>
      </c>
      <c r="C1555" t="s">
        <v>99</v>
      </c>
      <c r="D1555" t="s">
        <v>105</v>
      </c>
      <c r="E1555" s="2">
        <v>40.4</v>
      </c>
      <c r="F1555" s="2">
        <v>5.9370004653274142</v>
      </c>
      <c r="G1555">
        <v>6</v>
      </c>
      <c r="H1555" t="s">
        <v>19</v>
      </c>
      <c r="M1555" s="2">
        <v>52.274000930654829</v>
      </c>
      <c r="N1555" s="2">
        <v>28.525999069345168</v>
      </c>
      <c r="O1555" s="2">
        <v>23.74800186130966</v>
      </c>
      <c r="P1555" s="2">
        <v>6.8047830273787957</v>
      </c>
      <c r="R1555" t="str">
        <f t="shared" si="72"/>
        <v>no</v>
      </c>
      <c r="S1555" t="str">
        <f t="shared" si="73"/>
        <v>no</v>
      </c>
      <c r="T15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5" s="2" t="b">
        <f t="shared" si="74"/>
        <v>1</v>
      </c>
      <c r="V1555" s="2">
        <f>IF(Table4[[#This Row],[linear?]],Table4[[#This Row],[av]],10^(Table4[[#This Row],[av]]/10))</f>
        <v>40.4</v>
      </c>
      <c r="W1555" s="2">
        <f>IF(Table4[[#This Row],[linear?]],Table4[[#This Row],[av]],10^(Table4[[#This Row],[av]]/10))</f>
        <v>40.4</v>
      </c>
      <c r="X1555" s="2">
        <f>Table4[[#This Row],[av_lin]]-2*Table4[[#This Row],[std_lin]]</f>
        <v>-40.4</v>
      </c>
      <c r="Y1555" s="2">
        <f>Table4[[#This Row],[av_lin]]+2*Table4[[#This Row],[std_lin]]</f>
        <v>121.19999999999999</v>
      </c>
    </row>
    <row r="1556" spans="1:25" x14ac:dyDescent="0.35">
      <c r="A1556" s="1">
        <v>924</v>
      </c>
      <c r="B1556" t="s">
        <v>827</v>
      </c>
      <c r="C1556" t="s">
        <v>99</v>
      </c>
      <c r="D1556" t="s">
        <v>106</v>
      </c>
      <c r="E1556" s="2">
        <v>39.56666666666667</v>
      </c>
      <c r="F1556" s="2">
        <v>5.5493127286553579</v>
      </c>
      <c r="G1556">
        <v>6</v>
      </c>
      <c r="H1556" t="s">
        <v>19</v>
      </c>
      <c r="M1556" s="2">
        <v>50.665292123977387</v>
      </c>
      <c r="N1556" s="2">
        <v>28.468041209355949</v>
      </c>
      <c r="O1556" s="2">
        <v>22.197250914621431</v>
      </c>
      <c r="P1556" s="2">
        <v>7.1300120575929382</v>
      </c>
      <c r="R1556" t="str">
        <f t="shared" si="72"/>
        <v>no</v>
      </c>
      <c r="S1556" t="str">
        <f t="shared" si="73"/>
        <v>no</v>
      </c>
      <c r="T15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6" s="2" t="b">
        <f t="shared" si="74"/>
        <v>1</v>
      </c>
      <c r="V1556" s="2">
        <f>IF(Table4[[#This Row],[linear?]],Table4[[#This Row],[av]],10^(Table4[[#This Row],[av]]/10))</f>
        <v>39.56666666666667</v>
      </c>
      <c r="W1556" s="2">
        <f>IF(Table4[[#This Row],[linear?]],Table4[[#This Row],[av]],10^(Table4[[#This Row],[av]]/10))</f>
        <v>39.56666666666667</v>
      </c>
      <c r="X1556" s="2">
        <f>Table4[[#This Row],[av_lin]]-2*Table4[[#This Row],[std_lin]]</f>
        <v>-39.56666666666667</v>
      </c>
      <c r="Y1556" s="2">
        <f>Table4[[#This Row],[av_lin]]+2*Table4[[#This Row],[std_lin]]</f>
        <v>118.70000000000002</v>
      </c>
    </row>
    <row r="1557" spans="1:25" x14ac:dyDescent="0.35">
      <c r="A1557" s="1">
        <v>925</v>
      </c>
      <c r="B1557" t="s">
        <v>827</v>
      </c>
      <c r="C1557" t="s">
        <v>99</v>
      </c>
      <c r="D1557" t="s">
        <v>107</v>
      </c>
      <c r="G1557">
        <v>6</v>
      </c>
      <c r="H1557" t="s">
        <v>19</v>
      </c>
      <c r="R1557" t="str">
        <f t="shared" si="72"/>
        <v>no</v>
      </c>
      <c r="S1557" t="str">
        <f t="shared" si="73"/>
        <v>no</v>
      </c>
      <c r="T15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7" s="2" t="b">
        <f t="shared" si="74"/>
        <v>1</v>
      </c>
      <c r="V1557" s="2">
        <f>IF(Table4[[#This Row],[linear?]],Table4[[#This Row],[av]],10^(Table4[[#This Row],[av]]/10))</f>
        <v>0</v>
      </c>
      <c r="W1557" s="2">
        <f>IF(Table4[[#This Row],[linear?]],Table4[[#This Row],[av]],10^(Table4[[#This Row],[av]]/10))</f>
        <v>0</v>
      </c>
      <c r="X1557" s="2">
        <f>Table4[[#This Row],[av_lin]]-2*Table4[[#This Row],[std_lin]]</f>
        <v>0</v>
      </c>
      <c r="Y1557" s="2">
        <f>Table4[[#This Row],[av_lin]]+2*Table4[[#This Row],[std_lin]]</f>
        <v>0</v>
      </c>
    </row>
    <row r="1558" spans="1:25" x14ac:dyDescent="0.35">
      <c r="A1558" s="1">
        <v>926</v>
      </c>
      <c r="B1558" t="s">
        <v>827</v>
      </c>
      <c r="C1558" t="s">
        <v>99</v>
      </c>
      <c r="D1558" t="s">
        <v>108</v>
      </c>
      <c r="E1558" s="2">
        <v>1</v>
      </c>
      <c r="F1558" s="2">
        <v>0</v>
      </c>
      <c r="G1558">
        <v>6</v>
      </c>
      <c r="H1558" t="s">
        <v>19</v>
      </c>
      <c r="M1558" s="2">
        <v>1</v>
      </c>
      <c r="N1558" s="2">
        <v>1</v>
      </c>
      <c r="O1558" s="2">
        <v>0</v>
      </c>
      <c r="P1558" s="2" t="s">
        <v>21</v>
      </c>
      <c r="R1558" t="str">
        <f t="shared" si="72"/>
        <v>no</v>
      </c>
      <c r="S1558" t="str">
        <f t="shared" si="73"/>
        <v>no</v>
      </c>
      <c r="T15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8" s="2" t="b">
        <f t="shared" si="74"/>
        <v>1</v>
      </c>
      <c r="V1558" s="2">
        <f>IF(Table4[[#This Row],[linear?]],Table4[[#This Row],[av]],10^(Table4[[#This Row],[av]]/10))</f>
        <v>1</v>
      </c>
      <c r="W1558" s="2">
        <f>IF(Table4[[#This Row],[linear?]],Table4[[#This Row],[av]],10^(Table4[[#This Row],[av]]/10))</f>
        <v>1</v>
      </c>
      <c r="X1558" s="2">
        <f>Table4[[#This Row],[av_lin]]-2*Table4[[#This Row],[std_lin]]</f>
        <v>-1</v>
      </c>
      <c r="Y1558" s="2">
        <f>Table4[[#This Row],[av_lin]]+2*Table4[[#This Row],[std_lin]]</f>
        <v>3</v>
      </c>
    </row>
    <row r="1559" spans="1:25" x14ac:dyDescent="0.35">
      <c r="A1559" s="1">
        <v>927</v>
      </c>
      <c r="B1559" t="s">
        <v>827</v>
      </c>
      <c r="C1559" t="s">
        <v>99</v>
      </c>
      <c r="D1559" t="s">
        <v>109</v>
      </c>
      <c r="E1559" s="2">
        <v>1</v>
      </c>
      <c r="F1559" s="2">
        <v>0</v>
      </c>
      <c r="G1559">
        <v>6</v>
      </c>
      <c r="H1559" t="s">
        <v>19</v>
      </c>
      <c r="M1559" s="2">
        <v>1</v>
      </c>
      <c r="N1559" s="2">
        <v>1</v>
      </c>
      <c r="O1559" s="2">
        <v>0</v>
      </c>
      <c r="P1559" s="2" t="s">
        <v>21</v>
      </c>
      <c r="R1559" t="str">
        <f t="shared" si="72"/>
        <v>no</v>
      </c>
      <c r="S1559" t="str">
        <f t="shared" si="73"/>
        <v>no</v>
      </c>
      <c r="T15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9" s="2" t="b">
        <f t="shared" si="74"/>
        <v>1</v>
      </c>
      <c r="V1559" s="2">
        <f>IF(Table4[[#This Row],[linear?]],Table4[[#This Row],[av]],10^(Table4[[#This Row],[av]]/10))</f>
        <v>1</v>
      </c>
      <c r="W1559" s="2">
        <f>IF(Table4[[#This Row],[linear?]],Table4[[#This Row],[av]],10^(Table4[[#This Row],[av]]/10))</f>
        <v>1</v>
      </c>
      <c r="X1559" s="2">
        <f>Table4[[#This Row],[av_lin]]-2*Table4[[#This Row],[std_lin]]</f>
        <v>-1</v>
      </c>
      <c r="Y1559" s="2">
        <f>Table4[[#This Row],[av_lin]]+2*Table4[[#This Row],[std_lin]]</f>
        <v>3</v>
      </c>
    </row>
    <row r="1560" spans="1:25" x14ac:dyDescent="0.35">
      <c r="A1560" s="1">
        <v>928</v>
      </c>
      <c r="B1560" t="s">
        <v>827</v>
      </c>
      <c r="C1560" t="s">
        <v>99</v>
      </c>
      <c r="D1560" t="s">
        <v>110</v>
      </c>
      <c r="E1560" s="2">
        <v>1</v>
      </c>
      <c r="F1560" s="2">
        <v>0</v>
      </c>
      <c r="G1560">
        <v>6</v>
      </c>
      <c r="H1560" t="s">
        <v>19</v>
      </c>
      <c r="M1560" s="2">
        <v>1</v>
      </c>
      <c r="N1560" s="2">
        <v>1</v>
      </c>
      <c r="O1560" s="2">
        <v>0</v>
      </c>
      <c r="P1560" s="2" t="s">
        <v>21</v>
      </c>
      <c r="R1560" t="str">
        <f t="shared" si="72"/>
        <v>no</v>
      </c>
      <c r="S1560" t="str">
        <f t="shared" si="73"/>
        <v>no</v>
      </c>
      <c r="T15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0" s="2" t="b">
        <f t="shared" si="74"/>
        <v>1</v>
      </c>
      <c r="V1560" s="2">
        <f>IF(Table4[[#This Row],[linear?]],Table4[[#This Row],[av]],10^(Table4[[#This Row],[av]]/10))</f>
        <v>1</v>
      </c>
      <c r="W1560" s="2">
        <f>IF(Table4[[#This Row],[linear?]],Table4[[#This Row],[av]],10^(Table4[[#This Row],[av]]/10))</f>
        <v>1</v>
      </c>
      <c r="X1560" s="2">
        <f>Table4[[#This Row],[av_lin]]-2*Table4[[#This Row],[std_lin]]</f>
        <v>-1</v>
      </c>
      <c r="Y1560" s="2">
        <f>Table4[[#This Row],[av_lin]]+2*Table4[[#This Row],[std_lin]]</f>
        <v>3</v>
      </c>
    </row>
    <row r="1561" spans="1:25" x14ac:dyDescent="0.35">
      <c r="A1561" s="1">
        <v>929</v>
      </c>
      <c r="B1561" t="s">
        <v>827</v>
      </c>
      <c r="C1561" t="s">
        <v>99</v>
      </c>
      <c r="D1561" t="s">
        <v>111</v>
      </c>
      <c r="E1561" s="2">
        <v>1</v>
      </c>
      <c r="F1561" s="2">
        <v>0</v>
      </c>
      <c r="G1561">
        <v>6</v>
      </c>
      <c r="H1561" t="s">
        <v>19</v>
      </c>
      <c r="M1561" s="2">
        <v>1</v>
      </c>
      <c r="N1561" s="2">
        <v>1</v>
      </c>
      <c r="O1561" s="2">
        <v>0</v>
      </c>
      <c r="P1561" s="2" t="s">
        <v>21</v>
      </c>
      <c r="R1561" t="str">
        <f t="shared" si="72"/>
        <v>no</v>
      </c>
      <c r="S1561" t="str">
        <f t="shared" si="73"/>
        <v>no</v>
      </c>
      <c r="T15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1" s="2" t="b">
        <f t="shared" si="74"/>
        <v>1</v>
      </c>
      <c r="V1561" s="2">
        <f>IF(Table4[[#This Row],[linear?]],Table4[[#This Row],[av]],10^(Table4[[#This Row],[av]]/10))</f>
        <v>1</v>
      </c>
      <c r="W1561" s="2">
        <f>IF(Table4[[#This Row],[linear?]],Table4[[#This Row],[av]],10^(Table4[[#This Row],[av]]/10))</f>
        <v>1</v>
      </c>
      <c r="X1561" s="2">
        <f>Table4[[#This Row],[av_lin]]-2*Table4[[#This Row],[std_lin]]</f>
        <v>-1</v>
      </c>
      <c r="Y1561" s="2">
        <f>Table4[[#This Row],[av_lin]]+2*Table4[[#This Row],[std_lin]]</f>
        <v>3</v>
      </c>
    </row>
    <row r="1562" spans="1:25" x14ac:dyDescent="0.35">
      <c r="A1562" s="1">
        <v>930</v>
      </c>
      <c r="B1562" t="s">
        <v>827</v>
      </c>
      <c r="C1562" t="s">
        <v>99</v>
      </c>
      <c r="D1562" t="s">
        <v>112</v>
      </c>
      <c r="E1562" s="2">
        <v>39.677777777777777</v>
      </c>
      <c r="F1562" s="2">
        <v>6.2194764183722793</v>
      </c>
      <c r="G1562">
        <v>6</v>
      </c>
      <c r="H1562" t="s">
        <v>19</v>
      </c>
      <c r="M1562" s="2">
        <v>52.116730614522339</v>
      </c>
      <c r="N1562" s="2">
        <v>27.238824941033219</v>
      </c>
      <c r="O1562" s="2">
        <v>24.877905673489121</v>
      </c>
      <c r="P1562" s="2">
        <v>6.3796009677872512</v>
      </c>
      <c r="R1562" t="str">
        <f t="shared" si="72"/>
        <v>no</v>
      </c>
      <c r="S1562" t="str">
        <f t="shared" si="73"/>
        <v>no</v>
      </c>
      <c r="T15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2" s="2" t="b">
        <f t="shared" si="74"/>
        <v>1</v>
      </c>
      <c r="V1562" s="2">
        <f>IF(Table4[[#This Row],[linear?]],Table4[[#This Row],[av]],10^(Table4[[#This Row],[av]]/10))</f>
        <v>39.677777777777777</v>
      </c>
      <c r="W1562" s="2">
        <f>IF(Table4[[#This Row],[linear?]],Table4[[#This Row],[av]],10^(Table4[[#This Row],[av]]/10))</f>
        <v>39.677777777777777</v>
      </c>
      <c r="X1562" s="2">
        <f>Table4[[#This Row],[av_lin]]-2*Table4[[#This Row],[std_lin]]</f>
        <v>-39.677777777777777</v>
      </c>
      <c r="Y1562" s="2">
        <f>Table4[[#This Row],[av_lin]]+2*Table4[[#This Row],[std_lin]]</f>
        <v>119.03333333333333</v>
      </c>
    </row>
    <row r="1563" spans="1:25" x14ac:dyDescent="0.35">
      <c r="A1563" s="1">
        <v>931</v>
      </c>
      <c r="B1563" t="s">
        <v>827</v>
      </c>
      <c r="C1563" t="s">
        <v>99</v>
      </c>
      <c r="D1563" t="s">
        <v>113</v>
      </c>
      <c r="E1563" s="2">
        <v>40.666666666666657</v>
      </c>
      <c r="F1563" s="2">
        <v>3.8346874172037011</v>
      </c>
      <c r="G1563">
        <v>6</v>
      </c>
      <c r="H1563" t="s">
        <v>19</v>
      </c>
      <c r="M1563" s="2">
        <v>48.336041501074057</v>
      </c>
      <c r="N1563" s="2">
        <v>32.997291832259258</v>
      </c>
      <c r="O1563" s="2">
        <v>15.338749668814801</v>
      </c>
      <c r="P1563" s="2">
        <v>10.60494956752466</v>
      </c>
      <c r="R1563" t="str">
        <f t="shared" si="72"/>
        <v>no</v>
      </c>
      <c r="S1563" t="str">
        <f t="shared" si="73"/>
        <v>no</v>
      </c>
      <c r="T15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3" s="2" t="b">
        <f t="shared" si="74"/>
        <v>1</v>
      </c>
      <c r="V1563" s="2">
        <f>IF(Table4[[#This Row],[linear?]],Table4[[#This Row],[av]],10^(Table4[[#This Row],[av]]/10))</f>
        <v>40.666666666666657</v>
      </c>
      <c r="W1563" s="2">
        <f>IF(Table4[[#This Row],[linear?]],Table4[[#This Row],[av]],10^(Table4[[#This Row],[av]]/10))</f>
        <v>40.666666666666657</v>
      </c>
      <c r="X1563" s="2">
        <f>Table4[[#This Row],[av_lin]]-2*Table4[[#This Row],[std_lin]]</f>
        <v>-40.666666666666657</v>
      </c>
      <c r="Y1563" s="2">
        <f>Table4[[#This Row],[av_lin]]+2*Table4[[#This Row],[std_lin]]</f>
        <v>121.99999999999997</v>
      </c>
    </row>
    <row r="1564" spans="1:25" x14ac:dyDescent="0.35">
      <c r="A1564" s="1">
        <v>932</v>
      </c>
      <c r="B1564" t="s">
        <v>827</v>
      </c>
      <c r="C1564" t="s">
        <v>99</v>
      </c>
      <c r="D1564" t="s">
        <v>114</v>
      </c>
      <c r="G1564">
        <v>6</v>
      </c>
      <c r="H1564" t="s">
        <v>19</v>
      </c>
      <c r="R1564" t="str">
        <f t="shared" si="72"/>
        <v>no</v>
      </c>
      <c r="S1564" t="str">
        <f t="shared" si="73"/>
        <v>no</v>
      </c>
      <c r="T15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4" s="2" t="b">
        <f t="shared" si="74"/>
        <v>1</v>
      </c>
      <c r="V1564" s="2">
        <f>IF(Table4[[#This Row],[linear?]],Table4[[#This Row],[av]],10^(Table4[[#This Row],[av]]/10))</f>
        <v>0</v>
      </c>
      <c r="W1564" s="2">
        <f>IF(Table4[[#This Row],[linear?]],Table4[[#This Row],[av]],10^(Table4[[#This Row],[av]]/10))</f>
        <v>0</v>
      </c>
      <c r="X1564" s="2">
        <f>Table4[[#This Row],[av_lin]]-2*Table4[[#This Row],[std_lin]]</f>
        <v>0</v>
      </c>
      <c r="Y1564" s="2">
        <f>Table4[[#This Row],[av_lin]]+2*Table4[[#This Row],[std_lin]]</f>
        <v>0</v>
      </c>
    </row>
    <row r="1565" spans="1:25" x14ac:dyDescent="0.35">
      <c r="A1565" s="1">
        <v>933</v>
      </c>
      <c r="B1565" t="s">
        <v>827</v>
      </c>
      <c r="C1565" t="s">
        <v>99</v>
      </c>
      <c r="D1565" t="s">
        <v>115</v>
      </c>
      <c r="E1565" s="2">
        <v>1</v>
      </c>
      <c r="F1565" s="2">
        <v>0</v>
      </c>
      <c r="G1565">
        <v>6</v>
      </c>
      <c r="H1565" t="s">
        <v>19</v>
      </c>
      <c r="M1565" s="2">
        <v>1</v>
      </c>
      <c r="N1565" s="2">
        <v>1</v>
      </c>
      <c r="O1565" s="2">
        <v>0</v>
      </c>
      <c r="P1565" s="2" t="s">
        <v>21</v>
      </c>
      <c r="R1565" t="str">
        <f t="shared" si="72"/>
        <v>no</v>
      </c>
      <c r="S1565" t="str">
        <f t="shared" si="73"/>
        <v>no</v>
      </c>
      <c r="T15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5" s="2" t="b">
        <f t="shared" si="74"/>
        <v>1</v>
      </c>
      <c r="V1565" s="2">
        <f>IF(Table4[[#This Row],[linear?]],Table4[[#This Row],[av]],10^(Table4[[#This Row],[av]]/10))</f>
        <v>1</v>
      </c>
      <c r="W1565" s="2">
        <f>IF(Table4[[#This Row],[linear?]],Table4[[#This Row],[av]],10^(Table4[[#This Row],[av]]/10))</f>
        <v>1</v>
      </c>
      <c r="X1565" s="2">
        <f>Table4[[#This Row],[av_lin]]-2*Table4[[#This Row],[std_lin]]</f>
        <v>-1</v>
      </c>
      <c r="Y1565" s="2">
        <f>Table4[[#This Row],[av_lin]]+2*Table4[[#This Row],[std_lin]]</f>
        <v>3</v>
      </c>
    </row>
    <row r="1566" spans="1:25" x14ac:dyDescent="0.35">
      <c r="A1566" s="1">
        <v>934</v>
      </c>
      <c r="B1566" t="s">
        <v>827</v>
      </c>
      <c r="C1566" t="s">
        <v>99</v>
      </c>
      <c r="D1566" t="s">
        <v>116</v>
      </c>
      <c r="E1566" s="2">
        <v>1</v>
      </c>
      <c r="F1566" s="2">
        <v>0</v>
      </c>
      <c r="G1566">
        <v>6</v>
      </c>
      <c r="H1566" t="s">
        <v>19</v>
      </c>
      <c r="M1566" s="2">
        <v>1</v>
      </c>
      <c r="N1566" s="2">
        <v>1</v>
      </c>
      <c r="O1566" s="2">
        <v>0</v>
      </c>
      <c r="P1566" s="2" t="s">
        <v>21</v>
      </c>
      <c r="R1566" t="str">
        <f t="shared" si="72"/>
        <v>no</v>
      </c>
      <c r="S1566" t="str">
        <f t="shared" si="73"/>
        <v>no</v>
      </c>
      <c r="T15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6" s="2" t="b">
        <f t="shared" si="74"/>
        <v>1</v>
      </c>
      <c r="V1566" s="2">
        <f>IF(Table4[[#This Row],[linear?]],Table4[[#This Row],[av]],10^(Table4[[#This Row],[av]]/10))</f>
        <v>1</v>
      </c>
      <c r="W1566" s="2">
        <f>IF(Table4[[#This Row],[linear?]],Table4[[#This Row],[av]],10^(Table4[[#This Row],[av]]/10))</f>
        <v>1</v>
      </c>
      <c r="X1566" s="2">
        <f>Table4[[#This Row],[av_lin]]-2*Table4[[#This Row],[std_lin]]</f>
        <v>-1</v>
      </c>
      <c r="Y1566" s="2">
        <f>Table4[[#This Row],[av_lin]]+2*Table4[[#This Row],[std_lin]]</f>
        <v>3</v>
      </c>
    </row>
    <row r="1567" spans="1:25" x14ac:dyDescent="0.35">
      <c r="A1567" s="1">
        <v>935</v>
      </c>
      <c r="B1567" t="s">
        <v>827</v>
      </c>
      <c r="C1567" t="s">
        <v>99</v>
      </c>
      <c r="D1567" t="s">
        <v>117</v>
      </c>
      <c r="E1567" s="2">
        <v>1</v>
      </c>
      <c r="F1567" s="2">
        <v>0</v>
      </c>
      <c r="G1567">
        <v>6</v>
      </c>
      <c r="H1567" t="s">
        <v>19</v>
      </c>
      <c r="M1567" s="2">
        <v>1</v>
      </c>
      <c r="N1567" s="2">
        <v>1</v>
      </c>
      <c r="O1567" s="2">
        <v>0</v>
      </c>
      <c r="P1567" s="2" t="s">
        <v>21</v>
      </c>
      <c r="R1567" t="str">
        <f t="shared" si="72"/>
        <v>no</v>
      </c>
      <c r="S1567" t="str">
        <f t="shared" si="73"/>
        <v>no</v>
      </c>
      <c r="T15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7" s="2" t="b">
        <f t="shared" si="74"/>
        <v>1</v>
      </c>
      <c r="V1567" s="2">
        <f>IF(Table4[[#This Row],[linear?]],Table4[[#This Row],[av]],10^(Table4[[#This Row],[av]]/10))</f>
        <v>1</v>
      </c>
      <c r="W1567" s="2">
        <f>IF(Table4[[#This Row],[linear?]],Table4[[#This Row],[av]],10^(Table4[[#This Row],[av]]/10))</f>
        <v>1</v>
      </c>
      <c r="X1567" s="2">
        <f>Table4[[#This Row],[av_lin]]-2*Table4[[#This Row],[std_lin]]</f>
        <v>-1</v>
      </c>
      <c r="Y1567" s="2">
        <f>Table4[[#This Row],[av_lin]]+2*Table4[[#This Row],[std_lin]]</f>
        <v>3</v>
      </c>
    </row>
    <row r="1568" spans="1:25" x14ac:dyDescent="0.35">
      <c r="A1568" s="1">
        <v>936</v>
      </c>
      <c r="B1568" t="s">
        <v>827</v>
      </c>
      <c r="C1568" t="s">
        <v>99</v>
      </c>
      <c r="D1568" t="s">
        <v>118</v>
      </c>
      <c r="E1568" s="2">
        <v>1</v>
      </c>
      <c r="F1568" s="2">
        <v>0</v>
      </c>
      <c r="G1568">
        <v>6</v>
      </c>
      <c r="H1568" t="s">
        <v>19</v>
      </c>
      <c r="M1568" s="2">
        <v>1</v>
      </c>
      <c r="N1568" s="2">
        <v>1</v>
      </c>
      <c r="O1568" s="2">
        <v>0</v>
      </c>
      <c r="P1568" s="2" t="s">
        <v>21</v>
      </c>
      <c r="R1568" t="str">
        <f t="shared" si="72"/>
        <v>no</v>
      </c>
      <c r="S1568" t="str">
        <f t="shared" si="73"/>
        <v>no</v>
      </c>
      <c r="T15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8" s="2" t="b">
        <f t="shared" si="74"/>
        <v>1</v>
      </c>
      <c r="V1568" s="2">
        <f>IF(Table4[[#This Row],[linear?]],Table4[[#This Row],[av]],10^(Table4[[#This Row],[av]]/10))</f>
        <v>1</v>
      </c>
      <c r="W1568" s="2">
        <f>IF(Table4[[#This Row],[linear?]],Table4[[#This Row],[av]],10^(Table4[[#This Row],[av]]/10))</f>
        <v>1</v>
      </c>
      <c r="X1568" s="2">
        <f>Table4[[#This Row],[av_lin]]-2*Table4[[#This Row],[std_lin]]</f>
        <v>-1</v>
      </c>
      <c r="Y1568" s="2">
        <f>Table4[[#This Row],[av_lin]]+2*Table4[[#This Row],[std_lin]]</f>
        <v>3</v>
      </c>
    </row>
    <row r="1569" spans="1:25" x14ac:dyDescent="0.35">
      <c r="A1569" s="1">
        <v>937</v>
      </c>
      <c r="B1569" t="s">
        <v>827</v>
      </c>
      <c r="C1569" t="s">
        <v>99</v>
      </c>
      <c r="D1569" t="s">
        <v>119</v>
      </c>
      <c r="E1569" s="2">
        <v>47.577777777777783</v>
      </c>
      <c r="F1569" s="2">
        <v>4.0431462923907411</v>
      </c>
      <c r="G1569">
        <v>6</v>
      </c>
      <c r="H1569" t="s">
        <v>19</v>
      </c>
      <c r="M1569" s="2">
        <v>55.664070362559258</v>
      </c>
      <c r="N1569" s="2">
        <v>39.491485192996301</v>
      </c>
      <c r="O1569" s="2">
        <v>16.172585169562961</v>
      </c>
      <c r="P1569" s="2">
        <v>11.76751330203407</v>
      </c>
      <c r="R1569" t="str">
        <f t="shared" si="72"/>
        <v>no</v>
      </c>
      <c r="S1569" t="str">
        <f t="shared" si="73"/>
        <v>no</v>
      </c>
      <c r="T15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9" s="2" t="b">
        <f t="shared" si="74"/>
        <v>1</v>
      </c>
      <c r="V1569" s="2">
        <f>IF(Table4[[#This Row],[linear?]],Table4[[#This Row],[av]],10^(Table4[[#This Row],[av]]/10))</f>
        <v>47.577777777777783</v>
      </c>
      <c r="W1569" s="2">
        <f>IF(Table4[[#This Row],[linear?]],Table4[[#This Row],[av]],10^(Table4[[#This Row],[av]]/10))</f>
        <v>47.577777777777783</v>
      </c>
      <c r="X1569" s="2">
        <f>Table4[[#This Row],[av_lin]]-2*Table4[[#This Row],[std_lin]]</f>
        <v>-47.577777777777783</v>
      </c>
      <c r="Y1569" s="2">
        <f>Table4[[#This Row],[av_lin]]+2*Table4[[#This Row],[std_lin]]</f>
        <v>142.73333333333335</v>
      </c>
    </row>
    <row r="1570" spans="1:25" x14ac:dyDescent="0.35">
      <c r="A1570" s="1">
        <v>938</v>
      </c>
      <c r="B1570" t="s">
        <v>827</v>
      </c>
      <c r="C1570" t="s">
        <v>99</v>
      </c>
      <c r="D1570" t="s">
        <v>120</v>
      </c>
      <c r="E1570" s="2">
        <v>43.533333333333331</v>
      </c>
      <c r="F1570" s="2">
        <v>4.6759668444820583</v>
      </c>
      <c r="G1570">
        <v>6</v>
      </c>
      <c r="H1570" t="s">
        <v>19</v>
      </c>
      <c r="M1570" s="2">
        <v>52.885267022297448</v>
      </c>
      <c r="N1570" s="2">
        <v>34.181399644369208</v>
      </c>
      <c r="O1570" s="2">
        <v>18.70386737792823</v>
      </c>
      <c r="P1570" s="2">
        <v>9.3100175388765773</v>
      </c>
      <c r="R1570" t="str">
        <f t="shared" si="72"/>
        <v>no</v>
      </c>
      <c r="S1570" t="str">
        <f t="shared" si="73"/>
        <v>no</v>
      </c>
      <c r="T15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0" s="2" t="b">
        <f t="shared" si="74"/>
        <v>1</v>
      </c>
      <c r="V1570" s="2">
        <f>IF(Table4[[#This Row],[linear?]],Table4[[#This Row],[av]],10^(Table4[[#This Row],[av]]/10))</f>
        <v>43.533333333333331</v>
      </c>
      <c r="W1570" s="2">
        <f>IF(Table4[[#This Row],[linear?]],Table4[[#This Row],[av]],10^(Table4[[#This Row],[av]]/10))</f>
        <v>43.533333333333331</v>
      </c>
      <c r="X1570" s="2">
        <f>Table4[[#This Row],[av_lin]]-2*Table4[[#This Row],[std_lin]]</f>
        <v>-43.533333333333331</v>
      </c>
      <c r="Y1570" s="2">
        <f>Table4[[#This Row],[av_lin]]+2*Table4[[#This Row],[std_lin]]</f>
        <v>130.6</v>
      </c>
    </row>
    <row r="1571" spans="1:25" x14ac:dyDescent="0.35">
      <c r="A1571" s="1">
        <v>939</v>
      </c>
      <c r="B1571" t="s">
        <v>827</v>
      </c>
      <c r="C1571" t="s">
        <v>99</v>
      </c>
      <c r="D1571" t="s">
        <v>121</v>
      </c>
      <c r="G1571">
        <v>6</v>
      </c>
      <c r="H1571" t="s">
        <v>19</v>
      </c>
      <c r="R1571" t="str">
        <f t="shared" si="72"/>
        <v>no</v>
      </c>
      <c r="S1571" t="str">
        <f t="shared" si="73"/>
        <v>no</v>
      </c>
      <c r="T15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1" s="2" t="b">
        <f t="shared" si="74"/>
        <v>1</v>
      </c>
      <c r="V1571" s="2">
        <f>IF(Table4[[#This Row],[linear?]],Table4[[#This Row],[av]],10^(Table4[[#This Row],[av]]/10))</f>
        <v>0</v>
      </c>
      <c r="W1571" s="2">
        <f>IF(Table4[[#This Row],[linear?]],Table4[[#This Row],[av]],10^(Table4[[#This Row],[av]]/10))</f>
        <v>0</v>
      </c>
      <c r="X1571" s="2">
        <f>Table4[[#This Row],[av_lin]]-2*Table4[[#This Row],[std_lin]]</f>
        <v>0</v>
      </c>
      <c r="Y1571" s="2">
        <f>Table4[[#This Row],[av_lin]]+2*Table4[[#This Row],[std_lin]]</f>
        <v>0</v>
      </c>
    </row>
    <row r="1572" spans="1:25" x14ac:dyDescent="0.35">
      <c r="A1572" s="1">
        <v>940</v>
      </c>
      <c r="B1572" t="s">
        <v>827</v>
      </c>
      <c r="C1572" t="s">
        <v>99</v>
      </c>
      <c r="D1572" t="s">
        <v>122</v>
      </c>
      <c r="E1572" s="2">
        <v>1</v>
      </c>
      <c r="F1572" s="2">
        <v>0</v>
      </c>
      <c r="G1572">
        <v>6</v>
      </c>
      <c r="H1572" t="s">
        <v>19</v>
      </c>
      <c r="M1572" s="2">
        <v>1</v>
      </c>
      <c r="N1572" s="2">
        <v>1</v>
      </c>
      <c r="O1572" s="2">
        <v>0</v>
      </c>
      <c r="P1572" s="2" t="s">
        <v>21</v>
      </c>
      <c r="R1572" t="str">
        <f t="shared" si="72"/>
        <v>no</v>
      </c>
      <c r="S1572" t="str">
        <f t="shared" si="73"/>
        <v>no</v>
      </c>
      <c r="T15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2" s="2" t="b">
        <f t="shared" si="74"/>
        <v>1</v>
      </c>
      <c r="V1572" s="2">
        <f>IF(Table4[[#This Row],[linear?]],Table4[[#This Row],[av]],10^(Table4[[#This Row],[av]]/10))</f>
        <v>1</v>
      </c>
      <c r="W1572" s="2">
        <f>IF(Table4[[#This Row],[linear?]],Table4[[#This Row],[av]],10^(Table4[[#This Row],[av]]/10))</f>
        <v>1</v>
      </c>
      <c r="X1572" s="2">
        <f>Table4[[#This Row],[av_lin]]-2*Table4[[#This Row],[std_lin]]</f>
        <v>-1</v>
      </c>
      <c r="Y1572" s="2">
        <f>Table4[[#This Row],[av_lin]]+2*Table4[[#This Row],[std_lin]]</f>
        <v>3</v>
      </c>
    </row>
    <row r="1573" spans="1:25" x14ac:dyDescent="0.35">
      <c r="A1573" s="1">
        <v>941</v>
      </c>
      <c r="B1573" t="s">
        <v>827</v>
      </c>
      <c r="C1573" t="s">
        <v>99</v>
      </c>
      <c r="D1573" t="s">
        <v>123</v>
      </c>
      <c r="E1573" s="2">
        <v>1</v>
      </c>
      <c r="F1573" s="2">
        <v>0</v>
      </c>
      <c r="G1573">
        <v>6</v>
      </c>
      <c r="H1573" t="s">
        <v>19</v>
      </c>
      <c r="M1573" s="2">
        <v>1</v>
      </c>
      <c r="N1573" s="2">
        <v>1</v>
      </c>
      <c r="O1573" s="2">
        <v>0</v>
      </c>
      <c r="P1573" s="2" t="s">
        <v>21</v>
      </c>
      <c r="R1573" t="str">
        <f t="shared" si="72"/>
        <v>no</v>
      </c>
      <c r="S1573" t="str">
        <f t="shared" si="73"/>
        <v>no</v>
      </c>
      <c r="T15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3" s="2" t="b">
        <f t="shared" si="74"/>
        <v>1</v>
      </c>
      <c r="V1573" s="2">
        <f>IF(Table4[[#This Row],[linear?]],Table4[[#This Row],[av]],10^(Table4[[#This Row],[av]]/10))</f>
        <v>1</v>
      </c>
      <c r="W1573" s="2">
        <f>IF(Table4[[#This Row],[linear?]],Table4[[#This Row],[av]],10^(Table4[[#This Row],[av]]/10))</f>
        <v>1</v>
      </c>
      <c r="X1573" s="2">
        <f>Table4[[#This Row],[av_lin]]-2*Table4[[#This Row],[std_lin]]</f>
        <v>-1</v>
      </c>
      <c r="Y1573" s="2">
        <f>Table4[[#This Row],[av_lin]]+2*Table4[[#This Row],[std_lin]]</f>
        <v>3</v>
      </c>
    </row>
    <row r="1574" spans="1:25" x14ac:dyDescent="0.35">
      <c r="A1574" s="1">
        <v>942</v>
      </c>
      <c r="B1574" t="s">
        <v>827</v>
      </c>
      <c r="C1574" t="s">
        <v>99</v>
      </c>
      <c r="D1574" t="s">
        <v>124</v>
      </c>
      <c r="E1574" s="2">
        <v>1</v>
      </c>
      <c r="F1574" s="2">
        <v>0</v>
      </c>
      <c r="G1574">
        <v>6</v>
      </c>
      <c r="H1574" t="s">
        <v>19</v>
      </c>
      <c r="M1574" s="2">
        <v>1</v>
      </c>
      <c r="N1574" s="2">
        <v>1</v>
      </c>
      <c r="O1574" s="2">
        <v>0</v>
      </c>
      <c r="P1574" s="2" t="s">
        <v>21</v>
      </c>
      <c r="R1574" t="str">
        <f t="shared" si="72"/>
        <v>no</v>
      </c>
      <c r="S1574" t="str">
        <f t="shared" si="73"/>
        <v>no</v>
      </c>
      <c r="T15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4" s="2" t="b">
        <f t="shared" si="74"/>
        <v>1</v>
      </c>
      <c r="V1574" s="2">
        <f>IF(Table4[[#This Row],[linear?]],Table4[[#This Row],[av]],10^(Table4[[#This Row],[av]]/10))</f>
        <v>1</v>
      </c>
      <c r="W1574" s="2">
        <f>IF(Table4[[#This Row],[linear?]],Table4[[#This Row],[av]],10^(Table4[[#This Row],[av]]/10))</f>
        <v>1</v>
      </c>
      <c r="X1574" s="2">
        <f>Table4[[#This Row],[av_lin]]-2*Table4[[#This Row],[std_lin]]</f>
        <v>-1</v>
      </c>
      <c r="Y1574" s="2">
        <f>Table4[[#This Row],[av_lin]]+2*Table4[[#This Row],[std_lin]]</f>
        <v>3</v>
      </c>
    </row>
    <row r="1575" spans="1:25" x14ac:dyDescent="0.35">
      <c r="A1575" s="1">
        <v>943</v>
      </c>
      <c r="B1575" t="s">
        <v>827</v>
      </c>
      <c r="C1575" t="s">
        <v>99</v>
      </c>
      <c r="D1575" t="s">
        <v>125</v>
      </c>
      <c r="E1575" s="2">
        <v>1</v>
      </c>
      <c r="F1575" s="2">
        <v>0</v>
      </c>
      <c r="G1575">
        <v>6</v>
      </c>
      <c r="H1575" t="s">
        <v>19</v>
      </c>
      <c r="M1575" s="2">
        <v>1</v>
      </c>
      <c r="N1575" s="2">
        <v>1</v>
      </c>
      <c r="O1575" s="2">
        <v>0</v>
      </c>
      <c r="P1575" s="2" t="s">
        <v>21</v>
      </c>
      <c r="R1575" t="str">
        <f t="shared" si="72"/>
        <v>no</v>
      </c>
      <c r="S1575" t="str">
        <f t="shared" si="73"/>
        <v>no</v>
      </c>
      <c r="T15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5" s="2" t="b">
        <f t="shared" si="74"/>
        <v>1</v>
      </c>
      <c r="V1575" s="2">
        <f>IF(Table4[[#This Row],[linear?]],Table4[[#This Row],[av]],10^(Table4[[#This Row],[av]]/10))</f>
        <v>1</v>
      </c>
      <c r="W1575" s="2">
        <f>IF(Table4[[#This Row],[linear?]],Table4[[#This Row],[av]],10^(Table4[[#This Row],[av]]/10))</f>
        <v>1</v>
      </c>
      <c r="X1575" s="2">
        <f>Table4[[#This Row],[av_lin]]-2*Table4[[#This Row],[std_lin]]</f>
        <v>-1</v>
      </c>
      <c r="Y1575" s="2">
        <f>Table4[[#This Row],[av_lin]]+2*Table4[[#This Row],[std_lin]]</f>
        <v>3</v>
      </c>
    </row>
    <row r="1576" spans="1:25" x14ac:dyDescent="0.35">
      <c r="A1576" s="1">
        <v>944</v>
      </c>
      <c r="B1576" t="s">
        <v>827</v>
      </c>
      <c r="C1576" t="s">
        <v>99</v>
      </c>
      <c r="D1576" t="s">
        <v>126</v>
      </c>
      <c r="E1576" s="2">
        <v>44.261111111111113</v>
      </c>
      <c r="F1576" s="2">
        <v>2.65105579523278</v>
      </c>
      <c r="G1576">
        <v>6</v>
      </c>
      <c r="H1576" t="s">
        <v>19</v>
      </c>
      <c r="M1576" s="2">
        <v>49.56322270157667</v>
      </c>
      <c r="N1576" s="2">
        <v>38.958999520645563</v>
      </c>
      <c r="O1576" s="2">
        <v>10.604223180931109</v>
      </c>
      <c r="P1576" s="2">
        <v>16.695654309012649</v>
      </c>
      <c r="R1576" t="str">
        <f t="shared" si="72"/>
        <v>no</v>
      </c>
      <c r="S1576" t="str">
        <f t="shared" si="73"/>
        <v>no</v>
      </c>
      <c r="T15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6" s="2" t="b">
        <f t="shared" si="74"/>
        <v>1</v>
      </c>
      <c r="V1576" s="2">
        <f>IF(Table4[[#This Row],[linear?]],Table4[[#This Row],[av]],10^(Table4[[#This Row],[av]]/10))</f>
        <v>44.261111111111113</v>
      </c>
      <c r="W1576" s="2">
        <f>IF(Table4[[#This Row],[linear?]],Table4[[#This Row],[av]],10^(Table4[[#This Row],[av]]/10))</f>
        <v>44.261111111111113</v>
      </c>
      <c r="X1576" s="2">
        <f>Table4[[#This Row],[av_lin]]-2*Table4[[#This Row],[std_lin]]</f>
        <v>-44.261111111111113</v>
      </c>
      <c r="Y1576" s="2">
        <f>Table4[[#This Row],[av_lin]]+2*Table4[[#This Row],[std_lin]]</f>
        <v>132.78333333333333</v>
      </c>
    </row>
    <row r="1577" spans="1:25" x14ac:dyDescent="0.35">
      <c r="A1577" s="1">
        <v>945</v>
      </c>
      <c r="B1577" t="s">
        <v>827</v>
      </c>
      <c r="C1577" t="s">
        <v>99</v>
      </c>
      <c r="D1577" t="s">
        <v>127</v>
      </c>
      <c r="E1577" s="2">
        <v>38.572222222222223</v>
      </c>
      <c r="F1577" s="2">
        <v>4.2630098426588701</v>
      </c>
      <c r="G1577">
        <v>6</v>
      </c>
      <c r="H1577" t="s">
        <v>19</v>
      </c>
      <c r="M1577" s="2">
        <v>47.098241907539958</v>
      </c>
      <c r="N1577" s="2">
        <v>30.046202536904481</v>
      </c>
      <c r="O1577" s="2">
        <v>17.05203937063548</v>
      </c>
      <c r="P1577" s="2">
        <v>9.0481194381114651</v>
      </c>
      <c r="R1577" t="str">
        <f t="shared" si="72"/>
        <v>no</v>
      </c>
      <c r="S1577" t="str">
        <f t="shared" si="73"/>
        <v>no</v>
      </c>
      <c r="T15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7" s="2" t="b">
        <f t="shared" si="74"/>
        <v>1</v>
      </c>
      <c r="V1577" s="2">
        <f>IF(Table4[[#This Row],[linear?]],Table4[[#This Row],[av]],10^(Table4[[#This Row],[av]]/10))</f>
        <v>38.572222222222223</v>
      </c>
      <c r="W1577" s="2">
        <f>IF(Table4[[#This Row],[linear?]],Table4[[#This Row],[av]],10^(Table4[[#This Row],[av]]/10))</f>
        <v>38.572222222222223</v>
      </c>
      <c r="X1577" s="2">
        <f>Table4[[#This Row],[av_lin]]-2*Table4[[#This Row],[std_lin]]</f>
        <v>-38.572222222222223</v>
      </c>
      <c r="Y1577" s="2">
        <f>Table4[[#This Row],[av_lin]]+2*Table4[[#This Row],[std_lin]]</f>
        <v>115.71666666666667</v>
      </c>
    </row>
    <row r="1578" spans="1:25" x14ac:dyDescent="0.35">
      <c r="A1578" s="1">
        <v>946</v>
      </c>
      <c r="B1578" t="s">
        <v>827</v>
      </c>
      <c r="C1578" t="s">
        <v>99</v>
      </c>
      <c r="D1578" t="s">
        <v>128</v>
      </c>
      <c r="G1578">
        <v>6</v>
      </c>
      <c r="H1578" t="s">
        <v>19</v>
      </c>
      <c r="R1578" t="str">
        <f t="shared" si="72"/>
        <v>no</v>
      </c>
      <c r="S1578" t="str">
        <f t="shared" si="73"/>
        <v>no</v>
      </c>
      <c r="T15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8" s="2" t="b">
        <f t="shared" si="74"/>
        <v>1</v>
      </c>
      <c r="V1578" s="2">
        <f>IF(Table4[[#This Row],[linear?]],Table4[[#This Row],[av]],10^(Table4[[#This Row],[av]]/10))</f>
        <v>0</v>
      </c>
      <c r="W1578" s="2">
        <f>IF(Table4[[#This Row],[linear?]],Table4[[#This Row],[av]],10^(Table4[[#This Row],[av]]/10))</f>
        <v>0</v>
      </c>
      <c r="X1578" s="2">
        <f>Table4[[#This Row],[av_lin]]-2*Table4[[#This Row],[std_lin]]</f>
        <v>0</v>
      </c>
      <c r="Y1578" s="2">
        <f>Table4[[#This Row],[av_lin]]+2*Table4[[#This Row],[std_lin]]</f>
        <v>0</v>
      </c>
    </row>
    <row r="1579" spans="1:25" x14ac:dyDescent="0.35">
      <c r="A1579" s="1">
        <v>947</v>
      </c>
      <c r="B1579" t="s">
        <v>827</v>
      </c>
      <c r="C1579" t="s">
        <v>99</v>
      </c>
      <c r="D1579" t="s">
        <v>129</v>
      </c>
      <c r="E1579" s="2">
        <v>1</v>
      </c>
      <c r="F1579" s="2">
        <v>0</v>
      </c>
      <c r="G1579">
        <v>6</v>
      </c>
      <c r="H1579" t="s">
        <v>19</v>
      </c>
      <c r="M1579" s="2">
        <v>1</v>
      </c>
      <c r="N1579" s="2">
        <v>1</v>
      </c>
      <c r="O1579" s="2">
        <v>0</v>
      </c>
      <c r="P1579" s="2" t="s">
        <v>21</v>
      </c>
      <c r="R1579" t="str">
        <f t="shared" si="72"/>
        <v>no</v>
      </c>
      <c r="S1579" t="str">
        <f t="shared" si="73"/>
        <v>no</v>
      </c>
      <c r="T15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9" s="2" t="b">
        <f t="shared" si="74"/>
        <v>1</v>
      </c>
      <c r="V1579" s="2">
        <f>IF(Table4[[#This Row],[linear?]],Table4[[#This Row],[av]],10^(Table4[[#This Row],[av]]/10))</f>
        <v>1</v>
      </c>
      <c r="W1579" s="2">
        <f>IF(Table4[[#This Row],[linear?]],Table4[[#This Row],[av]],10^(Table4[[#This Row],[av]]/10))</f>
        <v>1</v>
      </c>
      <c r="X1579" s="2">
        <f>Table4[[#This Row],[av_lin]]-2*Table4[[#This Row],[std_lin]]</f>
        <v>-1</v>
      </c>
      <c r="Y1579" s="2">
        <f>Table4[[#This Row],[av_lin]]+2*Table4[[#This Row],[std_lin]]</f>
        <v>3</v>
      </c>
    </row>
    <row r="1580" spans="1:25" x14ac:dyDescent="0.35">
      <c r="A1580" s="1">
        <v>948</v>
      </c>
      <c r="B1580" t="s">
        <v>827</v>
      </c>
      <c r="C1580" t="s">
        <v>99</v>
      </c>
      <c r="D1580" t="s">
        <v>130</v>
      </c>
      <c r="E1580" s="2">
        <v>1</v>
      </c>
      <c r="F1580" s="2">
        <v>0</v>
      </c>
      <c r="G1580">
        <v>6</v>
      </c>
      <c r="H1580" t="s">
        <v>19</v>
      </c>
      <c r="M1580" s="2">
        <v>1</v>
      </c>
      <c r="N1580" s="2">
        <v>1</v>
      </c>
      <c r="O1580" s="2">
        <v>0</v>
      </c>
      <c r="P1580" s="2" t="s">
        <v>21</v>
      </c>
      <c r="R1580" t="str">
        <f t="shared" si="72"/>
        <v>no</v>
      </c>
      <c r="S1580" t="str">
        <f t="shared" si="73"/>
        <v>no</v>
      </c>
      <c r="T15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0" s="2" t="b">
        <f t="shared" si="74"/>
        <v>1</v>
      </c>
      <c r="V1580" s="2">
        <f>IF(Table4[[#This Row],[linear?]],Table4[[#This Row],[av]],10^(Table4[[#This Row],[av]]/10))</f>
        <v>1</v>
      </c>
      <c r="W1580" s="2">
        <f>IF(Table4[[#This Row],[linear?]],Table4[[#This Row],[av]],10^(Table4[[#This Row],[av]]/10))</f>
        <v>1</v>
      </c>
      <c r="X1580" s="2">
        <f>Table4[[#This Row],[av_lin]]-2*Table4[[#This Row],[std_lin]]</f>
        <v>-1</v>
      </c>
      <c r="Y1580" s="2">
        <f>Table4[[#This Row],[av_lin]]+2*Table4[[#This Row],[std_lin]]</f>
        <v>3</v>
      </c>
    </row>
    <row r="1581" spans="1:25" x14ac:dyDescent="0.35">
      <c r="A1581" s="1">
        <v>949</v>
      </c>
      <c r="B1581" t="s">
        <v>827</v>
      </c>
      <c r="C1581" t="s">
        <v>99</v>
      </c>
      <c r="D1581" t="s">
        <v>131</v>
      </c>
      <c r="E1581" s="2">
        <v>1</v>
      </c>
      <c r="F1581" s="2">
        <v>0</v>
      </c>
      <c r="G1581">
        <v>6</v>
      </c>
      <c r="H1581" t="s">
        <v>19</v>
      </c>
      <c r="M1581" s="2">
        <v>1</v>
      </c>
      <c r="N1581" s="2">
        <v>1</v>
      </c>
      <c r="O1581" s="2">
        <v>0</v>
      </c>
      <c r="P1581" s="2" t="s">
        <v>21</v>
      </c>
      <c r="R1581" t="str">
        <f t="shared" si="72"/>
        <v>no</v>
      </c>
      <c r="S1581" t="str">
        <f t="shared" si="73"/>
        <v>no</v>
      </c>
      <c r="T15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1" s="2" t="b">
        <f t="shared" si="74"/>
        <v>1</v>
      </c>
      <c r="V1581" s="2">
        <f>IF(Table4[[#This Row],[linear?]],Table4[[#This Row],[av]],10^(Table4[[#This Row],[av]]/10))</f>
        <v>1</v>
      </c>
      <c r="W1581" s="2">
        <f>IF(Table4[[#This Row],[linear?]],Table4[[#This Row],[av]],10^(Table4[[#This Row],[av]]/10))</f>
        <v>1</v>
      </c>
      <c r="X1581" s="2">
        <f>Table4[[#This Row],[av_lin]]-2*Table4[[#This Row],[std_lin]]</f>
        <v>-1</v>
      </c>
      <c r="Y1581" s="2">
        <f>Table4[[#This Row],[av_lin]]+2*Table4[[#This Row],[std_lin]]</f>
        <v>3</v>
      </c>
    </row>
    <row r="1582" spans="1:25" x14ac:dyDescent="0.35">
      <c r="A1582" s="1">
        <v>950</v>
      </c>
      <c r="B1582" t="s">
        <v>827</v>
      </c>
      <c r="C1582" t="s">
        <v>99</v>
      </c>
      <c r="D1582" t="s">
        <v>132</v>
      </c>
      <c r="E1582" s="2">
        <v>1</v>
      </c>
      <c r="F1582" s="2">
        <v>0</v>
      </c>
      <c r="G1582">
        <v>6</v>
      </c>
      <c r="H1582" t="s">
        <v>19</v>
      </c>
      <c r="M1582" s="2">
        <v>1</v>
      </c>
      <c r="N1582" s="2">
        <v>1</v>
      </c>
      <c r="O1582" s="2">
        <v>0</v>
      </c>
      <c r="P1582" s="2" t="s">
        <v>21</v>
      </c>
      <c r="R1582" t="str">
        <f t="shared" si="72"/>
        <v>no</v>
      </c>
      <c r="S1582" t="str">
        <f t="shared" si="73"/>
        <v>no</v>
      </c>
      <c r="T15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2" s="2" t="b">
        <f t="shared" si="74"/>
        <v>1</v>
      </c>
      <c r="V1582" s="2">
        <f>IF(Table4[[#This Row],[linear?]],Table4[[#This Row],[av]],10^(Table4[[#This Row],[av]]/10))</f>
        <v>1</v>
      </c>
      <c r="W1582" s="2">
        <f>IF(Table4[[#This Row],[linear?]],Table4[[#This Row],[av]],10^(Table4[[#This Row],[av]]/10))</f>
        <v>1</v>
      </c>
      <c r="X1582" s="2">
        <f>Table4[[#This Row],[av_lin]]-2*Table4[[#This Row],[std_lin]]</f>
        <v>-1</v>
      </c>
      <c r="Y1582" s="2">
        <f>Table4[[#This Row],[av_lin]]+2*Table4[[#This Row],[std_lin]]</f>
        <v>3</v>
      </c>
    </row>
    <row r="1583" spans="1:25" x14ac:dyDescent="0.35">
      <c r="A1583" s="1">
        <v>951</v>
      </c>
      <c r="B1583" t="s">
        <v>827</v>
      </c>
      <c r="C1583" t="s">
        <v>99</v>
      </c>
      <c r="D1583" t="s">
        <v>133</v>
      </c>
      <c r="E1583" s="2">
        <v>42.022222222222233</v>
      </c>
      <c r="F1583" s="2">
        <v>4.5407365786477918</v>
      </c>
      <c r="G1583">
        <v>6</v>
      </c>
      <c r="H1583" t="s">
        <v>19</v>
      </c>
      <c r="M1583" s="2">
        <v>51.103695379517823</v>
      </c>
      <c r="N1583" s="2">
        <v>32.940749064926649</v>
      </c>
      <c r="O1583" s="2">
        <v>18.162946314591171</v>
      </c>
      <c r="P1583" s="2">
        <v>9.2544946165399971</v>
      </c>
      <c r="R1583" t="str">
        <f t="shared" si="72"/>
        <v>no</v>
      </c>
      <c r="S1583" t="str">
        <f t="shared" si="73"/>
        <v>no</v>
      </c>
      <c r="T15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3" s="2" t="b">
        <f t="shared" si="74"/>
        <v>1</v>
      </c>
      <c r="V1583" s="2">
        <f>IF(Table4[[#This Row],[linear?]],Table4[[#This Row],[av]],10^(Table4[[#This Row],[av]]/10))</f>
        <v>42.022222222222233</v>
      </c>
      <c r="W1583" s="2">
        <f>IF(Table4[[#This Row],[linear?]],Table4[[#This Row],[av]],10^(Table4[[#This Row],[av]]/10))</f>
        <v>42.022222222222233</v>
      </c>
      <c r="X1583" s="2">
        <f>Table4[[#This Row],[av_lin]]-2*Table4[[#This Row],[std_lin]]</f>
        <v>-42.022222222222233</v>
      </c>
      <c r="Y1583" s="2">
        <f>Table4[[#This Row],[av_lin]]+2*Table4[[#This Row],[std_lin]]</f>
        <v>126.06666666666669</v>
      </c>
    </row>
    <row r="1584" spans="1:25" x14ac:dyDescent="0.35">
      <c r="A1584" s="1">
        <v>952</v>
      </c>
      <c r="B1584" t="s">
        <v>827</v>
      </c>
      <c r="C1584" t="s">
        <v>99</v>
      </c>
      <c r="D1584" t="s">
        <v>134</v>
      </c>
      <c r="E1584" s="2">
        <v>41.155555555555551</v>
      </c>
      <c r="F1584" s="2">
        <v>5.2794902513295678</v>
      </c>
      <c r="G1584">
        <v>6</v>
      </c>
      <c r="H1584" t="s">
        <v>19</v>
      </c>
      <c r="M1584" s="2">
        <v>51.714536058214691</v>
      </c>
      <c r="N1584" s="2">
        <v>30.596575052896419</v>
      </c>
      <c r="O1584" s="2">
        <v>21.117961005318271</v>
      </c>
      <c r="P1584" s="2">
        <v>7.7953653849803182</v>
      </c>
      <c r="R1584" t="str">
        <f t="shared" si="72"/>
        <v>no</v>
      </c>
      <c r="S1584" t="str">
        <f t="shared" si="73"/>
        <v>no</v>
      </c>
      <c r="T15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4" s="2" t="b">
        <f t="shared" si="74"/>
        <v>1</v>
      </c>
      <c r="V1584" s="2">
        <f>IF(Table4[[#This Row],[linear?]],Table4[[#This Row],[av]],10^(Table4[[#This Row],[av]]/10))</f>
        <v>41.155555555555551</v>
      </c>
      <c r="W1584" s="2">
        <f>IF(Table4[[#This Row],[linear?]],Table4[[#This Row],[av]],10^(Table4[[#This Row],[av]]/10))</f>
        <v>41.155555555555551</v>
      </c>
      <c r="X1584" s="2">
        <f>Table4[[#This Row],[av_lin]]-2*Table4[[#This Row],[std_lin]]</f>
        <v>-41.155555555555551</v>
      </c>
      <c r="Y1584" s="2">
        <f>Table4[[#This Row],[av_lin]]+2*Table4[[#This Row],[std_lin]]</f>
        <v>123.46666666666665</v>
      </c>
    </row>
    <row r="1585" spans="1:25" x14ac:dyDescent="0.35">
      <c r="A1585" s="1">
        <v>953</v>
      </c>
      <c r="B1585" t="s">
        <v>827</v>
      </c>
      <c r="C1585" t="s">
        <v>99</v>
      </c>
      <c r="D1585" t="s">
        <v>135</v>
      </c>
      <c r="G1585">
        <v>6</v>
      </c>
      <c r="H1585" t="s">
        <v>19</v>
      </c>
      <c r="R1585" t="str">
        <f t="shared" si="72"/>
        <v>no</v>
      </c>
      <c r="S1585" t="str">
        <f t="shared" si="73"/>
        <v>no</v>
      </c>
      <c r="T15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5" s="2" t="b">
        <f t="shared" si="74"/>
        <v>1</v>
      </c>
      <c r="V1585" s="2">
        <f>IF(Table4[[#This Row],[linear?]],Table4[[#This Row],[av]],10^(Table4[[#This Row],[av]]/10))</f>
        <v>0</v>
      </c>
      <c r="W1585" s="2">
        <f>IF(Table4[[#This Row],[linear?]],Table4[[#This Row],[av]],10^(Table4[[#This Row],[av]]/10))</f>
        <v>0</v>
      </c>
      <c r="X1585" s="2">
        <f>Table4[[#This Row],[av_lin]]-2*Table4[[#This Row],[std_lin]]</f>
        <v>0</v>
      </c>
      <c r="Y1585" s="2">
        <f>Table4[[#This Row],[av_lin]]+2*Table4[[#This Row],[std_lin]]</f>
        <v>0</v>
      </c>
    </row>
    <row r="1586" spans="1:25" x14ac:dyDescent="0.35">
      <c r="A1586" s="1">
        <v>954</v>
      </c>
      <c r="B1586" t="s">
        <v>827</v>
      </c>
      <c r="C1586" t="s">
        <v>99</v>
      </c>
      <c r="D1586" t="s">
        <v>136</v>
      </c>
      <c r="E1586" s="2">
        <v>1</v>
      </c>
      <c r="F1586" s="2">
        <v>0</v>
      </c>
      <c r="G1586">
        <v>6</v>
      </c>
      <c r="H1586" t="s">
        <v>19</v>
      </c>
      <c r="M1586" s="2">
        <v>1</v>
      </c>
      <c r="N1586" s="2">
        <v>1</v>
      </c>
      <c r="O1586" s="2">
        <v>0</v>
      </c>
      <c r="P1586" s="2" t="s">
        <v>21</v>
      </c>
      <c r="R1586" t="str">
        <f t="shared" si="72"/>
        <v>no</v>
      </c>
      <c r="S1586" t="str">
        <f t="shared" si="73"/>
        <v>no</v>
      </c>
      <c r="T15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6" s="2" t="b">
        <f t="shared" si="74"/>
        <v>1</v>
      </c>
      <c r="V1586" s="2">
        <f>IF(Table4[[#This Row],[linear?]],Table4[[#This Row],[av]],10^(Table4[[#This Row],[av]]/10))</f>
        <v>1</v>
      </c>
      <c r="W1586" s="2">
        <f>IF(Table4[[#This Row],[linear?]],Table4[[#This Row],[av]],10^(Table4[[#This Row],[av]]/10))</f>
        <v>1</v>
      </c>
      <c r="X1586" s="2">
        <f>Table4[[#This Row],[av_lin]]-2*Table4[[#This Row],[std_lin]]</f>
        <v>-1</v>
      </c>
      <c r="Y1586" s="2">
        <f>Table4[[#This Row],[av_lin]]+2*Table4[[#This Row],[std_lin]]</f>
        <v>3</v>
      </c>
    </row>
    <row r="1587" spans="1:25" x14ac:dyDescent="0.35">
      <c r="A1587" s="1">
        <v>955</v>
      </c>
      <c r="B1587" t="s">
        <v>827</v>
      </c>
      <c r="C1587" t="s">
        <v>99</v>
      </c>
      <c r="D1587" t="s">
        <v>137</v>
      </c>
      <c r="E1587" s="2">
        <v>1</v>
      </c>
      <c r="F1587" s="2">
        <v>0</v>
      </c>
      <c r="G1587">
        <v>6</v>
      </c>
      <c r="H1587" t="s">
        <v>19</v>
      </c>
      <c r="M1587" s="2">
        <v>1</v>
      </c>
      <c r="N1587" s="2">
        <v>1</v>
      </c>
      <c r="O1587" s="2">
        <v>0</v>
      </c>
      <c r="P1587" s="2" t="s">
        <v>21</v>
      </c>
      <c r="R1587" t="str">
        <f t="shared" si="72"/>
        <v>no</v>
      </c>
      <c r="S1587" t="str">
        <f t="shared" si="73"/>
        <v>no</v>
      </c>
      <c r="T15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7" s="2" t="b">
        <f t="shared" si="74"/>
        <v>1</v>
      </c>
      <c r="V1587" s="2">
        <f>IF(Table4[[#This Row],[linear?]],Table4[[#This Row],[av]],10^(Table4[[#This Row],[av]]/10))</f>
        <v>1</v>
      </c>
      <c r="W1587" s="2">
        <f>IF(Table4[[#This Row],[linear?]],Table4[[#This Row],[av]],10^(Table4[[#This Row],[av]]/10))</f>
        <v>1</v>
      </c>
      <c r="X1587" s="2">
        <f>Table4[[#This Row],[av_lin]]-2*Table4[[#This Row],[std_lin]]</f>
        <v>-1</v>
      </c>
      <c r="Y1587" s="2">
        <f>Table4[[#This Row],[av_lin]]+2*Table4[[#This Row],[std_lin]]</f>
        <v>3</v>
      </c>
    </row>
    <row r="1588" spans="1:25" x14ac:dyDescent="0.35">
      <c r="A1588" s="1">
        <v>956</v>
      </c>
      <c r="B1588" t="s">
        <v>827</v>
      </c>
      <c r="C1588" t="s">
        <v>99</v>
      </c>
      <c r="D1588" t="s">
        <v>138</v>
      </c>
      <c r="E1588" s="2">
        <v>1</v>
      </c>
      <c r="F1588" s="2">
        <v>0</v>
      </c>
      <c r="G1588">
        <v>6</v>
      </c>
      <c r="H1588" t="s">
        <v>19</v>
      </c>
      <c r="M1588" s="2">
        <v>1</v>
      </c>
      <c r="N1588" s="2">
        <v>1</v>
      </c>
      <c r="O1588" s="2">
        <v>0</v>
      </c>
      <c r="P1588" s="2" t="s">
        <v>21</v>
      </c>
      <c r="R1588" t="str">
        <f t="shared" si="72"/>
        <v>no</v>
      </c>
      <c r="S1588" t="str">
        <f t="shared" si="73"/>
        <v>no</v>
      </c>
      <c r="T15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8" s="2" t="b">
        <f t="shared" si="74"/>
        <v>1</v>
      </c>
      <c r="V1588" s="2">
        <f>IF(Table4[[#This Row],[linear?]],Table4[[#This Row],[av]],10^(Table4[[#This Row],[av]]/10))</f>
        <v>1</v>
      </c>
      <c r="W1588" s="2">
        <f>IF(Table4[[#This Row],[linear?]],Table4[[#This Row],[av]],10^(Table4[[#This Row],[av]]/10))</f>
        <v>1</v>
      </c>
      <c r="X1588" s="2">
        <f>Table4[[#This Row],[av_lin]]-2*Table4[[#This Row],[std_lin]]</f>
        <v>-1</v>
      </c>
      <c r="Y1588" s="2">
        <f>Table4[[#This Row],[av_lin]]+2*Table4[[#This Row],[std_lin]]</f>
        <v>3</v>
      </c>
    </row>
    <row r="1589" spans="1:25" x14ac:dyDescent="0.35">
      <c r="A1589" s="1">
        <v>957</v>
      </c>
      <c r="B1589" t="s">
        <v>827</v>
      </c>
      <c r="C1589" t="s">
        <v>99</v>
      </c>
      <c r="D1589" t="s">
        <v>139</v>
      </c>
      <c r="E1589" s="2">
        <v>1</v>
      </c>
      <c r="F1589" s="2">
        <v>0</v>
      </c>
      <c r="G1589">
        <v>6</v>
      </c>
      <c r="H1589" t="s">
        <v>19</v>
      </c>
      <c r="M1589" s="2">
        <v>1</v>
      </c>
      <c r="N1589" s="2">
        <v>1</v>
      </c>
      <c r="O1589" s="2">
        <v>0</v>
      </c>
      <c r="P1589" s="2" t="s">
        <v>21</v>
      </c>
      <c r="R1589" t="str">
        <f t="shared" si="72"/>
        <v>no</v>
      </c>
      <c r="S1589" t="str">
        <f t="shared" si="73"/>
        <v>no</v>
      </c>
      <c r="T15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9" s="2" t="b">
        <f t="shared" si="74"/>
        <v>1</v>
      </c>
      <c r="V1589" s="2">
        <f>IF(Table4[[#This Row],[linear?]],Table4[[#This Row],[av]],10^(Table4[[#This Row],[av]]/10))</f>
        <v>1</v>
      </c>
      <c r="W1589" s="2">
        <f>IF(Table4[[#This Row],[linear?]],Table4[[#This Row],[av]],10^(Table4[[#This Row],[av]]/10))</f>
        <v>1</v>
      </c>
      <c r="X1589" s="2">
        <f>Table4[[#This Row],[av_lin]]-2*Table4[[#This Row],[std_lin]]</f>
        <v>-1</v>
      </c>
      <c r="Y1589" s="2">
        <f>Table4[[#This Row],[av_lin]]+2*Table4[[#This Row],[std_lin]]</f>
        <v>3</v>
      </c>
    </row>
    <row r="1590" spans="1:25" x14ac:dyDescent="0.35">
      <c r="A1590" s="1">
        <v>958</v>
      </c>
      <c r="B1590" t="s">
        <v>827</v>
      </c>
      <c r="C1590" t="s">
        <v>99</v>
      </c>
      <c r="D1590" t="s">
        <v>140</v>
      </c>
      <c r="E1590" s="2">
        <v>39.522222222222233</v>
      </c>
      <c r="F1590" s="2">
        <v>3.2457392114862502</v>
      </c>
      <c r="G1590">
        <v>6</v>
      </c>
      <c r="H1590" t="s">
        <v>19</v>
      </c>
      <c r="M1590" s="2">
        <v>46.013700645194731</v>
      </c>
      <c r="N1590" s="2">
        <v>33.030743799249727</v>
      </c>
      <c r="O1590" s="2">
        <v>12.982956845945001</v>
      </c>
      <c r="P1590" s="2">
        <v>12.176647489840899</v>
      </c>
      <c r="R1590" t="str">
        <f t="shared" si="72"/>
        <v>no</v>
      </c>
      <c r="S1590" t="str">
        <f t="shared" si="73"/>
        <v>no</v>
      </c>
      <c r="T15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0" s="2" t="b">
        <f t="shared" si="74"/>
        <v>1</v>
      </c>
      <c r="V1590" s="2">
        <f>IF(Table4[[#This Row],[linear?]],Table4[[#This Row],[av]],10^(Table4[[#This Row],[av]]/10))</f>
        <v>39.522222222222233</v>
      </c>
      <c r="W1590" s="2">
        <f>IF(Table4[[#This Row],[linear?]],Table4[[#This Row],[av]],10^(Table4[[#This Row],[av]]/10))</f>
        <v>39.522222222222233</v>
      </c>
      <c r="X1590" s="2">
        <f>Table4[[#This Row],[av_lin]]-2*Table4[[#This Row],[std_lin]]</f>
        <v>-39.522222222222233</v>
      </c>
      <c r="Y1590" s="2">
        <f>Table4[[#This Row],[av_lin]]+2*Table4[[#This Row],[std_lin]]</f>
        <v>118.56666666666669</v>
      </c>
    </row>
    <row r="1591" spans="1:25" x14ac:dyDescent="0.35">
      <c r="A1591" s="1">
        <v>959</v>
      </c>
      <c r="B1591" t="s">
        <v>827</v>
      </c>
      <c r="C1591" t="s">
        <v>99</v>
      </c>
      <c r="D1591" t="s">
        <v>141</v>
      </c>
      <c r="E1591" s="2">
        <v>41.988888888888887</v>
      </c>
      <c r="F1591" s="2">
        <v>3.3472308022918842</v>
      </c>
      <c r="G1591">
        <v>6</v>
      </c>
      <c r="H1591" t="s">
        <v>19</v>
      </c>
      <c r="M1591" s="2">
        <v>48.683350493472659</v>
      </c>
      <c r="N1591" s="2">
        <v>35.294427284305122</v>
      </c>
      <c r="O1591" s="2">
        <v>13.38892320916754</v>
      </c>
      <c r="P1591" s="2">
        <v>12.544366184769411</v>
      </c>
      <c r="R1591" t="str">
        <f t="shared" si="72"/>
        <v>no</v>
      </c>
      <c r="S1591" t="str">
        <f t="shared" si="73"/>
        <v>no</v>
      </c>
      <c r="T15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1" s="2" t="b">
        <f t="shared" si="74"/>
        <v>1</v>
      </c>
      <c r="V1591" s="2">
        <f>IF(Table4[[#This Row],[linear?]],Table4[[#This Row],[av]],10^(Table4[[#This Row],[av]]/10))</f>
        <v>41.988888888888887</v>
      </c>
      <c r="W1591" s="2">
        <f>IF(Table4[[#This Row],[linear?]],Table4[[#This Row],[av]],10^(Table4[[#This Row],[av]]/10))</f>
        <v>41.988888888888887</v>
      </c>
      <c r="X1591" s="2">
        <f>Table4[[#This Row],[av_lin]]-2*Table4[[#This Row],[std_lin]]</f>
        <v>-41.988888888888887</v>
      </c>
      <c r="Y1591" s="2">
        <f>Table4[[#This Row],[av_lin]]+2*Table4[[#This Row],[std_lin]]</f>
        <v>125.96666666666667</v>
      </c>
    </row>
    <row r="1592" spans="1:25" x14ac:dyDescent="0.35">
      <c r="A1592" s="1">
        <v>960</v>
      </c>
      <c r="B1592" t="s">
        <v>827</v>
      </c>
      <c r="C1592" t="s">
        <v>251</v>
      </c>
      <c r="D1592" t="s">
        <v>252</v>
      </c>
      <c r="G1592">
        <v>6</v>
      </c>
      <c r="H1592" t="s">
        <v>19</v>
      </c>
      <c r="R1592" t="str">
        <f t="shared" si="72"/>
        <v>no</v>
      </c>
      <c r="S1592" t="str">
        <f t="shared" si="73"/>
        <v>no</v>
      </c>
      <c r="T15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2" s="2" t="b">
        <f t="shared" si="74"/>
        <v>1</v>
      </c>
      <c r="V1592" s="2">
        <f>IF(Table4[[#This Row],[linear?]],Table4[[#This Row],[av]],10^(Table4[[#This Row],[av]]/10))</f>
        <v>0</v>
      </c>
      <c r="W1592" s="2">
        <f>IF(Table4[[#This Row],[linear?]],Table4[[#This Row],[av]],10^(Table4[[#This Row],[av]]/10))</f>
        <v>0</v>
      </c>
      <c r="X1592" s="2">
        <f>Table4[[#This Row],[av_lin]]-2*Table4[[#This Row],[std_lin]]</f>
        <v>0</v>
      </c>
      <c r="Y1592" s="2">
        <f>Table4[[#This Row],[av_lin]]+2*Table4[[#This Row],[std_lin]]</f>
        <v>0</v>
      </c>
    </row>
    <row r="1593" spans="1:25" x14ac:dyDescent="0.35">
      <c r="A1593" s="1">
        <v>961</v>
      </c>
      <c r="B1593" t="s">
        <v>827</v>
      </c>
      <c r="C1593" t="s">
        <v>17</v>
      </c>
      <c r="D1593" t="s">
        <v>18</v>
      </c>
      <c r="E1593" s="2">
        <v>7547.75</v>
      </c>
      <c r="F1593" s="2">
        <v>119.2454437381045</v>
      </c>
      <c r="G1593">
        <v>6</v>
      </c>
      <c r="H1593" t="s">
        <v>19</v>
      </c>
      <c r="M1593" s="2">
        <v>7786.2408874762086</v>
      </c>
      <c r="N1593" s="2">
        <v>7309.2591125237914</v>
      </c>
      <c r="O1593" s="2">
        <v>476.98177495241731</v>
      </c>
      <c r="P1593" s="2">
        <v>63.295919436359483</v>
      </c>
      <c r="R1593" t="str">
        <f t="shared" si="72"/>
        <v>no</v>
      </c>
      <c r="S1593" t="str">
        <f t="shared" si="73"/>
        <v>no</v>
      </c>
      <c r="T15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3" s="2" t="b">
        <f t="shared" si="74"/>
        <v>1</v>
      </c>
      <c r="V1593" s="2">
        <f>IF(Table4[[#This Row],[linear?]],Table4[[#This Row],[av]],10^(Table4[[#This Row],[av]]/10))</f>
        <v>7547.75</v>
      </c>
      <c r="W1593" s="2">
        <f>IF(Table4[[#This Row],[linear?]],Table4[[#This Row],[av]],10^(Table4[[#This Row],[av]]/10))</f>
        <v>7547.75</v>
      </c>
      <c r="X1593" s="2">
        <f>Table4[[#This Row],[av_lin]]-2*Table4[[#This Row],[std_lin]]</f>
        <v>-7547.75</v>
      </c>
      <c r="Y1593" s="2">
        <f>Table4[[#This Row],[av_lin]]+2*Table4[[#This Row],[std_lin]]</f>
        <v>22643.25</v>
      </c>
    </row>
    <row r="1594" spans="1:25" x14ac:dyDescent="0.35">
      <c r="A1594" s="1">
        <v>962</v>
      </c>
      <c r="B1594" t="s">
        <v>827</v>
      </c>
      <c r="C1594" t="s">
        <v>17</v>
      </c>
      <c r="D1594" t="s">
        <v>20</v>
      </c>
      <c r="E1594" s="2">
        <v>1</v>
      </c>
      <c r="F1594" s="2">
        <v>0</v>
      </c>
      <c r="G1594">
        <v>6</v>
      </c>
      <c r="H1594" t="s">
        <v>19</v>
      </c>
      <c r="M1594" s="2">
        <v>1</v>
      </c>
      <c r="N1594" s="2">
        <v>1</v>
      </c>
      <c r="O1594" s="2">
        <v>0</v>
      </c>
      <c r="P1594" s="2" t="s">
        <v>21</v>
      </c>
      <c r="R1594" t="str">
        <f t="shared" si="72"/>
        <v>no</v>
      </c>
      <c r="S1594" t="str">
        <f t="shared" si="73"/>
        <v>no</v>
      </c>
      <c r="T15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4" s="2" t="b">
        <f t="shared" si="74"/>
        <v>1</v>
      </c>
      <c r="V1594" s="2">
        <f>IF(Table4[[#This Row],[linear?]],Table4[[#This Row],[av]],10^(Table4[[#This Row],[av]]/10))</f>
        <v>1</v>
      </c>
      <c r="W1594" s="2">
        <f>IF(Table4[[#This Row],[linear?]],Table4[[#This Row],[av]],10^(Table4[[#This Row],[av]]/10))</f>
        <v>1</v>
      </c>
      <c r="X1594" s="2">
        <f>Table4[[#This Row],[av_lin]]-2*Table4[[#This Row],[std_lin]]</f>
        <v>-1</v>
      </c>
      <c r="Y1594" s="2">
        <f>Table4[[#This Row],[av_lin]]+2*Table4[[#This Row],[std_lin]]</f>
        <v>3</v>
      </c>
    </row>
    <row r="1595" spans="1:25" x14ac:dyDescent="0.35">
      <c r="A1595" s="1">
        <v>963</v>
      </c>
      <c r="B1595" t="s">
        <v>827</v>
      </c>
      <c r="C1595" t="s">
        <v>17</v>
      </c>
      <c r="D1595" t="s">
        <v>22</v>
      </c>
      <c r="E1595" s="2">
        <v>7519.9111111111106</v>
      </c>
      <c r="F1595" s="2">
        <v>154.15602835570311</v>
      </c>
      <c r="G1595">
        <v>6</v>
      </c>
      <c r="H1595" t="s">
        <v>19</v>
      </c>
      <c r="M1595" s="2">
        <v>7828.2231678225171</v>
      </c>
      <c r="N1595" s="2">
        <v>7211.5990543997041</v>
      </c>
      <c r="O1595" s="2">
        <v>616.62411342281302</v>
      </c>
      <c r="P1595" s="2">
        <v>48.78116795899475</v>
      </c>
      <c r="R1595" t="str">
        <f t="shared" si="72"/>
        <v>no</v>
      </c>
      <c r="S1595" t="str">
        <f t="shared" si="73"/>
        <v>no</v>
      </c>
      <c r="T15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5" s="2" t="b">
        <f t="shared" si="74"/>
        <v>1</v>
      </c>
      <c r="V1595" s="2">
        <f>IF(Table4[[#This Row],[linear?]],Table4[[#This Row],[av]],10^(Table4[[#This Row],[av]]/10))</f>
        <v>7519.9111111111106</v>
      </c>
      <c r="W1595" s="2">
        <f>IF(Table4[[#This Row],[linear?]],Table4[[#This Row],[av]],10^(Table4[[#This Row],[av]]/10))</f>
        <v>7519.9111111111106</v>
      </c>
      <c r="X1595" s="2">
        <f>Table4[[#This Row],[av_lin]]-2*Table4[[#This Row],[std_lin]]</f>
        <v>-7519.9111111111106</v>
      </c>
      <c r="Y1595" s="2">
        <f>Table4[[#This Row],[av_lin]]+2*Table4[[#This Row],[std_lin]]</f>
        <v>22559.73333333333</v>
      </c>
    </row>
    <row r="1596" spans="1:25" x14ac:dyDescent="0.35">
      <c r="A1596" s="1">
        <v>964</v>
      </c>
      <c r="B1596" t="s">
        <v>827</v>
      </c>
      <c r="C1596" t="s">
        <v>17</v>
      </c>
      <c r="D1596" t="s">
        <v>23</v>
      </c>
      <c r="E1596" s="2">
        <v>1</v>
      </c>
      <c r="F1596" s="2">
        <v>0</v>
      </c>
      <c r="G1596">
        <v>6</v>
      </c>
      <c r="H1596" t="s">
        <v>19</v>
      </c>
      <c r="M1596" s="2">
        <v>1</v>
      </c>
      <c r="N1596" s="2">
        <v>1</v>
      </c>
      <c r="O1596" s="2">
        <v>0</v>
      </c>
      <c r="P1596" s="2" t="s">
        <v>21</v>
      </c>
      <c r="R1596" t="str">
        <f t="shared" si="72"/>
        <v>no</v>
      </c>
      <c r="S1596" t="str">
        <f t="shared" si="73"/>
        <v>no</v>
      </c>
      <c r="T15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6" s="2" t="b">
        <f t="shared" si="74"/>
        <v>1</v>
      </c>
      <c r="V1596" s="2">
        <f>IF(Table4[[#This Row],[linear?]],Table4[[#This Row],[av]],10^(Table4[[#This Row],[av]]/10))</f>
        <v>1</v>
      </c>
      <c r="W1596" s="2">
        <f>IF(Table4[[#This Row],[linear?]],Table4[[#This Row],[av]],10^(Table4[[#This Row],[av]]/10))</f>
        <v>1</v>
      </c>
      <c r="X1596" s="2">
        <f>Table4[[#This Row],[av_lin]]-2*Table4[[#This Row],[std_lin]]</f>
        <v>-1</v>
      </c>
      <c r="Y1596" s="2">
        <f>Table4[[#This Row],[av_lin]]+2*Table4[[#This Row],[std_lin]]</f>
        <v>3</v>
      </c>
    </row>
    <row r="1597" spans="1:25" x14ac:dyDescent="0.35">
      <c r="A1597" s="1">
        <v>965</v>
      </c>
      <c r="B1597" t="s">
        <v>827</v>
      </c>
      <c r="C1597" t="s">
        <v>17</v>
      </c>
      <c r="D1597" t="s">
        <v>24</v>
      </c>
      <c r="E1597" s="2">
        <v>7643.9111111111106</v>
      </c>
      <c r="F1597" s="2">
        <v>112.6853605993763</v>
      </c>
      <c r="G1597">
        <v>6</v>
      </c>
      <c r="H1597" t="s">
        <v>19</v>
      </c>
      <c r="M1597" s="2">
        <v>7869.2818323098636</v>
      </c>
      <c r="N1597" s="2">
        <v>7418.5403899123576</v>
      </c>
      <c r="O1597" s="2">
        <v>450.74144239750598</v>
      </c>
      <c r="P1597" s="2">
        <v>67.834109687833035</v>
      </c>
      <c r="R1597" t="str">
        <f t="shared" si="72"/>
        <v>no</v>
      </c>
      <c r="S1597" t="str">
        <f t="shared" si="73"/>
        <v>no</v>
      </c>
      <c r="T15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7" s="2" t="b">
        <f t="shared" si="74"/>
        <v>1</v>
      </c>
      <c r="V1597" s="2">
        <f>IF(Table4[[#This Row],[linear?]],Table4[[#This Row],[av]],10^(Table4[[#This Row],[av]]/10))</f>
        <v>7643.9111111111106</v>
      </c>
      <c r="W1597" s="2">
        <f>IF(Table4[[#This Row],[linear?]],Table4[[#This Row],[av]],10^(Table4[[#This Row],[av]]/10))</f>
        <v>7643.9111111111106</v>
      </c>
      <c r="X1597" s="2">
        <f>Table4[[#This Row],[av_lin]]-2*Table4[[#This Row],[std_lin]]</f>
        <v>-7643.9111111111106</v>
      </c>
      <c r="Y1597" s="2">
        <f>Table4[[#This Row],[av_lin]]+2*Table4[[#This Row],[std_lin]]</f>
        <v>22931.73333333333</v>
      </c>
    </row>
    <row r="1598" spans="1:25" x14ac:dyDescent="0.35">
      <c r="A1598" s="1">
        <v>966</v>
      </c>
      <c r="B1598" t="s">
        <v>827</v>
      </c>
      <c r="C1598" t="s">
        <v>17</v>
      </c>
      <c r="D1598" t="s">
        <v>25</v>
      </c>
      <c r="E1598" s="2">
        <v>1</v>
      </c>
      <c r="F1598" s="2">
        <v>0</v>
      </c>
      <c r="G1598">
        <v>6</v>
      </c>
      <c r="H1598" t="s">
        <v>19</v>
      </c>
      <c r="M1598" s="2">
        <v>1</v>
      </c>
      <c r="N1598" s="2">
        <v>1</v>
      </c>
      <c r="O1598" s="2">
        <v>0</v>
      </c>
      <c r="P1598" s="2" t="s">
        <v>21</v>
      </c>
      <c r="R1598" t="str">
        <f t="shared" si="72"/>
        <v>no</v>
      </c>
      <c r="S1598" t="str">
        <f t="shared" si="73"/>
        <v>no</v>
      </c>
      <c r="T15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8" s="2" t="b">
        <f t="shared" si="74"/>
        <v>1</v>
      </c>
      <c r="V1598" s="2">
        <f>IF(Table4[[#This Row],[linear?]],Table4[[#This Row],[av]],10^(Table4[[#This Row],[av]]/10))</f>
        <v>1</v>
      </c>
      <c r="W1598" s="2">
        <f>IF(Table4[[#This Row],[linear?]],Table4[[#This Row],[av]],10^(Table4[[#This Row],[av]]/10))</f>
        <v>1</v>
      </c>
      <c r="X1598" s="2">
        <f>Table4[[#This Row],[av_lin]]-2*Table4[[#This Row],[std_lin]]</f>
        <v>-1</v>
      </c>
      <c r="Y1598" s="2">
        <f>Table4[[#This Row],[av_lin]]+2*Table4[[#This Row],[std_lin]]</f>
        <v>3</v>
      </c>
    </row>
    <row r="1599" spans="1:25" x14ac:dyDescent="0.35">
      <c r="A1599" s="1">
        <v>967</v>
      </c>
      <c r="B1599" t="s">
        <v>827</v>
      </c>
      <c r="C1599" t="s">
        <v>17</v>
      </c>
      <c r="D1599" t="s">
        <v>26</v>
      </c>
      <c r="E1599" s="2">
        <v>7574.3722222222223</v>
      </c>
      <c r="F1599" s="2">
        <v>113.60997267277661</v>
      </c>
      <c r="G1599">
        <v>6</v>
      </c>
      <c r="H1599" t="s">
        <v>19</v>
      </c>
      <c r="M1599" s="2">
        <v>7801.5921675677764</v>
      </c>
      <c r="N1599" s="2">
        <v>7347.152276876669</v>
      </c>
      <c r="O1599" s="2">
        <v>454.43989069110648</v>
      </c>
      <c r="P1599" s="2">
        <v>66.669959018810715</v>
      </c>
      <c r="R1599" t="str">
        <f t="shared" si="72"/>
        <v>no</v>
      </c>
      <c r="S1599" t="str">
        <f t="shared" si="73"/>
        <v>no</v>
      </c>
      <c r="T15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9" s="2" t="b">
        <f t="shared" si="74"/>
        <v>1</v>
      </c>
      <c r="V1599" s="2">
        <f>IF(Table4[[#This Row],[linear?]],Table4[[#This Row],[av]],10^(Table4[[#This Row],[av]]/10))</f>
        <v>7574.3722222222223</v>
      </c>
      <c r="W1599" s="2">
        <f>IF(Table4[[#This Row],[linear?]],Table4[[#This Row],[av]],10^(Table4[[#This Row],[av]]/10))</f>
        <v>7574.3722222222223</v>
      </c>
      <c r="X1599" s="2">
        <f>Table4[[#This Row],[av_lin]]-2*Table4[[#This Row],[std_lin]]</f>
        <v>-7574.3722222222223</v>
      </c>
      <c r="Y1599" s="2">
        <f>Table4[[#This Row],[av_lin]]+2*Table4[[#This Row],[std_lin]]</f>
        <v>22723.116666666669</v>
      </c>
    </row>
    <row r="1600" spans="1:25" x14ac:dyDescent="0.35">
      <c r="A1600" s="1">
        <v>968</v>
      </c>
      <c r="B1600" t="s">
        <v>827</v>
      </c>
      <c r="C1600" t="s">
        <v>17</v>
      </c>
      <c r="D1600" t="s">
        <v>27</v>
      </c>
      <c r="E1600" s="2">
        <v>1</v>
      </c>
      <c r="F1600" s="2">
        <v>0</v>
      </c>
      <c r="G1600">
        <v>6</v>
      </c>
      <c r="H1600" t="s">
        <v>19</v>
      </c>
      <c r="M1600" s="2">
        <v>1</v>
      </c>
      <c r="N1600" s="2">
        <v>1</v>
      </c>
      <c r="O1600" s="2">
        <v>0</v>
      </c>
      <c r="P1600" s="2" t="s">
        <v>21</v>
      </c>
      <c r="R1600" t="str">
        <f t="shared" si="72"/>
        <v>no</v>
      </c>
      <c r="S1600" t="str">
        <f t="shared" si="73"/>
        <v>no</v>
      </c>
      <c r="T16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0" s="2" t="b">
        <f t="shared" si="74"/>
        <v>1</v>
      </c>
      <c r="V1600" s="2">
        <f>IF(Table4[[#This Row],[linear?]],Table4[[#This Row],[av]],10^(Table4[[#This Row],[av]]/10))</f>
        <v>1</v>
      </c>
      <c r="W1600" s="2">
        <f>IF(Table4[[#This Row],[linear?]],Table4[[#This Row],[av]],10^(Table4[[#This Row],[av]]/10))</f>
        <v>1</v>
      </c>
      <c r="X1600" s="2">
        <f>Table4[[#This Row],[av_lin]]-2*Table4[[#This Row],[std_lin]]</f>
        <v>-1</v>
      </c>
      <c r="Y1600" s="2">
        <f>Table4[[#This Row],[av_lin]]+2*Table4[[#This Row],[std_lin]]</f>
        <v>3</v>
      </c>
    </row>
    <row r="1601" spans="1:25" x14ac:dyDescent="0.35">
      <c r="A1601" s="1">
        <v>969</v>
      </c>
      <c r="B1601" t="s">
        <v>827</v>
      </c>
      <c r="C1601" t="s">
        <v>17</v>
      </c>
      <c r="D1601" t="s">
        <v>28</v>
      </c>
      <c r="E1601" s="2">
        <v>7635.1222222222223</v>
      </c>
      <c r="F1601" s="2">
        <v>141.03354694907631</v>
      </c>
      <c r="G1601">
        <v>6</v>
      </c>
      <c r="H1601" t="s">
        <v>19</v>
      </c>
      <c r="M1601" s="2">
        <v>7917.1893161203752</v>
      </c>
      <c r="N1601" s="2">
        <v>7353.0551283240693</v>
      </c>
      <c r="O1601" s="2">
        <v>564.13418779630592</v>
      </c>
      <c r="P1601" s="2">
        <v>54.136922649893179</v>
      </c>
      <c r="R1601" t="str">
        <f t="shared" si="72"/>
        <v>no</v>
      </c>
      <c r="S1601" t="str">
        <f t="shared" si="73"/>
        <v>no</v>
      </c>
      <c r="T16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1" s="2" t="b">
        <f t="shared" si="74"/>
        <v>1</v>
      </c>
      <c r="V1601" s="2">
        <f>IF(Table4[[#This Row],[linear?]],Table4[[#This Row],[av]],10^(Table4[[#This Row],[av]]/10))</f>
        <v>7635.1222222222223</v>
      </c>
      <c r="W1601" s="2">
        <f>IF(Table4[[#This Row],[linear?]],Table4[[#This Row],[av]],10^(Table4[[#This Row],[av]]/10))</f>
        <v>7635.1222222222223</v>
      </c>
      <c r="X1601" s="2">
        <f>Table4[[#This Row],[av_lin]]-2*Table4[[#This Row],[std_lin]]</f>
        <v>-7635.1222222222223</v>
      </c>
      <c r="Y1601" s="2">
        <f>Table4[[#This Row],[av_lin]]+2*Table4[[#This Row],[std_lin]]</f>
        <v>22905.366666666669</v>
      </c>
    </row>
    <row r="1602" spans="1:25" x14ac:dyDescent="0.35">
      <c r="A1602" s="1">
        <v>970</v>
      </c>
      <c r="B1602" t="s">
        <v>827</v>
      </c>
      <c r="C1602" t="s">
        <v>17</v>
      </c>
      <c r="D1602" t="s">
        <v>29</v>
      </c>
      <c r="E1602" s="2">
        <v>1</v>
      </c>
      <c r="F1602" s="2">
        <v>0</v>
      </c>
      <c r="G1602">
        <v>6</v>
      </c>
      <c r="H1602" t="s">
        <v>19</v>
      </c>
      <c r="M1602" s="2">
        <v>1</v>
      </c>
      <c r="N1602" s="2">
        <v>1</v>
      </c>
      <c r="O1602" s="2">
        <v>0</v>
      </c>
      <c r="P1602" s="2" t="s">
        <v>21</v>
      </c>
      <c r="R1602" t="str">
        <f t="shared" ref="R1602:R1665" si="75">IF(H1602="yes","yes","no")</f>
        <v>no</v>
      </c>
      <c r="S1602" t="str">
        <f t="shared" ref="S1602:S1665" si="76">IF(I1602,"yes","no")</f>
        <v>no</v>
      </c>
      <c r="T16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2" s="2" t="b">
        <f t="shared" ref="U1602:U1665" si="77">NOT(ISNUMBER(SEARCH("RFIC*POWER", D1602)))</f>
        <v>1</v>
      </c>
      <c r="V1602" s="2">
        <f>IF(Table4[[#This Row],[linear?]],Table4[[#This Row],[av]],10^(Table4[[#This Row],[av]]/10))</f>
        <v>1</v>
      </c>
      <c r="W1602" s="2">
        <f>IF(Table4[[#This Row],[linear?]],Table4[[#This Row],[av]],10^(Table4[[#This Row],[av]]/10))</f>
        <v>1</v>
      </c>
      <c r="X1602" s="2">
        <f>Table4[[#This Row],[av_lin]]-2*Table4[[#This Row],[std_lin]]</f>
        <v>-1</v>
      </c>
      <c r="Y1602" s="2">
        <f>Table4[[#This Row],[av_lin]]+2*Table4[[#This Row],[std_lin]]</f>
        <v>3</v>
      </c>
    </row>
    <row r="1603" spans="1:25" x14ac:dyDescent="0.35">
      <c r="A1603" s="1">
        <v>971</v>
      </c>
      <c r="B1603" t="s">
        <v>827</v>
      </c>
      <c r="C1603" t="s">
        <v>17</v>
      </c>
      <c r="D1603" t="s">
        <v>30</v>
      </c>
      <c r="E1603" s="2">
        <v>7644.2222222222217</v>
      </c>
      <c r="F1603" s="2">
        <v>70.713775565232709</v>
      </c>
      <c r="G1603">
        <v>6</v>
      </c>
      <c r="H1603" t="s">
        <v>19</v>
      </c>
      <c r="M1603" s="2">
        <v>7785.6497733526867</v>
      </c>
      <c r="N1603" s="2">
        <v>7502.7946710917568</v>
      </c>
      <c r="O1603" s="2">
        <v>282.85510226092993</v>
      </c>
      <c r="P1603" s="2">
        <v>108.10089209803979</v>
      </c>
      <c r="R1603" t="str">
        <f t="shared" si="75"/>
        <v>no</v>
      </c>
      <c r="S1603" t="str">
        <f t="shared" si="76"/>
        <v>no</v>
      </c>
      <c r="T16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3" s="2" t="b">
        <f t="shared" si="77"/>
        <v>1</v>
      </c>
      <c r="V1603" s="2">
        <f>IF(Table4[[#This Row],[linear?]],Table4[[#This Row],[av]],10^(Table4[[#This Row],[av]]/10))</f>
        <v>7644.2222222222217</v>
      </c>
      <c r="W1603" s="2">
        <f>IF(Table4[[#This Row],[linear?]],Table4[[#This Row],[av]],10^(Table4[[#This Row],[av]]/10))</f>
        <v>7644.2222222222217</v>
      </c>
      <c r="X1603" s="2">
        <f>Table4[[#This Row],[av_lin]]-2*Table4[[#This Row],[std_lin]]</f>
        <v>-7644.2222222222217</v>
      </c>
      <c r="Y1603" s="2">
        <f>Table4[[#This Row],[av_lin]]+2*Table4[[#This Row],[std_lin]]</f>
        <v>22932.666666666664</v>
      </c>
    </row>
    <row r="1604" spans="1:25" x14ac:dyDescent="0.35">
      <c r="A1604" s="1">
        <v>972</v>
      </c>
      <c r="B1604" t="s">
        <v>827</v>
      </c>
      <c r="C1604" t="s">
        <v>17</v>
      </c>
      <c r="D1604" t="s">
        <v>31</v>
      </c>
      <c r="E1604" s="2">
        <v>1</v>
      </c>
      <c r="F1604" s="2">
        <v>0</v>
      </c>
      <c r="G1604">
        <v>6</v>
      </c>
      <c r="H1604" t="s">
        <v>19</v>
      </c>
      <c r="M1604" s="2">
        <v>1</v>
      </c>
      <c r="N1604" s="2">
        <v>1</v>
      </c>
      <c r="O1604" s="2">
        <v>0</v>
      </c>
      <c r="P1604" s="2" t="s">
        <v>21</v>
      </c>
      <c r="R1604" t="str">
        <f t="shared" si="75"/>
        <v>no</v>
      </c>
      <c r="S1604" t="str">
        <f t="shared" si="76"/>
        <v>no</v>
      </c>
      <c r="T16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4" s="2" t="b">
        <f t="shared" si="77"/>
        <v>1</v>
      </c>
      <c r="V1604" s="2">
        <f>IF(Table4[[#This Row],[linear?]],Table4[[#This Row],[av]],10^(Table4[[#This Row],[av]]/10))</f>
        <v>1</v>
      </c>
      <c r="W1604" s="2">
        <f>IF(Table4[[#This Row],[linear?]],Table4[[#This Row],[av]],10^(Table4[[#This Row],[av]]/10))</f>
        <v>1</v>
      </c>
      <c r="X1604" s="2">
        <f>Table4[[#This Row],[av_lin]]-2*Table4[[#This Row],[std_lin]]</f>
        <v>-1</v>
      </c>
      <c r="Y1604" s="2">
        <f>Table4[[#This Row],[av_lin]]+2*Table4[[#This Row],[std_lin]]</f>
        <v>3</v>
      </c>
    </row>
    <row r="1605" spans="1:25" x14ac:dyDescent="0.35">
      <c r="A1605" s="1">
        <v>973</v>
      </c>
      <c r="B1605" t="s">
        <v>827</v>
      </c>
      <c r="C1605" t="s">
        <v>17</v>
      </c>
      <c r="D1605" t="s">
        <v>32</v>
      </c>
      <c r="E1605" s="2">
        <v>7647.6444444444451</v>
      </c>
      <c r="F1605" s="2">
        <v>127.2617994337137</v>
      </c>
      <c r="G1605">
        <v>6</v>
      </c>
      <c r="H1605" t="s">
        <v>19</v>
      </c>
      <c r="M1605" s="2">
        <v>7902.1680433118727</v>
      </c>
      <c r="N1605" s="2">
        <v>7393.1208455770166</v>
      </c>
      <c r="O1605" s="2">
        <v>509.04719773485522</v>
      </c>
      <c r="P1605" s="2">
        <v>60.093794669529572</v>
      </c>
      <c r="R1605" t="str">
        <f t="shared" si="75"/>
        <v>no</v>
      </c>
      <c r="S1605" t="str">
        <f t="shared" si="76"/>
        <v>no</v>
      </c>
      <c r="T16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5" s="2" t="b">
        <f t="shared" si="77"/>
        <v>1</v>
      </c>
      <c r="V1605" s="2">
        <f>IF(Table4[[#This Row],[linear?]],Table4[[#This Row],[av]],10^(Table4[[#This Row],[av]]/10))</f>
        <v>7647.6444444444451</v>
      </c>
      <c r="W1605" s="2">
        <f>IF(Table4[[#This Row],[linear?]],Table4[[#This Row],[av]],10^(Table4[[#This Row],[av]]/10))</f>
        <v>7647.6444444444451</v>
      </c>
      <c r="X1605" s="2">
        <f>Table4[[#This Row],[av_lin]]-2*Table4[[#This Row],[std_lin]]</f>
        <v>-7647.6444444444451</v>
      </c>
      <c r="Y1605" s="2">
        <f>Table4[[#This Row],[av_lin]]+2*Table4[[#This Row],[std_lin]]</f>
        <v>22942.933333333334</v>
      </c>
    </row>
    <row r="1606" spans="1:25" x14ac:dyDescent="0.35">
      <c r="A1606" s="1">
        <v>974</v>
      </c>
      <c r="B1606" t="s">
        <v>827</v>
      </c>
      <c r="C1606" t="s">
        <v>17</v>
      </c>
      <c r="D1606" t="s">
        <v>33</v>
      </c>
      <c r="E1606" s="2">
        <v>1</v>
      </c>
      <c r="F1606" s="2">
        <v>0</v>
      </c>
      <c r="G1606">
        <v>6</v>
      </c>
      <c r="H1606" t="s">
        <v>19</v>
      </c>
      <c r="M1606" s="2">
        <v>1</v>
      </c>
      <c r="N1606" s="2">
        <v>1</v>
      </c>
      <c r="O1606" s="2">
        <v>0</v>
      </c>
      <c r="P1606" s="2" t="s">
        <v>21</v>
      </c>
      <c r="R1606" t="str">
        <f t="shared" si="75"/>
        <v>no</v>
      </c>
      <c r="S1606" t="str">
        <f t="shared" si="76"/>
        <v>no</v>
      </c>
      <c r="T16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6" s="2" t="b">
        <f t="shared" si="77"/>
        <v>1</v>
      </c>
      <c r="V1606" s="2">
        <f>IF(Table4[[#This Row],[linear?]],Table4[[#This Row],[av]],10^(Table4[[#This Row],[av]]/10))</f>
        <v>1</v>
      </c>
      <c r="W1606" s="2">
        <f>IF(Table4[[#This Row],[linear?]],Table4[[#This Row],[av]],10^(Table4[[#This Row],[av]]/10))</f>
        <v>1</v>
      </c>
      <c r="X1606" s="2">
        <f>Table4[[#This Row],[av_lin]]-2*Table4[[#This Row],[std_lin]]</f>
        <v>-1</v>
      </c>
      <c r="Y1606" s="2">
        <f>Table4[[#This Row],[av_lin]]+2*Table4[[#This Row],[std_lin]]</f>
        <v>3</v>
      </c>
    </row>
    <row r="1607" spans="1:25" x14ac:dyDescent="0.35">
      <c r="A1607" s="1">
        <v>975</v>
      </c>
      <c r="B1607" t="s">
        <v>827</v>
      </c>
      <c r="C1607" t="s">
        <v>17</v>
      </c>
      <c r="D1607" t="s">
        <v>34</v>
      </c>
      <c r="E1607" s="2">
        <v>7622.9722222222217</v>
      </c>
      <c r="F1607" s="2">
        <v>82.545654836388493</v>
      </c>
      <c r="G1607">
        <v>6</v>
      </c>
      <c r="H1607" t="s">
        <v>19</v>
      </c>
      <c r="M1607" s="2">
        <v>7788.063531894999</v>
      </c>
      <c r="N1607" s="2">
        <v>7457.8809125494436</v>
      </c>
      <c r="O1607" s="2">
        <v>330.18261934555449</v>
      </c>
      <c r="P1607" s="2">
        <v>92.348558350303335</v>
      </c>
      <c r="R1607" t="str">
        <f t="shared" si="75"/>
        <v>no</v>
      </c>
      <c r="S1607" t="str">
        <f t="shared" si="76"/>
        <v>no</v>
      </c>
      <c r="T16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7" s="2" t="b">
        <f t="shared" si="77"/>
        <v>1</v>
      </c>
      <c r="V1607" s="2">
        <f>IF(Table4[[#This Row],[linear?]],Table4[[#This Row],[av]],10^(Table4[[#This Row],[av]]/10))</f>
        <v>7622.9722222222217</v>
      </c>
      <c r="W1607" s="2">
        <f>IF(Table4[[#This Row],[linear?]],Table4[[#This Row],[av]],10^(Table4[[#This Row],[av]]/10))</f>
        <v>7622.9722222222217</v>
      </c>
      <c r="X1607" s="2">
        <f>Table4[[#This Row],[av_lin]]-2*Table4[[#This Row],[std_lin]]</f>
        <v>-7622.9722222222217</v>
      </c>
      <c r="Y1607" s="2">
        <f>Table4[[#This Row],[av_lin]]+2*Table4[[#This Row],[std_lin]]</f>
        <v>22868.916666666664</v>
      </c>
    </row>
    <row r="1608" spans="1:25" x14ac:dyDescent="0.35">
      <c r="A1608" s="1">
        <v>976</v>
      </c>
      <c r="B1608" t="s">
        <v>827</v>
      </c>
      <c r="C1608" t="s">
        <v>17</v>
      </c>
      <c r="D1608" t="s">
        <v>35</v>
      </c>
      <c r="E1608" s="2">
        <v>1</v>
      </c>
      <c r="F1608" s="2">
        <v>0</v>
      </c>
      <c r="G1608">
        <v>6</v>
      </c>
      <c r="H1608" t="s">
        <v>19</v>
      </c>
      <c r="M1608" s="2">
        <v>1</v>
      </c>
      <c r="N1608" s="2">
        <v>1</v>
      </c>
      <c r="O1608" s="2">
        <v>0</v>
      </c>
      <c r="P1608" s="2" t="s">
        <v>21</v>
      </c>
      <c r="R1608" t="str">
        <f t="shared" si="75"/>
        <v>no</v>
      </c>
      <c r="S1608" t="str">
        <f t="shared" si="76"/>
        <v>no</v>
      </c>
      <c r="T16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8" s="2" t="b">
        <f t="shared" si="77"/>
        <v>1</v>
      </c>
      <c r="V1608" s="2">
        <f>IF(Table4[[#This Row],[linear?]],Table4[[#This Row],[av]],10^(Table4[[#This Row],[av]]/10))</f>
        <v>1</v>
      </c>
      <c r="W1608" s="2">
        <f>IF(Table4[[#This Row],[linear?]],Table4[[#This Row],[av]],10^(Table4[[#This Row],[av]]/10))</f>
        <v>1</v>
      </c>
      <c r="X1608" s="2">
        <f>Table4[[#This Row],[av_lin]]-2*Table4[[#This Row],[std_lin]]</f>
        <v>-1</v>
      </c>
      <c r="Y1608" s="2">
        <f>Table4[[#This Row],[av_lin]]+2*Table4[[#This Row],[std_lin]]</f>
        <v>3</v>
      </c>
    </row>
    <row r="1609" spans="1:25" x14ac:dyDescent="0.35">
      <c r="A1609" s="1">
        <v>977</v>
      </c>
      <c r="B1609" t="s">
        <v>827</v>
      </c>
      <c r="C1609" t="s">
        <v>17</v>
      </c>
      <c r="D1609" t="s">
        <v>36</v>
      </c>
      <c r="E1609" s="2">
        <v>2.9344120689655169</v>
      </c>
      <c r="F1609" s="2">
        <v>2.34794635745974E-2</v>
      </c>
      <c r="G1609">
        <v>6</v>
      </c>
      <c r="H1609" t="s">
        <v>19</v>
      </c>
      <c r="M1609" s="2">
        <v>2.9813709961147121</v>
      </c>
      <c r="N1609" s="2">
        <v>2.8874531418163221</v>
      </c>
      <c r="O1609" s="2">
        <v>9.3917854298389614E-2</v>
      </c>
      <c r="P1609" s="2">
        <v>124.9778155979798</v>
      </c>
      <c r="R1609" t="str">
        <f t="shared" si="75"/>
        <v>no</v>
      </c>
      <c r="S1609" t="str">
        <f t="shared" si="76"/>
        <v>no</v>
      </c>
      <c r="T16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9" s="2" t="b">
        <f t="shared" si="77"/>
        <v>1</v>
      </c>
      <c r="V1609" s="2">
        <f>IF(Table4[[#This Row],[linear?]],Table4[[#This Row],[av]],10^(Table4[[#This Row],[av]]/10))</f>
        <v>2.9344120689655169</v>
      </c>
      <c r="W1609" s="2">
        <f>IF(Table4[[#This Row],[linear?]],Table4[[#This Row],[av]],10^(Table4[[#This Row],[av]]/10))</f>
        <v>2.9344120689655169</v>
      </c>
      <c r="X1609" s="2">
        <f>Table4[[#This Row],[av_lin]]-2*Table4[[#This Row],[std_lin]]</f>
        <v>-2.9344120689655169</v>
      </c>
      <c r="Y1609" s="2">
        <f>Table4[[#This Row],[av_lin]]+2*Table4[[#This Row],[std_lin]]</f>
        <v>8.8032362068965497</v>
      </c>
    </row>
    <row r="1610" spans="1:25" x14ac:dyDescent="0.35">
      <c r="A1610" s="1">
        <v>978</v>
      </c>
      <c r="B1610" t="s">
        <v>827</v>
      </c>
      <c r="C1610" t="s">
        <v>17</v>
      </c>
      <c r="D1610" t="s">
        <v>37</v>
      </c>
      <c r="E1610" s="2">
        <v>24.11512298850575</v>
      </c>
      <c r="F1610" s="2">
        <v>0.30189167430744002</v>
      </c>
      <c r="G1610">
        <v>6</v>
      </c>
      <c r="H1610" t="s">
        <v>19</v>
      </c>
      <c r="M1610" s="2">
        <v>24.718906337120629</v>
      </c>
      <c r="N1610" s="2">
        <v>23.511339639890871</v>
      </c>
      <c r="O1610" s="2">
        <v>1.2075666972297581</v>
      </c>
      <c r="P1610" s="2">
        <v>79.880053147631443</v>
      </c>
      <c r="R1610" t="str">
        <f t="shared" si="75"/>
        <v>no</v>
      </c>
      <c r="S1610" t="str">
        <f t="shared" si="76"/>
        <v>no</v>
      </c>
      <c r="T16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0" s="2" t="b">
        <f t="shared" si="77"/>
        <v>1</v>
      </c>
      <c r="V1610" s="2">
        <f>IF(Table4[[#This Row],[linear?]],Table4[[#This Row],[av]],10^(Table4[[#This Row],[av]]/10))</f>
        <v>24.11512298850575</v>
      </c>
      <c r="W1610" s="2">
        <f>IF(Table4[[#This Row],[linear?]],Table4[[#This Row],[av]],10^(Table4[[#This Row],[av]]/10))</f>
        <v>24.11512298850575</v>
      </c>
      <c r="X1610" s="2">
        <f>Table4[[#This Row],[av_lin]]-2*Table4[[#This Row],[std_lin]]</f>
        <v>-24.11512298850575</v>
      </c>
      <c r="Y1610" s="2">
        <f>Table4[[#This Row],[av_lin]]+2*Table4[[#This Row],[std_lin]]</f>
        <v>72.345368965517252</v>
      </c>
    </row>
    <row r="1611" spans="1:25" x14ac:dyDescent="0.35">
      <c r="A1611" s="1">
        <v>979</v>
      </c>
      <c r="B1611" t="s">
        <v>827</v>
      </c>
      <c r="C1611" t="s">
        <v>17</v>
      </c>
      <c r="D1611" t="s">
        <v>38</v>
      </c>
      <c r="E1611" s="2">
        <v>9.9187356321839087E-2</v>
      </c>
      <c r="F1611" s="2">
        <v>1.372620936856875E-2</v>
      </c>
      <c r="G1611">
        <v>6</v>
      </c>
      <c r="H1611" t="s">
        <v>19</v>
      </c>
      <c r="M1611" s="2">
        <v>0.12663977505897661</v>
      </c>
      <c r="N1611" s="2">
        <v>7.1734937584701591E-2</v>
      </c>
      <c r="O1611" s="2">
        <v>5.4904837474274992E-2</v>
      </c>
      <c r="P1611" s="2">
        <v>7.2261287627569883</v>
      </c>
      <c r="R1611" t="str">
        <f t="shared" si="75"/>
        <v>no</v>
      </c>
      <c r="S1611" t="str">
        <f t="shared" si="76"/>
        <v>no</v>
      </c>
      <c r="T16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1" s="2" t="b">
        <f t="shared" si="77"/>
        <v>1</v>
      </c>
      <c r="V1611" s="2">
        <f>IF(Table4[[#This Row],[linear?]],Table4[[#This Row],[av]],10^(Table4[[#This Row],[av]]/10))</f>
        <v>9.9187356321839087E-2</v>
      </c>
      <c r="W1611" s="2">
        <f>IF(Table4[[#This Row],[linear?]],Table4[[#This Row],[av]],10^(Table4[[#This Row],[av]]/10))</f>
        <v>9.9187356321839087E-2</v>
      </c>
      <c r="X1611" s="2">
        <f>Table4[[#This Row],[av_lin]]-2*Table4[[#This Row],[std_lin]]</f>
        <v>-9.9187356321839087E-2</v>
      </c>
      <c r="Y1611" s="2">
        <f>Table4[[#This Row],[av_lin]]+2*Table4[[#This Row],[std_lin]]</f>
        <v>0.29756206896551729</v>
      </c>
    </row>
    <row r="1612" spans="1:25" x14ac:dyDescent="0.35">
      <c r="A1612" s="1">
        <v>980</v>
      </c>
      <c r="B1612" t="s">
        <v>827</v>
      </c>
      <c r="C1612" t="s">
        <v>17</v>
      </c>
      <c r="D1612" t="s">
        <v>39</v>
      </c>
      <c r="E1612" s="2">
        <v>24.12233275862069</v>
      </c>
      <c r="F1612" s="2">
        <v>0.32227546030018128</v>
      </c>
      <c r="G1612">
        <v>6</v>
      </c>
      <c r="H1612" t="s">
        <v>19</v>
      </c>
      <c r="M1612" s="2">
        <v>24.766883679221049</v>
      </c>
      <c r="N1612" s="2">
        <v>23.477781838020331</v>
      </c>
      <c r="O1612" s="2">
        <v>1.289101841200726</v>
      </c>
      <c r="P1612" s="2">
        <v>74.850045163699733</v>
      </c>
      <c r="R1612" t="str">
        <f t="shared" si="75"/>
        <v>no</v>
      </c>
      <c r="S1612" t="str">
        <f t="shared" si="76"/>
        <v>no</v>
      </c>
      <c r="T16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2" s="2" t="b">
        <f t="shared" si="77"/>
        <v>1</v>
      </c>
      <c r="V1612" s="2">
        <f>IF(Table4[[#This Row],[linear?]],Table4[[#This Row],[av]],10^(Table4[[#This Row],[av]]/10))</f>
        <v>24.12233275862069</v>
      </c>
      <c r="W1612" s="2">
        <f>IF(Table4[[#This Row],[linear?]],Table4[[#This Row],[av]],10^(Table4[[#This Row],[av]]/10))</f>
        <v>24.12233275862069</v>
      </c>
      <c r="X1612" s="2">
        <f>Table4[[#This Row],[av_lin]]-2*Table4[[#This Row],[std_lin]]</f>
        <v>-24.12233275862069</v>
      </c>
      <c r="Y1612" s="2">
        <f>Table4[[#This Row],[av_lin]]+2*Table4[[#This Row],[std_lin]]</f>
        <v>72.366998275862073</v>
      </c>
    </row>
    <row r="1613" spans="1:25" x14ac:dyDescent="0.35">
      <c r="A1613" s="1">
        <v>981</v>
      </c>
      <c r="B1613" t="s">
        <v>827</v>
      </c>
      <c r="C1613" t="s">
        <v>17</v>
      </c>
      <c r="D1613" t="s">
        <v>40</v>
      </c>
      <c r="E1613" s="2">
        <v>0.1018385057471264</v>
      </c>
      <c r="F1613" s="2">
        <v>7.9052096800100377E-3</v>
      </c>
      <c r="G1613">
        <v>6</v>
      </c>
      <c r="H1613" t="s">
        <v>19</v>
      </c>
      <c r="M1613" s="2">
        <v>0.1176489251071465</v>
      </c>
      <c r="N1613" s="2">
        <v>8.6028086387106323E-2</v>
      </c>
      <c r="O1613" s="2">
        <v>3.1620838720040151E-2</v>
      </c>
      <c r="P1613" s="2">
        <v>12.882454719024871</v>
      </c>
      <c r="R1613" t="str">
        <f t="shared" si="75"/>
        <v>no</v>
      </c>
      <c r="S1613" t="str">
        <f t="shared" si="76"/>
        <v>no</v>
      </c>
      <c r="T16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3" s="2" t="b">
        <f t="shared" si="77"/>
        <v>1</v>
      </c>
      <c r="V1613" s="2">
        <f>IF(Table4[[#This Row],[linear?]],Table4[[#This Row],[av]],10^(Table4[[#This Row],[av]]/10))</f>
        <v>0.1018385057471264</v>
      </c>
      <c r="W1613" s="2">
        <f>IF(Table4[[#This Row],[linear?]],Table4[[#This Row],[av]],10^(Table4[[#This Row],[av]]/10))</f>
        <v>0.1018385057471264</v>
      </c>
      <c r="X1613" s="2">
        <f>Table4[[#This Row],[av_lin]]-2*Table4[[#This Row],[std_lin]]</f>
        <v>-0.1018385057471264</v>
      </c>
      <c r="Y1613" s="2">
        <f>Table4[[#This Row],[av_lin]]+2*Table4[[#This Row],[std_lin]]</f>
        <v>0.30551551724137921</v>
      </c>
    </row>
    <row r="1614" spans="1:25" x14ac:dyDescent="0.35">
      <c r="A1614" s="1">
        <v>982</v>
      </c>
      <c r="B1614" t="s">
        <v>827</v>
      </c>
      <c r="C1614" t="s">
        <v>17</v>
      </c>
      <c r="D1614" t="s">
        <v>41</v>
      </c>
      <c r="E1614" s="2">
        <v>24.10561264367816</v>
      </c>
      <c r="F1614" s="2">
        <v>0.25184697353960078</v>
      </c>
      <c r="G1614">
        <v>6</v>
      </c>
      <c r="H1614" t="s">
        <v>19</v>
      </c>
      <c r="M1614" s="2">
        <v>24.60930659075736</v>
      </c>
      <c r="N1614" s="2">
        <v>23.601918696598961</v>
      </c>
      <c r="O1614" s="2">
        <v>1.007387894158406</v>
      </c>
      <c r="P1614" s="2">
        <v>95.715315951127593</v>
      </c>
      <c r="R1614" t="str">
        <f t="shared" si="75"/>
        <v>no</v>
      </c>
      <c r="S1614" t="str">
        <f t="shared" si="76"/>
        <v>no</v>
      </c>
      <c r="T16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4" s="2" t="b">
        <f t="shared" si="77"/>
        <v>1</v>
      </c>
      <c r="V1614" s="2">
        <f>IF(Table4[[#This Row],[linear?]],Table4[[#This Row],[av]],10^(Table4[[#This Row],[av]]/10))</f>
        <v>24.10561264367816</v>
      </c>
      <c r="W1614" s="2">
        <f>IF(Table4[[#This Row],[linear?]],Table4[[#This Row],[av]],10^(Table4[[#This Row],[av]]/10))</f>
        <v>24.10561264367816</v>
      </c>
      <c r="X1614" s="2">
        <f>Table4[[#This Row],[av_lin]]-2*Table4[[#This Row],[std_lin]]</f>
        <v>-24.10561264367816</v>
      </c>
      <c r="Y1614" s="2">
        <f>Table4[[#This Row],[av_lin]]+2*Table4[[#This Row],[std_lin]]</f>
        <v>72.316837931034485</v>
      </c>
    </row>
    <row r="1615" spans="1:25" x14ac:dyDescent="0.35">
      <c r="A1615" s="1">
        <v>983</v>
      </c>
      <c r="B1615" t="s">
        <v>827</v>
      </c>
      <c r="C1615" t="s">
        <v>17</v>
      </c>
      <c r="D1615" t="s">
        <v>42</v>
      </c>
      <c r="E1615" s="2">
        <v>2.1466666666666669E-2</v>
      </c>
      <c r="F1615" s="2">
        <v>6.4492631006157434E-3</v>
      </c>
      <c r="G1615">
        <v>6</v>
      </c>
      <c r="H1615" t="s">
        <v>19</v>
      </c>
      <c r="M1615" s="2">
        <v>3.4365192867898159E-2</v>
      </c>
      <c r="N1615" s="2">
        <v>8.5681404654351818E-3</v>
      </c>
      <c r="O1615" s="2">
        <v>2.579705240246298E-2</v>
      </c>
      <c r="P1615" s="2">
        <v>3.328545654249575</v>
      </c>
      <c r="R1615" t="str">
        <f t="shared" si="75"/>
        <v>no</v>
      </c>
      <c r="S1615" t="str">
        <f t="shared" si="76"/>
        <v>no</v>
      </c>
      <c r="T16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5" s="2" t="b">
        <f t="shared" si="77"/>
        <v>1</v>
      </c>
      <c r="V1615" s="2">
        <f>IF(Table4[[#This Row],[linear?]],Table4[[#This Row],[av]],10^(Table4[[#This Row],[av]]/10))</f>
        <v>2.1466666666666669E-2</v>
      </c>
      <c r="W1615" s="2">
        <f>IF(Table4[[#This Row],[linear?]],Table4[[#This Row],[av]],10^(Table4[[#This Row],[av]]/10))</f>
        <v>2.1466666666666669E-2</v>
      </c>
      <c r="X1615" s="2">
        <f>Table4[[#This Row],[av_lin]]-2*Table4[[#This Row],[std_lin]]</f>
        <v>-2.1466666666666669E-2</v>
      </c>
      <c r="Y1615" s="2">
        <f>Table4[[#This Row],[av_lin]]+2*Table4[[#This Row],[std_lin]]</f>
        <v>6.4400000000000013E-2</v>
      </c>
    </row>
    <row r="1616" spans="1:25" x14ac:dyDescent="0.35">
      <c r="A1616" s="1">
        <v>984</v>
      </c>
      <c r="B1616" t="s">
        <v>827</v>
      </c>
      <c r="C1616" t="s">
        <v>17</v>
      </c>
      <c r="D1616" t="s">
        <v>43</v>
      </c>
      <c r="E1616" s="2">
        <v>24.151762068965521</v>
      </c>
      <c r="F1616" s="2">
        <v>0.25383908079102091</v>
      </c>
      <c r="G1616">
        <v>6</v>
      </c>
      <c r="H1616" t="s">
        <v>19</v>
      </c>
      <c r="M1616" s="2">
        <v>24.65944023054756</v>
      </c>
      <c r="N1616" s="2">
        <v>23.644083907383479</v>
      </c>
      <c r="O1616" s="2">
        <v>1.015356323164085</v>
      </c>
      <c r="P1616" s="2">
        <v>95.145956224325587</v>
      </c>
      <c r="R1616" t="str">
        <f t="shared" si="75"/>
        <v>no</v>
      </c>
      <c r="S1616" t="str">
        <f t="shared" si="76"/>
        <v>no</v>
      </c>
      <c r="T16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6" s="2" t="b">
        <f t="shared" si="77"/>
        <v>1</v>
      </c>
      <c r="V1616" s="2">
        <f>IF(Table4[[#This Row],[linear?]],Table4[[#This Row],[av]],10^(Table4[[#This Row],[av]]/10))</f>
        <v>24.151762068965521</v>
      </c>
      <c r="W1616" s="2">
        <f>IF(Table4[[#This Row],[linear?]],Table4[[#This Row],[av]],10^(Table4[[#This Row],[av]]/10))</f>
        <v>24.151762068965521</v>
      </c>
      <c r="X1616" s="2">
        <f>Table4[[#This Row],[av_lin]]-2*Table4[[#This Row],[std_lin]]</f>
        <v>-24.151762068965521</v>
      </c>
      <c r="Y1616" s="2">
        <f>Table4[[#This Row],[av_lin]]+2*Table4[[#This Row],[std_lin]]</f>
        <v>72.45528620689656</v>
      </c>
    </row>
    <row r="1617" spans="1:25" x14ac:dyDescent="0.35">
      <c r="A1617" s="1">
        <v>985</v>
      </c>
      <c r="B1617" t="s">
        <v>827</v>
      </c>
      <c r="C1617" t="s">
        <v>17</v>
      </c>
      <c r="D1617" t="s">
        <v>44</v>
      </c>
      <c r="E1617" s="2">
        <v>0.68983735632183918</v>
      </c>
      <c r="F1617" s="2">
        <v>1.6963565386939189E-2</v>
      </c>
      <c r="G1617">
        <v>6</v>
      </c>
      <c r="H1617" t="s">
        <v>19</v>
      </c>
      <c r="M1617" s="2">
        <v>0.72376448709571761</v>
      </c>
      <c r="N1617" s="2">
        <v>0.65591022554796075</v>
      </c>
      <c r="O1617" s="2">
        <v>6.7854261547756867E-2</v>
      </c>
      <c r="P1617" s="2">
        <v>40.665823521567447</v>
      </c>
      <c r="R1617" t="str">
        <f t="shared" si="75"/>
        <v>no</v>
      </c>
      <c r="S1617" t="str">
        <f t="shared" si="76"/>
        <v>no</v>
      </c>
      <c r="T16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7" s="2" t="b">
        <f t="shared" si="77"/>
        <v>1</v>
      </c>
      <c r="V1617" s="2">
        <f>IF(Table4[[#This Row],[linear?]],Table4[[#This Row],[av]],10^(Table4[[#This Row],[av]]/10))</f>
        <v>0.68983735632183918</v>
      </c>
      <c r="W1617" s="2">
        <f>IF(Table4[[#This Row],[linear?]],Table4[[#This Row],[av]],10^(Table4[[#This Row],[av]]/10))</f>
        <v>0.68983735632183918</v>
      </c>
      <c r="X1617" s="2">
        <f>Table4[[#This Row],[av_lin]]-2*Table4[[#This Row],[std_lin]]</f>
        <v>-0.68983735632183918</v>
      </c>
      <c r="Y1617" s="2">
        <f>Table4[[#This Row],[av_lin]]+2*Table4[[#This Row],[std_lin]]</f>
        <v>2.0695120689655173</v>
      </c>
    </row>
    <row r="1618" spans="1:25" x14ac:dyDescent="0.35">
      <c r="A1618" s="1">
        <v>986</v>
      </c>
      <c r="B1618" t="s">
        <v>827</v>
      </c>
      <c r="C1618" t="s">
        <v>17</v>
      </c>
      <c r="D1618" t="s">
        <v>45</v>
      </c>
      <c r="E1618" s="2">
        <v>35.910156321839082</v>
      </c>
      <c r="F1618" s="2">
        <v>0.16500898632010491</v>
      </c>
      <c r="G1618">
        <v>6</v>
      </c>
      <c r="H1618" t="s">
        <v>19</v>
      </c>
      <c r="M1618" s="2">
        <v>36.240174294479289</v>
      </c>
      <c r="N1618" s="2">
        <v>35.580138349198883</v>
      </c>
      <c r="O1618" s="2">
        <v>0.66003594528041276</v>
      </c>
      <c r="P1618" s="2">
        <v>217.6254586048793</v>
      </c>
      <c r="R1618" t="str">
        <f t="shared" si="75"/>
        <v>no</v>
      </c>
      <c r="S1618" t="str">
        <f t="shared" si="76"/>
        <v>no</v>
      </c>
      <c r="T16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8" s="2" t="b">
        <f t="shared" si="77"/>
        <v>1</v>
      </c>
      <c r="V1618" s="2">
        <f>IF(Table4[[#This Row],[linear?]],Table4[[#This Row],[av]],10^(Table4[[#This Row],[av]]/10))</f>
        <v>35.910156321839082</v>
      </c>
      <c r="W1618" s="2">
        <f>IF(Table4[[#This Row],[linear?]],Table4[[#This Row],[av]],10^(Table4[[#This Row],[av]]/10))</f>
        <v>35.910156321839082</v>
      </c>
      <c r="X1618" s="2">
        <f>Table4[[#This Row],[av_lin]]-2*Table4[[#This Row],[std_lin]]</f>
        <v>-35.910156321839082</v>
      </c>
      <c r="Y1618" s="2">
        <f>Table4[[#This Row],[av_lin]]+2*Table4[[#This Row],[std_lin]]</f>
        <v>107.73046896551725</v>
      </c>
    </row>
    <row r="1619" spans="1:25" x14ac:dyDescent="0.35">
      <c r="A1619" s="1">
        <v>987</v>
      </c>
      <c r="B1619" t="s">
        <v>827</v>
      </c>
      <c r="C1619" t="s">
        <v>17</v>
      </c>
      <c r="D1619" t="s">
        <v>46</v>
      </c>
      <c r="E1619" s="2">
        <v>0.69262298850574711</v>
      </c>
      <c r="F1619" s="2">
        <v>1.6942540916301721E-2</v>
      </c>
      <c r="G1619">
        <v>6</v>
      </c>
      <c r="H1619" t="s">
        <v>19</v>
      </c>
      <c r="M1619" s="2">
        <v>0.72650807033835052</v>
      </c>
      <c r="N1619" s="2">
        <v>0.65873790667314369</v>
      </c>
      <c r="O1619" s="2">
        <v>6.7770163665206828E-2</v>
      </c>
      <c r="P1619" s="2">
        <v>40.880703309343723</v>
      </c>
      <c r="R1619" t="str">
        <f t="shared" si="75"/>
        <v>no</v>
      </c>
      <c r="S1619" t="str">
        <f t="shared" si="76"/>
        <v>no</v>
      </c>
      <c r="T16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9" s="2" t="b">
        <f t="shared" si="77"/>
        <v>1</v>
      </c>
      <c r="V1619" s="2">
        <f>IF(Table4[[#This Row],[linear?]],Table4[[#This Row],[av]],10^(Table4[[#This Row],[av]]/10))</f>
        <v>0.69262298850574711</v>
      </c>
      <c r="W1619" s="2">
        <f>IF(Table4[[#This Row],[linear?]],Table4[[#This Row],[av]],10^(Table4[[#This Row],[av]]/10))</f>
        <v>0.69262298850574711</v>
      </c>
      <c r="X1619" s="2">
        <f>Table4[[#This Row],[av_lin]]-2*Table4[[#This Row],[std_lin]]</f>
        <v>-0.69262298850574711</v>
      </c>
      <c r="Y1619" s="2">
        <f>Table4[[#This Row],[av_lin]]+2*Table4[[#This Row],[std_lin]]</f>
        <v>2.0778689655172413</v>
      </c>
    </row>
    <row r="1620" spans="1:25" x14ac:dyDescent="0.35">
      <c r="A1620" s="1">
        <v>988</v>
      </c>
      <c r="B1620" t="s">
        <v>827</v>
      </c>
      <c r="C1620" t="s">
        <v>17</v>
      </c>
      <c r="D1620" t="s">
        <v>47</v>
      </c>
      <c r="E1620" s="2">
        <v>35.902418965517249</v>
      </c>
      <c r="F1620" s="2">
        <v>0.15783535228074869</v>
      </c>
      <c r="G1620">
        <v>6</v>
      </c>
      <c r="H1620" t="s">
        <v>19</v>
      </c>
      <c r="M1620" s="2">
        <v>36.218089670078747</v>
      </c>
      <c r="N1620" s="2">
        <v>35.586748260955751</v>
      </c>
      <c r="O1620" s="2">
        <v>0.63134140912299586</v>
      </c>
      <c r="P1620" s="2">
        <v>227.46753782800221</v>
      </c>
      <c r="R1620" t="str">
        <f t="shared" si="75"/>
        <v>no</v>
      </c>
      <c r="S1620" t="str">
        <f t="shared" si="76"/>
        <v>no</v>
      </c>
      <c r="T16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0" s="2" t="b">
        <f t="shared" si="77"/>
        <v>1</v>
      </c>
      <c r="V1620" s="2">
        <f>IF(Table4[[#This Row],[linear?]],Table4[[#This Row],[av]],10^(Table4[[#This Row],[av]]/10))</f>
        <v>35.902418965517249</v>
      </c>
      <c r="W1620" s="2">
        <f>IF(Table4[[#This Row],[linear?]],Table4[[#This Row],[av]],10^(Table4[[#This Row],[av]]/10))</f>
        <v>35.902418965517249</v>
      </c>
      <c r="X1620" s="2">
        <f>Table4[[#This Row],[av_lin]]-2*Table4[[#This Row],[std_lin]]</f>
        <v>-35.902418965517249</v>
      </c>
      <c r="Y1620" s="2">
        <f>Table4[[#This Row],[av_lin]]+2*Table4[[#This Row],[std_lin]]</f>
        <v>107.70725689655174</v>
      </c>
    </row>
    <row r="1621" spans="1:25" x14ac:dyDescent="0.35">
      <c r="A1621" s="1">
        <v>989</v>
      </c>
      <c r="B1621" t="s">
        <v>827</v>
      </c>
      <c r="C1621" t="s">
        <v>17</v>
      </c>
      <c r="D1621" t="s">
        <v>48</v>
      </c>
      <c r="E1621" s="2">
        <v>0.68446896551724146</v>
      </c>
      <c r="F1621" s="2">
        <v>1.4861606194676819E-2</v>
      </c>
      <c r="G1621">
        <v>6</v>
      </c>
      <c r="H1621" t="s">
        <v>19</v>
      </c>
      <c r="M1621" s="2">
        <v>0.71419217790659506</v>
      </c>
      <c r="N1621" s="2">
        <v>0.65474575312788785</v>
      </c>
      <c r="O1621" s="2">
        <v>5.9446424778707208E-2</v>
      </c>
      <c r="P1621" s="2">
        <v>46.056190464958419</v>
      </c>
      <c r="R1621" t="str">
        <f t="shared" si="75"/>
        <v>no</v>
      </c>
      <c r="S1621" t="str">
        <f t="shared" si="76"/>
        <v>no</v>
      </c>
      <c r="T16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1" s="2" t="b">
        <f t="shared" si="77"/>
        <v>1</v>
      </c>
      <c r="V1621" s="2">
        <f>IF(Table4[[#This Row],[linear?]],Table4[[#This Row],[av]],10^(Table4[[#This Row],[av]]/10))</f>
        <v>0.68446896551724146</v>
      </c>
      <c r="W1621" s="2">
        <f>IF(Table4[[#This Row],[linear?]],Table4[[#This Row],[av]],10^(Table4[[#This Row],[av]]/10))</f>
        <v>0.68446896551724146</v>
      </c>
      <c r="X1621" s="2">
        <f>Table4[[#This Row],[av_lin]]-2*Table4[[#This Row],[std_lin]]</f>
        <v>-0.68446896551724146</v>
      </c>
      <c r="Y1621" s="2">
        <f>Table4[[#This Row],[av_lin]]+2*Table4[[#This Row],[std_lin]]</f>
        <v>2.0534068965517243</v>
      </c>
    </row>
    <row r="1622" spans="1:25" x14ac:dyDescent="0.35">
      <c r="A1622" s="1">
        <v>990</v>
      </c>
      <c r="B1622" t="s">
        <v>827</v>
      </c>
      <c r="C1622" t="s">
        <v>17</v>
      </c>
      <c r="D1622" t="s">
        <v>49</v>
      </c>
      <c r="E1622" s="2">
        <v>35.863305747126432</v>
      </c>
      <c r="F1622" s="2">
        <v>0.1310081522205595</v>
      </c>
      <c r="G1622">
        <v>6</v>
      </c>
      <c r="H1622" t="s">
        <v>19</v>
      </c>
      <c r="M1622" s="2">
        <v>36.125322051567551</v>
      </c>
      <c r="N1622" s="2">
        <v>35.601289442685307</v>
      </c>
      <c r="O1622" s="2">
        <v>0.52403260888223713</v>
      </c>
      <c r="P1622" s="2">
        <v>273.74865715798018</v>
      </c>
      <c r="R1622" t="str">
        <f t="shared" si="75"/>
        <v>no</v>
      </c>
      <c r="S1622" t="str">
        <f t="shared" si="76"/>
        <v>no</v>
      </c>
      <c r="T16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2" s="2" t="b">
        <f t="shared" si="77"/>
        <v>1</v>
      </c>
      <c r="V1622" s="2">
        <f>IF(Table4[[#This Row],[linear?]],Table4[[#This Row],[av]],10^(Table4[[#This Row],[av]]/10))</f>
        <v>35.863305747126432</v>
      </c>
      <c r="W1622" s="2">
        <f>IF(Table4[[#This Row],[linear?]],Table4[[#This Row],[av]],10^(Table4[[#This Row],[av]]/10))</f>
        <v>35.863305747126432</v>
      </c>
      <c r="X1622" s="2">
        <f>Table4[[#This Row],[av_lin]]-2*Table4[[#This Row],[std_lin]]</f>
        <v>-35.863305747126432</v>
      </c>
      <c r="Y1622" s="2">
        <f>Table4[[#This Row],[av_lin]]+2*Table4[[#This Row],[std_lin]]</f>
        <v>107.5899172413793</v>
      </c>
    </row>
    <row r="1623" spans="1:25" x14ac:dyDescent="0.35">
      <c r="A1623" s="1">
        <v>991</v>
      </c>
      <c r="B1623" t="s">
        <v>827</v>
      </c>
      <c r="C1623" t="s">
        <v>17</v>
      </c>
      <c r="D1623" t="s">
        <v>50</v>
      </c>
      <c r="E1623" s="2">
        <v>0.69335689655172417</v>
      </c>
      <c r="F1623" s="2">
        <v>1.184836092664408E-2</v>
      </c>
      <c r="G1623">
        <v>6</v>
      </c>
      <c r="H1623" t="s">
        <v>19</v>
      </c>
      <c r="M1623" s="2">
        <v>0.71705361840501236</v>
      </c>
      <c r="N1623" s="2">
        <v>0.66966017469843597</v>
      </c>
      <c r="O1623" s="2">
        <v>4.7393443706576388E-2</v>
      </c>
      <c r="P1623" s="2">
        <v>58.519224797797413</v>
      </c>
      <c r="R1623" t="str">
        <f t="shared" si="75"/>
        <v>no</v>
      </c>
      <c r="S1623" t="str">
        <f t="shared" si="76"/>
        <v>no</v>
      </c>
      <c r="T16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3" s="2" t="b">
        <f t="shared" si="77"/>
        <v>1</v>
      </c>
      <c r="V1623" s="2">
        <f>IF(Table4[[#This Row],[linear?]],Table4[[#This Row],[av]],10^(Table4[[#This Row],[av]]/10))</f>
        <v>0.69335689655172417</v>
      </c>
      <c r="W1623" s="2">
        <f>IF(Table4[[#This Row],[linear?]],Table4[[#This Row],[av]],10^(Table4[[#This Row],[av]]/10))</f>
        <v>0.69335689655172417</v>
      </c>
      <c r="X1623" s="2">
        <f>Table4[[#This Row],[av_lin]]-2*Table4[[#This Row],[std_lin]]</f>
        <v>-0.69335689655172417</v>
      </c>
      <c r="Y1623" s="2">
        <f>Table4[[#This Row],[av_lin]]+2*Table4[[#This Row],[std_lin]]</f>
        <v>2.0800706896551726</v>
      </c>
    </row>
    <row r="1624" spans="1:25" x14ac:dyDescent="0.35">
      <c r="A1624" s="1">
        <v>992</v>
      </c>
      <c r="B1624" t="s">
        <v>827</v>
      </c>
      <c r="C1624" t="s">
        <v>17</v>
      </c>
      <c r="D1624" t="s">
        <v>51</v>
      </c>
      <c r="E1624" s="2">
        <v>35.829575862068971</v>
      </c>
      <c r="F1624" s="2">
        <v>0.164908297290532</v>
      </c>
      <c r="G1624">
        <v>6</v>
      </c>
      <c r="H1624" t="s">
        <v>19</v>
      </c>
      <c r="M1624" s="2">
        <v>36.159392456650032</v>
      </c>
      <c r="N1624" s="2">
        <v>35.49975926748791</v>
      </c>
      <c r="O1624" s="2">
        <v>0.65963318916212188</v>
      </c>
      <c r="P1624" s="2">
        <v>217.26969746673919</v>
      </c>
      <c r="R1624" t="str">
        <f t="shared" si="75"/>
        <v>no</v>
      </c>
      <c r="S1624" t="str">
        <f t="shared" si="76"/>
        <v>no</v>
      </c>
      <c r="T16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4" s="2" t="b">
        <f t="shared" si="77"/>
        <v>1</v>
      </c>
      <c r="V1624" s="2">
        <f>IF(Table4[[#This Row],[linear?]],Table4[[#This Row],[av]],10^(Table4[[#This Row],[av]]/10))</f>
        <v>35.829575862068971</v>
      </c>
      <c r="W1624" s="2">
        <f>IF(Table4[[#This Row],[linear?]],Table4[[#This Row],[av]],10^(Table4[[#This Row],[av]]/10))</f>
        <v>35.829575862068971</v>
      </c>
      <c r="X1624" s="2">
        <f>Table4[[#This Row],[av_lin]]-2*Table4[[#This Row],[std_lin]]</f>
        <v>-35.829575862068971</v>
      </c>
      <c r="Y1624" s="2">
        <f>Table4[[#This Row],[av_lin]]+2*Table4[[#This Row],[std_lin]]</f>
        <v>107.48872758620692</v>
      </c>
    </row>
    <row r="1625" spans="1:25" x14ac:dyDescent="0.35">
      <c r="A1625" s="1">
        <v>993</v>
      </c>
      <c r="B1625" t="s">
        <v>827</v>
      </c>
      <c r="C1625" t="s">
        <v>17</v>
      </c>
      <c r="D1625" t="s">
        <v>52</v>
      </c>
      <c r="E1625" s="2">
        <v>0.69339425287356327</v>
      </c>
      <c r="F1625" s="2">
        <v>1.8001879998011689E-2</v>
      </c>
      <c r="G1625">
        <v>6</v>
      </c>
      <c r="H1625" t="s">
        <v>19</v>
      </c>
      <c r="M1625" s="2">
        <v>0.72939801286958661</v>
      </c>
      <c r="N1625" s="2">
        <v>0.65739049287753992</v>
      </c>
      <c r="O1625" s="2">
        <v>7.2007519992046687E-2</v>
      </c>
      <c r="P1625" s="2">
        <v>38.517879963101009</v>
      </c>
      <c r="R1625" t="str">
        <f t="shared" si="75"/>
        <v>no</v>
      </c>
      <c r="S1625" t="str">
        <f t="shared" si="76"/>
        <v>no</v>
      </c>
      <c r="T16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5" s="2" t="b">
        <f t="shared" si="77"/>
        <v>1</v>
      </c>
      <c r="V1625" s="2">
        <f>IF(Table4[[#This Row],[linear?]],Table4[[#This Row],[av]],10^(Table4[[#This Row],[av]]/10))</f>
        <v>0.69339425287356327</v>
      </c>
      <c r="W1625" s="2">
        <f>IF(Table4[[#This Row],[linear?]],Table4[[#This Row],[av]],10^(Table4[[#This Row],[av]]/10))</f>
        <v>0.69339425287356327</v>
      </c>
      <c r="X1625" s="2">
        <f>Table4[[#This Row],[av_lin]]-2*Table4[[#This Row],[std_lin]]</f>
        <v>-0.69339425287356327</v>
      </c>
      <c r="Y1625" s="2">
        <f>Table4[[#This Row],[av_lin]]+2*Table4[[#This Row],[std_lin]]</f>
        <v>2.0801827586206896</v>
      </c>
    </row>
    <row r="1626" spans="1:25" x14ac:dyDescent="0.35">
      <c r="A1626" s="1">
        <v>994</v>
      </c>
      <c r="B1626" t="s">
        <v>827</v>
      </c>
      <c r="C1626" t="s">
        <v>17</v>
      </c>
      <c r="D1626" t="s">
        <v>53</v>
      </c>
      <c r="E1626" s="2">
        <v>35.873175287356332</v>
      </c>
      <c r="F1626" s="2">
        <v>0.24711650552446829</v>
      </c>
      <c r="G1626">
        <v>6</v>
      </c>
      <c r="H1626" t="s">
        <v>19</v>
      </c>
      <c r="M1626" s="2">
        <v>36.367408298405273</v>
      </c>
      <c r="N1626" s="2">
        <v>35.378942276307399</v>
      </c>
      <c r="O1626" s="2">
        <v>0.98846602209786738</v>
      </c>
      <c r="P1626" s="2">
        <v>145.16705475104069</v>
      </c>
      <c r="R1626" t="str">
        <f t="shared" si="75"/>
        <v>no</v>
      </c>
      <c r="S1626" t="str">
        <f t="shared" si="76"/>
        <v>no</v>
      </c>
      <c r="T16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6" s="2" t="b">
        <f t="shared" si="77"/>
        <v>1</v>
      </c>
      <c r="V1626" s="2">
        <f>IF(Table4[[#This Row],[linear?]],Table4[[#This Row],[av]],10^(Table4[[#This Row],[av]]/10))</f>
        <v>35.873175287356332</v>
      </c>
      <c r="W1626" s="2">
        <f>IF(Table4[[#This Row],[linear?]],Table4[[#This Row],[av]],10^(Table4[[#This Row],[av]]/10))</f>
        <v>35.873175287356332</v>
      </c>
      <c r="X1626" s="2">
        <f>Table4[[#This Row],[av_lin]]-2*Table4[[#This Row],[std_lin]]</f>
        <v>-35.873175287356332</v>
      </c>
      <c r="Y1626" s="2">
        <f>Table4[[#This Row],[av_lin]]+2*Table4[[#This Row],[std_lin]]</f>
        <v>107.619525862069</v>
      </c>
    </row>
    <row r="1627" spans="1:25" x14ac:dyDescent="0.35">
      <c r="A1627" s="1">
        <v>995</v>
      </c>
      <c r="B1627" t="s">
        <v>827</v>
      </c>
      <c r="C1627" t="s">
        <v>17</v>
      </c>
      <c r="D1627" t="s">
        <v>54</v>
      </c>
      <c r="E1627" s="2">
        <v>0.70973850574712649</v>
      </c>
      <c r="F1627" s="2">
        <v>1.7949945506309972E-2</v>
      </c>
      <c r="G1627">
        <v>6</v>
      </c>
      <c r="H1627" t="s">
        <v>19</v>
      </c>
      <c r="M1627" s="2">
        <v>0.74563839675974641</v>
      </c>
      <c r="N1627" s="2">
        <v>0.67383861473450657</v>
      </c>
      <c r="O1627" s="2">
        <v>7.1799782025239844E-2</v>
      </c>
      <c r="P1627" s="2">
        <v>39.539869661310732</v>
      </c>
      <c r="R1627" t="str">
        <f t="shared" si="75"/>
        <v>no</v>
      </c>
      <c r="S1627" t="str">
        <f t="shared" si="76"/>
        <v>no</v>
      </c>
      <c r="T16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7" s="2" t="b">
        <f t="shared" si="77"/>
        <v>1</v>
      </c>
      <c r="V1627" s="2">
        <f>IF(Table4[[#This Row],[linear?]],Table4[[#This Row],[av]],10^(Table4[[#This Row],[av]]/10))</f>
        <v>0.70973850574712649</v>
      </c>
      <c r="W1627" s="2">
        <f>IF(Table4[[#This Row],[linear?]],Table4[[#This Row],[av]],10^(Table4[[#This Row],[av]]/10))</f>
        <v>0.70973850574712649</v>
      </c>
      <c r="X1627" s="2">
        <f>Table4[[#This Row],[av_lin]]-2*Table4[[#This Row],[std_lin]]</f>
        <v>-0.70973850574712649</v>
      </c>
      <c r="Y1627" s="2">
        <f>Table4[[#This Row],[av_lin]]+2*Table4[[#This Row],[std_lin]]</f>
        <v>2.1292155172413794</v>
      </c>
    </row>
    <row r="1628" spans="1:25" x14ac:dyDescent="0.35">
      <c r="A1628" s="1">
        <v>996</v>
      </c>
      <c r="B1628" t="s">
        <v>827</v>
      </c>
      <c r="C1628" t="s">
        <v>17</v>
      </c>
      <c r="D1628" t="s">
        <v>55</v>
      </c>
      <c r="E1628" s="2">
        <v>35.874520689655178</v>
      </c>
      <c r="F1628" s="2">
        <v>6.6555428929360116E-2</v>
      </c>
      <c r="G1628">
        <v>6</v>
      </c>
      <c r="H1628" t="s">
        <v>19</v>
      </c>
      <c r="M1628" s="2">
        <v>36.007631547513903</v>
      </c>
      <c r="N1628" s="2">
        <v>35.74140983179646</v>
      </c>
      <c r="O1628" s="2">
        <v>0.26622171571743541</v>
      </c>
      <c r="P1628" s="2">
        <v>539.01719614385308</v>
      </c>
      <c r="R1628" t="str">
        <f t="shared" si="75"/>
        <v>no</v>
      </c>
      <c r="S1628" t="str">
        <f t="shared" si="76"/>
        <v>no</v>
      </c>
      <c r="T16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8" s="2" t="b">
        <f t="shared" si="77"/>
        <v>1</v>
      </c>
      <c r="V1628" s="2">
        <f>IF(Table4[[#This Row],[linear?]],Table4[[#This Row],[av]],10^(Table4[[#This Row],[av]]/10))</f>
        <v>35.874520689655178</v>
      </c>
      <c r="W1628" s="2">
        <f>IF(Table4[[#This Row],[linear?]],Table4[[#This Row],[av]],10^(Table4[[#This Row],[av]]/10))</f>
        <v>35.874520689655178</v>
      </c>
      <c r="X1628" s="2">
        <f>Table4[[#This Row],[av_lin]]-2*Table4[[#This Row],[std_lin]]</f>
        <v>-35.874520689655178</v>
      </c>
      <c r="Y1628" s="2">
        <f>Table4[[#This Row],[av_lin]]+2*Table4[[#This Row],[std_lin]]</f>
        <v>107.62356206896553</v>
      </c>
    </row>
    <row r="1629" spans="1:25" x14ac:dyDescent="0.35">
      <c r="A1629" s="1">
        <v>1019</v>
      </c>
      <c r="B1629" t="s">
        <v>828</v>
      </c>
      <c r="C1629" t="s">
        <v>76</v>
      </c>
      <c r="D1629" t="s">
        <v>77</v>
      </c>
      <c r="G1629">
        <v>6</v>
      </c>
      <c r="H1629" t="s">
        <v>19</v>
      </c>
      <c r="R1629" t="str">
        <f t="shared" si="75"/>
        <v>no</v>
      </c>
      <c r="S1629" t="str">
        <f t="shared" si="76"/>
        <v>no</v>
      </c>
      <c r="T16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9" s="2" t="b">
        <f t="shared" si="77"/>
        <v>1</v>
      </c>
      <c r="V1629" s="2">
        <f>IF(Table4[[#This Row],[linear?]],Table4[[#This Row],[av]],10^(Table4[[#This Row],[av]]/10))</f>
        <v>0</v>
      </c>
      <c r="W1629" s="2">
        <f>IF(Table4[[#This Row],[linear?]],Table4[[#This Row],[av]],10^(Table4[[#This Row],[av]]/10))</f>
        <v>0</v>
      </c>
      <c r="X1629" s="2">
        <f>Table4[[#This Row],[av_lin]]-2*Table4[[#This Row],[std_lin]]</f>
        <v>0</v>
      </c>
      <c r="Y1629" s="2">
        <f>Table4[[#This Row],[av_lin]]+2*Table4[[#This Row],[std_lin]]</f>
        <v>0</v>
      </c>
    </row>
    <row r="1630" spans="1:25" x14ac:dyDescent="0.35">
      <c r="A1630" s="1">
        <v>1020</v>
      </c>
      <c r="B1630" t="s">
        <v>828</v>
      </c>
      <c r="C1630" t="s">
        <v>76</v>
      </c>
      <c r="D1630" t="s">
        <v>78</v>
      </c>
      <c r="E1630" s="2">
        <v>1</v>
      </c>
      <c r="F1630" s="2">
        <v>0</v>
      </c>
      <c r="G1630">
        <v>6</v>
      </c>
      <c r="H1630" t="s">
        <v>19</v>
      </c>
      <c r="M1630" s="2">
        <v>1</v>
      </c>
      <c r="N1630" s="2">
        <v>1</v>
      </c>
      <c r="O1630" s="2">
        <v>0</v>
      </c>
      <c r="P1630" s="2" t="s">
        <v>21</v>
      </c>
      <c r="R1630" t="str">
        <f t="shared" si="75"/>
        <v>no</v>
      </c>
      <c r="S1630" t="str">
        <f t="shared" si="76"/>
        <v>no</v>
      </c>
      <c r="T16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0" s="2" t="b">
        <f t="shared" si="77"/>
        <v>1</v>
      </c>
      <c r="V1630" s="2">
        <f>IF(Table4[[#This Row],[linear?]],Table4[[#This Row],[av]],10^(Table4[[#This Row],[av]]/10))</f>
        <v>1</v>
      </c>
      <c r="W1630" s="2">
        <f>IF(Table4[[#This Row],[linear?]],Table4[[#This Row],[av]],10^(Table4[[#This Row],[av]]/10))</f>
        <v>1</v>
      </c>
      <c r="X1630" s="2">
        <f>Table4[[#This Row],[av_lin]]-2*Table4[[#This Row],[std_lin]]</f>
        <v>-1</v>
      </c>
      <c r="Y1630" s="2">
        <f>Table4[[#This Row],[av_lin]]+2*Table4[[#This Row],[std_lin]]</f>
        <v>3</v>
      </c>
    </row>
    <row r="1631" spans="1:25" x14ac:dyDescent="0.35">
      <c r="A1631" s="1">
        <v>1021</v>
      </c>
      <c r="B1631" t="s">
        <v>828</v>
      </c>
      <c r="C1631" t="s">
        <v>76</v>
      </c>
      <c r="D1631" t="s">
        <v>79</v>
      </c>
      <c r="E1631" s="2">
        <v>1</v>
      </c>
      <c r="F1631" s="2">
        <v>0</v>
      </c>
      <c r="G1631">
        <v>6</v>
      </c>
      <c r="H1631" t="s">
        <v>19</v>
      </c>
      <c r="M1631" s="2">
        <v>1</v>
      </c>
      <c r="N1631" s="2">
        <v>1</v>
      </c>
      <c r="O1631" s="2">
        <v>0</v>
      </c>
      <c r="P1631" s="2" t="s">
        <v>21</v>
      </c>
      <c r="R1631" t="str">
        <f t="shared" si="75"/>
        <v>no</v>
      </c>
      <c r="S1631" t="str">
        <f t="shared" si="76"/>
        <v>no</v>
      </c>
      <c r="T16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1" s="2" t="b">
        <f t="shared" si="77"/>
        <v>1</v>
      </c>
      <c r="V1631" s="2">
        <f>IF(Table4[[#This Row],[linear?]],Table4[[#This Row],[av]],10^(Table4[[#This Row],[av]]/10))</f>
        <v>1</v>
      </c>
      <c r="W1631" s="2">
        <f>IF(Table4[[#This Row],[linear?]],Table4[[#This Row],[av]],10^(Table4[[#This Row],[av]]/10))</f>
        <v>1</v>
      </c>
      <c r="X1631" s="2">
        <f>Table4[[#This Row],[av_lin]]-2*Table4[[#This Row],[std_lin]]</f>
        <v>-1</v>
      </c>
      <c r="Y1631" s="2">
        <f>Table4[[#This Row],[av_lin]]+2*Table4[[#This Row],[std_lin]]</f>
        <v>3</v>
      </c>
    </row>
    <row r="1632" spans="1:25" x14ac:dyDescent="0.35">
      <c r="A1632" s="1">
        <v>1022</v>
      </c>
      <c r="B1632" t="s">
        <v>828</v>
      </c>
      <c r="C1632" t="s">
        <v>76</v>
      </c>
      <c r="D1632" t="s">
        <v>80</v>
      </c>
      <c r="E1632" s="2">
        <v>1</v>
      </c>
      <c r="F1632" s="2">
        <v>0</v>
      </c>
      <c r="G1632">
        <v>6</v>
      </c>
      <c r="H1632" t="s">
        <v>19</v>
      </c>
      <c r="M1632" s="2">
        <v>1</v>
      </c>
      <c r="N1632" s="2">
        <v>1</v>
      </c>
      <c r="O1632" s="2">
        <v>0</v>
      </c>
      <c r="P1632" s="2" t="s">
        <v>21</v>
      </c>
      <c r="R1632" t="str">
        <f t="shared" si="75"/>
        <v>no</v>
      </c>
      <c r="S1632" t="str">
        <f t="shared" si="76"/>
        <v>no</v>
      </c>
      <c r="T16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2" s="2" t="b">
        <f t="shared" si="77"/>
        <v>1</v>
      </c>
      <c r="V1632" s="2">
        <f>IF(Table4[[#This Row],[linear?]],Table4[[#This Row],[av]],10^(Table4[[#This Row],[av]]/10))</f>
        <v>1</v>
      </c>
      <c r="W1632" s="2">
        <f>IF(Table4[[#This Row],[linear?]],Table4[[#This Row],[av]],10^(Table4[[#This Row],[av]]/10))</f>
        <v>1</v>
      </c>
      <c r="X1632" s="2">
        <f>Table4[[#This Row],[av_lin]]-2*Table4[[#This Row],[std_lin]]</f>
        <v>-1</v>
      </c>
      <c r="Y1632" s="2">
        <f>Table4[[#This Row],[av_lin]]+2*Table4[[#This Row],[std_lin]]</f>
        <v>3</v>
      </c>
    </row>
    <row r="1633" spans="1:25" x14ac:dyDescent="0.35">
      <c r="A1633" s="1">
        <v>1023</v>
      </c>
      <c r="B1633" t="s">
        <v>828</v>
      </c>
      <c r="C1633" t="s">
        <v>76</v>
      </c>
      <c r="D1633" t="s">
        <v>81</v>
      </c>
      <c r="E1633" s="2">
        <v>1</v>
      </c>
      <c r="F1633" s="2">
        <v>0</v>
      </c>
      <c r="G1633">
        <v>6</v>
      </c>
      <c r="H1633" t="s">
        <v>19</v>
      </c>
      <c r="M1633" s="2">
        <v>1</v>
      </c>
      <c r="N1633" s="2">
        <v>1</v>
      </c>
      <c r="O1633" s="2">
        <v>0</v>
      </c>
      <c r="P1633" s="2" t="s">
        <v>21</v>
      </c>
      <c r="R1633" t="str">
        <f t="shared" si="75"/>
        <v>no</v>
      </c>
      <c r="S1633" t="str">
        <f t="shared" si="76"/>
        <v>no</v>
      </c>
      <c r="T16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3" s="2" t="b">
        <f t="shared" si="77"/>
        <v>1</v>
      </c>
      <c r="V1633" s="2">
        <f>IF(Table4[[#This Row],[linear?]],Table4[[#This Row],[av]],10^(Table4[[#This Row],[av]]/10))</f>
        <v>1</v>
      </c>
      <c r="W1633" s="2">
        <f>IF(Table4[[#This Row],[linear?]],Table4[[#This Row],[av]],10^(Table4[[#This Row],[av]]/10))</f>
        <v>1</v>
      </c>
      <c r="X1633" s="2">
        <f>Table4[[#This Row],[av_lin]]-2*Table4[[#This Row],[std_lin]]</f>
        <v>-1</v>
      </c>
      <c r="Y1633" s="2">
        <f>Table4[[#This Row],[av_lin]]+2*Table4[[#This Row],[std_lin]]</f>
        <v>3</v>
      </c>
    </row>
    <row r="1634" spans="1:25" x14ac:dyDescent="0.35">
      <c r="A1634" s="1">
        <v>1024</v>
      </c>
      <c r="B1634" t="s">
        <v>828</v>
      </c>
      <c r="C1634" t="s">
        <v>76</v>
      </c>
      <c r="D1634" t="s">
        <v>82</v>
      </c>
      <c r="E1634" s="2">
        <v>1</v>
      </c>
      <c r="F1634" s="2">
        <v>0</v>
      </c>
      <c r="G1634">
        <v>6</v>
      </c>
      <c r="H1634" t="s">
        <v>19</v>
      </c>
      <c r="M1634" s="2">
        <v>1</v>
      </c>
      <c r="N1634" s="2">
        <v>1</v>
      </c>
      <c r="O1634" s="2">
        <v>0</v>
      </c>
      <c r="P1634" s="2" t="s">
        <v>21</v>
      </c>
      <c r="R1634" t="str">
        <f t="shared" si="75"/>
        <v>no</v>
      </c>
      <c r="S1634" t="str">
        <f t="shared" si="76"/>
        <v>no</v>
      </c>
      <c r="T16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4" s="2" t="b">
        <f t="shared" si="77"/>
        <v>1</v>
      </c>
      <c r="V1634" s="2">
        <f>IF(Table4[[#This Row],[linear?]],Table4[[#This Row],[av]],10^(Table4[[#This Row],[av]]/10))</f>
        <v>1</v>
      </c>
      <c r="W1634" s="2">
        <f>IF(Table4[[#This Row],[linear?]],Table4[[#This Row],[av]],10^(Table4[[#This Row],[av]]/10))</f>
        <v>1</v>
      </c>
      <c r="X1634" s="2">
        <f>Table4[[#This Row],[av_lin]]-2*Table4[[#This Row],[std_lin]]</f>
        <v>-1</v>
      </c>
      <c r="Y1634" s="2">
        <f>Table4[[#This Row],[av_lin]]+2*Table4[[#This Row],[std_lin]]</f>
        <v>3</v>
      </c>
    </row>
    <row r="1635" spans="1:25" x14ac:dyDescent="0.35">
      <c r="A1635" s="1">
        <v>1025</v>
      </c>
      <c r="B1635" t="s">
        <v>828</v>
      </c>
      <c r="C1635" t="s">
        <v>76</v>
      </c>
      <c r="D1635" t="s">
        <v>83</v>
      </c>
      <c r="E1635" s="2">
        <v>1</v>
      </c>
      <c r="F1635" s="2">
        <v>0</v>
      </c>
      <c r="G1635">
        <v>6</v>
      </c>
      <c r="H1635" t="s">
        <v>19</v>
      </c>
      <c r="M1635" s="2">
        <v>1</v>
      </c>
      <c r="N1635" s="2">
        <v>1</v>
      </c>
      <c r="O1635" s="2">
        <v>0</v>
      </c>
      <c r="P1635" s="2" t="s">
        <v>21</v>
      </c>
      <c r="R1635" t="str">
        <f t="shared" si="75"/>
        <v>no</v>
      </c>
      <c r="S1635" t="str">
        <f t="shared" si="76"/>
        <v>no</v>
      </c>
      <c r="T16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5" s="2" t="b">
        <f t="shared" si="77"/>
        <v>1</v>
      </c>
      <c r="V1635" s="2">
        <f>IF(Table4[[#This Row],[linear?]],Table4[[#This Row],[av]],10^(Table4[[#This Row],[av]]/10))</f>
        <v>1</v>
      </c>
      <c r="W1635" s="2">
        <f>IF(Table4[[#This Row],[linear?]],Table4[[#This Row],[av]],10^(Table4[[#This Row],[av]]/10))</f>
        <v>1</v>
      </c>
      <c r="X1635" s="2">
        <f>Table4[[#This Row],[av_lin]]-2*Table4[[#This Row],[std_lin]]</f>
        <v>-1</v>
      </c>
      <c r="Y1635" s="2">
        <f>Table4[[#This Row],[av_lin]]+2*Table4[[#This Row],[std_lin]]</f>
        <v>3</v>
      </c>
    </row>
    <row r="1636" spans="1:25" x14ac:dyDescent="0.35">
      <c r="A1636" s="1">
        <v>1026</v>
      </c>
      <c r="B1636" t="s">
        <v>828</v>
      </c>
      <c r="C1636" t="s">
        <v>76</v>
      </c>
      <c r="D1636" t="s">
        <v>84</v>
      </c>
      <c r="E1636" s="2">
        <v>1</v>
      </c>
      <c r="F1636" s="2">
        <v>0</v>
      </c>
      <c r="G1636">
        <v>6</v>
      </c>
      <c r="H1636" t="s">
        <v>19</v>
      </c>
      <c r="M1636" s="2">
        <v>1</v>
      </c>
      <c r="N1636" s="2">
        <v>1</v>
      </c>
      <c r="O1636" s="2">
        <v>0</v>
      </c>
      <c r="P1636" s="2" t="s">
        <v>21</v>
      </c>
      <c r="R1636" t="str">
        <f t="shared" si="75"/>
        <v>no</v>
      </c>
      <c r="S1636" t="str">
        <f t="shared" si="76"/>
        <v>no</v>
      </c>
      <c r="T16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6" s="2" t="b">
        <f t="shared" si="77"/>
        <v>1</v>
      </c>
      <c r="V1636" s="2">
        <f>IF(Table4[[#This Row],[linear?]],Table4[[#This Row],[av]],10^(Table4[[#This Row],[av]]/10))</f>
        <v>1</v>
      </c>
      <c r="W1636" s="2">
        <f>IF(Table4[[#This Row],[linear?]],Table4[[#This Row],[av]],10^(Table4[[#This Row],[av]]/10))</f>
        <v>1</v>
      </c>
      <c r="X1636" s="2">
        <f>Table4[[#This Row],[av_lin]]-2*Table4[[#This Row],[std_lin]]</f>
        <v>-1</v>
      </c>
      <c r="Y1636" s="2">
        <f>Table4[[#This Row],[av_lin]]+2*Table4[[#This Row],[std_lin]]</f>
        <v>3</v>
      </c>
    </row>
    <row r="1637" spans="1:25" x14ac:dyDescent="0.35">
      <c r="A1637" s="1">
        <v>1027</v>
      </c>
      <c r="B1637" t="s">
        <v>828</v>
      </c>
      <c r="C1637" t="s">
        <v>76</v>
      </c>
      <c r="D1637" t="s">
        <v>85</v>
      </c>
      <c r="E1637" s="2">
        <v>48.600484238888882</v>
      </c>
      <c r="F1637" s="2">
        <v>2.049871913961038</v>
      </c>
      <c r="G1637">
        <v>6</v>
      </c>
      <c r="H1637" t="s">
        <v>19</v>
      </c>
      <c r="M1637" s="2">
        <v>52.700228066810958</v>
      </c>
      <c r="N1637" s="2">
        <v>44.500740410966813</v>
      </c>
      <c r="O1637" s="2">
        <v>8.1994876558441518</v>
      </c>
      <c r="P1637" s="2">
        <v>23.709034651329262</v>
      </c>
      <c r="R1637" t="str">
        <f t="shared" si="75"/>
        <v>no</v>
      </c>
      <c r="S1637" t="str">
        <f t="shared" si="76"/>
        <v>no</v>
      </c>
      <c r="T16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7" s="2" t="b">
        <f t="shared" si="77"/>
        <v>1</v>
      </c>
      <c r="V1637" s="2">
        <f>IF(Table4[[#This Row],[linear?]],Table4[[#This Row],[av]],10^(Table4[[#This Row],[av]]/10))</f>
        <v>48.600484238888882</v>
      </c>
      <c r="W1637" s="2">
        <f>IF(Table4[[#This Row],[linear?]],Table4[[#This Row],[av]],10^(Table4[[#This Row],[av]]/10))</f>
        <v>48.600484238888882</v>
      </c>
      <c r="X1637" s="2">
        <f>Table4[[#This Row],[av_lin]]-2*Table4[[#This Row],[std_lin]]</f>
        <v>-48.600484238888882</v>
      </c>
      <c r="Y1637" s="2">
        <f>Table4[[#This Row],[av_lin]]+2*Table4[[#This Row],[std_lin]]</f>
        <v>145.80145271666663</v>
      </c>
    </row>
    <row r="1638" spans="1:25" x14ac:dyDescent="0.35">
      <c r="A1638" s="1">
        <v>1028</v>
      </c>
      <c r="B1638" t="s">
        <v>828</v>
      </c>
      <c r="C1638" t="s">
        <v>76</v>
      </c>
      <c r="D1638" t="s">
        <v>86</v>
      </c>
      <c r="G1638">
        <v>6</v>
      </c>
      <c r="H1638" t="s">
        <v>19</v>
      </c>
      <c r="R1638" t="str">
        <f t="shared" si="75"/>
        <v>no</v>
      </c>
      <c r="S1638" t="str">
        <f t="shared" si="76"/>
        <v>no</v>
      </c>
      <c r="T16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8" s="2" t="b">
        <f t="shared" si="77"/>
        <v>1</v>
      </c>
      <c r="V1638" s="2">
        <f>IF(Table4[[#This Row],[linear?]],Table4[[#This Row],[av]],10^(Table4[[#This Row],[av]]/10))</f>
        <v>0</v>
      </c>
      <c r="W1638" s="2">
        <f>IF(Table4[[#This Row],[linear?]],Table4[[#This Row],[av]],10^(Table4[[#This Row],[av]]/10))</f>
        <v>0</v>
      </c>
      <c r="X1638" s="2">
        <f>Table4[[#This Row],[av_lin]]-2*Table4[[#This Row],[std_lin]]</f>
        <v>0</v>
      </c>
      <c r="Y1638" s="2">
        <f>Table4[[#This Row],[av_lin]]+2*Table4[[#This Row],[std_lin]]</f>
        <v>0</v>
      </c>
    </row>
    <row r="1639" spans="1:25" x14ac:dyDescent="0.35">
      <c r="A1639" s="1">
        <v>1029</v>
      </c>
      <c r="B1639" t="s">
        <v>828</v>
      </c>
      <c r="C1639" t="s">
        <v>87</v>
      </c>
      <c r="D1639" t="s">
        <v>88</v>
      </c>
      <c r="G1639">
        <v>6</v>
      </c>
      <c r="H1639" t="s">
        <v>19</v>
      </c>
      <c r="R1639" t="str">
        <f t="shared" si="75"/>
        <v>no</v>
      </c>
      <c r="S1639" t="str">
        <f t="shared" si="76"/>
        <v>no</v>
      </c>
      <c r="T16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9" s="2" t="b">
        <f t="shared" si="77"/>
        <v>1</v>
      </c>
      <c r="V1639" s="2">
        <f>IF(Table4[[#This Row],[linear?]],Table4[[#This Row],[av]],10^(Table4[[#This Row],[av]]/10))</f>
        <v>0</v>
      </c>
      <c r="W1639" s="2">
        <f>IF(Table4[[#This Row],[linear?]],Table4[[#This Row],[av]],10^(Table4[[#This Row],[av]]/10))</f>
        <v>0</v>
      </c>
      <c r="X1639" s="2">
        <f>Table4[[#This Row],[av_lin]]-2*Table4[[#This Row],[std_lin]]</f>
        <v>0</v>
      </c>
      <c r="Y1639" s="2">
        <f>Table4[[#This Row],[av_lin]]+2*Table4[[#This Row],[std_lin]]</f>
        <v>0</v>
      </c>
    </row>
    <row r="1640" spans="1:25" x14ac:dyDescent="0.35">
      <c r="A1640" s="1">
        <v>1030</v>
      </c>
      <c r="B1640" t="s">
        <v>828</v>
      </c>
      <c r="C1640" t="s">
        <v>87</v>
      </c>
      <c r="D1640" t="s">
        <v>89</v>
      </c>
      <c r="E1640" s="2">
        <v>1</v>
      </c>
      <c r="F1640" s="2">
        <v>0</v>
      </c>
      <c r="G1640">
        <v>6</v>
      </c>
      <c r="H1640" t="s">
        <v>19</v>
      </c>
      <c r="M1640" s="2">
        <v>1</v>
      </c>
      <c r="N1640" s="2">
        <v>1</v>
      </c>
      <c r="O1640" s="2">
        <v>0</v>
      </c>
      <c r="P1640" s="2" t="s">
        <v>21</v>
      </c>
      <c r="R1640" t="str">
        <f t="shared" si="75"/>
        <v>no</v>
      </c>
      <c r="S1640" t="str">
        <f t="shared" si="76"/>
        <v>no</v>
      </c>
      <c r="T16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0" s="2" t="b">
        <f t="shared" si="77"/>
        <v>1</v>
      </c>
      <c r="V1640" s="2">
        <f>IF(Table4[[#This Row],[linear?]],Table4[[#This Row],[av]],10^(Table4[[#This Row],[av]]/10))</f>
        <v>1</v>
      </c>
      <c r="W1640" s="2">
        <f>IF(Table4[[#This Row],[linear?]],Table4[[#This Row],[av]],10^(Table4[[#This Row],[av]]/10))</f>
        <v>1</v>
      </c>
      <c r="X1640" s="2">
        <f>Table4[[#This Row],[av_lin]]-2*Table4[[#This Row],[std_lin]]</f>
        <v>-1</v>
      </c>
      <c r="Y1640" s="2">
        <f>Table4[[#This Row],[av_lin]]+2*Table4[[#This Row],[std_lin]]</f>
        <v>3</v>
      </c>
    </row>
    <row r="1641" spans="1:25" x14ac:dyDescent="0.35">
      <c r="A1641" s="1">
        <v>1031</v>
      </c>
      <c r="B1641" t="s">
        <v>828</v>
      </c>
      <c r="C1641" t="s">
        <v>87</v>
      </c>
      <c r="D1641" t="s">
        <v>90</v>
      </c>
      <c r="E1641" s="2">
        <v>1</v>
      </c>
      <c r="F1641" s="2">
        <v>0</v>
      </c>
      <c r="G1641">
        <v>6</v>
      </c>
      <c r="H1641" t="s">
        <v>19</v>
      </c>
      <c r="M1641" s="2">
        <v>1</v>
      </c>
      <c r="N1641" s="2">
        <v>1</v>
      </c>
      <c r="O1641" s="2">
        <v>0</v>
      </c>
      <c r="P1641" s="2" t="s">
        <v>21</v>
      </c>
      <c r="R1641" t="str">
        <f t="shared" si="75"/>
        <v>no</v>
      </c>
      <c r="S1641" t="str">
        <f t="shared" si="76"/>
        <v>no</v>
      </c>
      <c r="T16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1" s="2" t="b">
        <f t="shared" si="77"/>
        <v>1</v>
      </c>
      <c r="V1641" s="2">
        <f>IF(Table4[[#This Row],[linear?]],Table4[[#This Row],[av]],10^(Table4[[#This Row],[av]]/10))</f>
        <v>1</v>
      </c>
      <c r="W1641" s="2">
        <f>IF(Table4[[#This Row],[linear?]],Table4[[#This Row],[av]],10^(Table4[[#This Row],[av]]/10))</f>
        <v>1</v>
      </c>
      <c r="X1641" s="2">
        <f>Table4[[#This Row],[av_lin]]-2*Table4[[#This Row],[std_lin]]</f>
        <v>-1</v>
      </c>
      <c r="Y1641" s="2">
        <f>Table4[[#This Row],[av_lin]]+2*Table4[[#This Row],[std_lin]]</f>
        <v>3</v>
      </c>
    </row>
    <row r="1642" spans="1:25" x14ac:dyDescent="0.35">
      <c r="A1642" s="1">
        <v>1032</v>
      </c>
      <c r="B1642" t="s">
        <v>828</v>
      </c>
      <c r="C1642" t="s">
        <v>87</v>
      </c>
      <c r="D1642" t="s">
        <v>91</v>
      </c>
      <c r="G1642">
        <v>6</v>
      </c>
      <c r="H1642" t="s">
        <v>19</v>
      </c>
      <c r="R1642" t="str">
        <f t="shared" si="75"/>
        <v>no</v>
      </c>
      <c r="S1642" t="str">
        <f t="shared" si="76"/>
        <v>no</v>
      </c>
      <c r="T16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2" s="2" t="b">
        <f t="shared" si="77"/>
        <v>1</v>
      </c>
      <c r="V1642" s="2">
        <f>IF(Table4[[#This Row],[linear?]],Table4[[#This Row],[av]],10^(Table4[[#This Row],[av]]/10))</f>
        <v>0</v>
      </c>
      <c r="W1642" s="2">
        <f>IF(Table4[[#This Row],[linear?]],Table4[[#This Row],[av]],10^(Table4[[#This Row],[av]]/10))</f>
        <v>0</v>
      </c>
      <c r="X1642" s="2">
        <f>Table4[[#This Row],[av_lin]]-2*Table4[[#This Row],[std_lin]]</f>
        <v>0</v>
      </c>
      <c r="Y1642" s="2">
        <f>Table4[[#This Row],[av_lin]]+2*Table4[[#This Row],[std_lin]]</f>
        <v>0</v>
      </c>
    </row>
    <row r="1643" spans="1:25" x14ac:dyDescent="0.35">
      <c r="A1643" s="1">
        <v>1033</v>
      </c>
      <c r="B1643" t="s">
        <v>828</v>
      </c>
      <c r="C1643" t="s">
        <v>87</v>
      </c>
      <c r="D1643" t="s">
        <v>92</v>
      </c>
      <c r="E1643" s="2">
        <v>34.62083333333333</v>
      </c>
      <c r="F1643" s="2">
        <v>1.1145390798446779</v>
      </c>
      <c r="G1643">
        <v>6</v>
      </c>
      <c r="H1643" t="s">
        <v>19</v>
      </c>
      <c r="M1643" s="2">
        <v>36.849911493022688</v>
      </c>
      <c r="N1643" s="2">
        <v>32.391755173643972</v>
      </c>
      <c r="O1643" s="2">
        <v>4.4581563193787161</v>
      </c>
      <c r="P1643" s="2">
        <v>31.062915566996619</v>
      </c>
      <c r="R1643" t="str">
        <f t="shared" si="75"/>
        <v>no</v>
      </c>
      <c r="S1643" t="str">
        <f t="shared" si="76"/>
        <v>no</v>
      </c>
      <c r="T16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3" s="2" t="b">
        <f t="shared" si="77"/>
        <v>1</v>
      </c>
      <c r="V1643" s="2">
        <f>IF(Table4[[#This Row],[linear?]],Table4[[#This Row],[av]],10^(Table4[[#This Row],[av]]/10))</f>
        <v>34.62083333333333</v>
      </c>
      <c r="W1643" s="2">
        <f>IF(Table4[[#This Row],[linear?]],Table4[[#This Row],[av]],10^(Table4[[#This Row],[av]]/10))</f>
        <v>34.62083333333333</v>
      </c>
      <c r="X1643" s="2">
        <f>Table4[[#This Row],[av_lin]]-2*Table4[[#This Row],[std_lin]]</f>
        <v>-34.62083333333333</v>
      </c>
      <c r="Y1643" s="2">
        <f>Table4[[#This Row],[av_lin]]+2*Table4[[#This Row],[std_lin]]</f>
        <v>103.86249999999998</v>
      </c>
    </row>
    <row r="1644" spans="1:25" x14ac:dyDescent="0.35">
      <c r="A1644" s="1">
        <v>1034</v>
      </c>
      <c r="B1644" t="s">
        <v>828</v>
      </c>
      <c r="C1644" t="s">
        <v>87</v>
      </c>
      <c r="D1644" t="s">
        <v>93</v>
      </c>
      <c r="E1644" s="2">
        <v>36.245138888888889</v>
      </c>
      <c r="F1644" s="2">
        <v>0.86128068591958873</v>
      </c>
      <c r="G1644">
        <v>6</v>
      </c>
      <c r="H1644" t="s">
        <v>19</v>
      </c>
      <c r="M1644" s="2">
        <v>37.967700260728073</v>
      </c>
      <c r="N1644" s="2">
        <v>34.522577517049712</v>
      </c>
      <c r="O1644" s="2">
        <v>3.445122743678354</v>
      </c>
      <c r="P1644" s="2">
        <v>42.082841844049923</v>
      </c>
      <c r="R1644" t="str">
        <f t="shared" si="75"/>
        <v>no</v>
      </c>
      <c r="S1644" t="str">
        <f t="shared" si="76"/>
        <v>no</v>
      </c>
      <c r="T16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4" s="2" t="b">
        <f t="shared" si="77"/>
        <v>1</v>
      </c>
      <c r="V1644" s="2">
        <f>IF(Table4[[#This Row],[linear?]],Table4[[#This Row],[av]],10^(Table4[[#This Row],[av]]/10))</f>
        <v>36.245138888888889</v>
      </c>
      <c r="W1644" s="2">
        <f>IF(Table4[[#This Row],[linear?]],Table4[[#This Row],[av]],10^(Table4[[#This Row],[av]]/10))</f>
        <v>36.245138888888889</v>
      </c>
      <c r="X1644" s="2">
        <f>Table4[[#This Row],[av_lin]]-2*Table4[[#This Row],[std_lin]]</f>
        <v>-36.245138888888889</v>
      </c>
      <c r="Y1644" s="2">
        <f>Table4[[#This Row],[av_lin]]+2*Table4[[#This Row],[std_lin]]</f>
        <v>108.73541666666667</v>
      </c>
    </row>
    <row r="1645" spans="1:25" x14ac:dyDescent="0.35">
      <c r="A1645" s="1">
        <v>1035</v>
      </c>
      <c r="B1645" t="s">
        <v>828</v>
      </c>
      <c r="C1645" t="s">
        <v>94</v>
      </c>
      <c r="D1645" t="s">
        <v>95</v>
      </c>
      <c r="E1645" s="2">
        <v>30.542727611111111</v>
      </c>
      <c r="F1645" s="2">
        <v>0.98455142970485054</v>
      </c>
      <c r="G1645">
        <v>6</v>
      </c>
      <c r="H1645" t="s">
        <v>19</v>
      </c>
      <c r="M1645" s="2">
        <v>32.511830470520813</v>
      </c>
      <c r="N1645" s="2">
        <v>28.573624751701409</v>
      </c>
      <c r="O1645" s="2">
        <v>3.938205718819404</v>
      </c>
      <c r="P1645" s="2">
        <v>31.021972737642791</v>
      </c>
      <c r="R1645" t="str">
        <f t="shared" si="75"/>
        <v>no</v>
      </c>
      <c r="S1645" t="str">
        <f t="shared" si="76"/>
        <v>no</v>
      </c>
      <c r="T16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5" s="2" t="b">
        <f t="shared" si="77"/>
        <v>1</v>
      </c>
      <c r="V1645" s="2">
        <f>IF(Table4[[#This Row],[linear?]],Table4[[#This Row],[av]],10^(Table4[[#This Row],[av]]/10))</f>
        <v>30.542727611111111</v>
      </c>
      <c r="W1645" s="2">
        <f>IF(Table4[[#This Row],[linear?]],Table4[[#This Row],[av]],10^(Table4[[#This Row],[av]]/10))</f>
        <v>30.542727611111111</v>
      </c>
      <c r="X1645" s="2">
        <f>Table4[[#This Row],[av_lin]]-2*Table4[[#This Row],[std_lin]]</f>
        <v>-30.542727611111111</v>
      </c>
      <c r="Y1645" s="2">
        <f>Table4[[#This Row],[av_lin]]+2*Table4[[#This Row],[std_lin]]</f>
        <v>91.628182833333341</v>
      </c>
    </row>
    <row r="1646" spans="1:25" x14ac:dyDescent="0.35">
      <c r="A1646" s="1">
        <v>1036</v>
      </c>
      <c r="B1646" t="s">
        <v>828</v>
      </c>
      <c r="C1646" t="s">
        <v>94</v>
      </c>
      <c r="D1646" t="s">
        <v>96</v>
      </c>
      <c r="E1646" s="2">
        <v>60</v>
      </c>
      <c r="F1646" s="2">
        <v>0</v>
      </c>
      <c r="G1646">
        <v>6</v>
      </c>
      <c r="H1646" t="s">
        <v>19</v>
      </c>
      <c r="M1646" s="2">
        <v>60</v>
      </c>
      <c r="N1646" s="2">
        <v>60</v>
      </c>
      <c r="O1646" s="2">
        <v>0</v>
      </c>
      <c r="P1646" s="2" t="s">
        <v>21</v>
      </c>
      <c r="R1646" t="str">
        <f t="shared" si="75"/>
        <v>no</v>
      </c>
      <c r="S1646" t="str">
        <f t="shared" si="76"/>
        <v>no</v>
      </c>
      <c r="T16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6" s="2" t="b">
        <f t="shared" si="77"/>
        <v>1</v>
      </c>
      <c r="V1646" s="2">
        <f>IF(Table4[[#This Row],[linear?]],Table4[[#This Row],[av]],10^(Table4[[#This Row],[av]]/10))</f>
        <v>60</v>
      </c>
      <c r="W1646" s="2">
        <f>IF(Table4[[#This Row],[linear?]],Table4[[#This Row],[av]],10^(Table4[[#This Row],[av]]/10))</f>
        <v>60</v>
      </c>
      <c r="X1646" s="2">
        <f>Table4[[#This Row],[av_lin]]-2*Table4[[#This Row],[std_lin]]</f>
        <v>-60</v>
      </c>
      <c r="Y1646" s="2">
        <f>Table4[[#This Row],[av_lin]]+2*Table4[[#This Row],[std_lin]]</f>
        <v>180</v>
      </c>
    </row>
    <row r="1647" spans="1:25" x14ac:dyDescent="0.35">
      <c r="A1647" s="1">
        <v>1037</v>
      </c>
      <c r="B1647" t="s">
        <v>828</v>
      </c>
      <c r="C1647" t="s">
        <v>94</v>
      </c>
      <c r="D1647" t="s">
        <v>97</v>
      </c>
      <c r="E1647" s="2">
        <v>33.22827927777778</v>
      </c>
      <c r="F1647" s="2">
        <v>1.008723427526278</v>
      </c>
      <c r="G1647">
        <v>6</v>
      </c>
      <c r="H1647" t="s">
        <v>19</v>
      </c>
      <c r="M1647" s="2">
        <v>35.245726132830328</v>
      </c>
      <c r="N1647" s="2">
        <v>31.210832422725229</v>
      </c>
      <c r="O1647" s="2">
        <v>4.0348937101051092</v>
      </c>
      <c r="P1647" s="2">
        <v>32.940921536108718</v>
      </c>
      <c r="R1647" t="str">
        <f t="shared" si="75"/>
        <v>no</v>
      </c>
      <c r="S1647" t="str">
        <f t="shared" si="76"/>
        <v>no</v>
      </c>
      <c r="T16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7" s="2" t="b">
        <f t="shared" si="77"/>
        <v>1</v>
      </c>
      <c r="V1647" s="2">
        <f>IF(Table4[[#This Row],[linear?]],Table4[[#This Row],[av]],10^(Table4[[#This Row],[av]]/10))</f>
        <v>33.22827927777778</v>
      </c>
      <c r="W1647" s="2">
        <f>IF(Table4[[#This Row],[linear?]],Table4[[#This Row],[av]],10^(Table4[[#This Row],[av]]/10))</f>
        <v>33.22827927777778</v>
      </c>
      <c r="X1647" s="2">
        <f>Table4[[#This Row],[av_lin]]-2*Table4[[#This Row],[std_lin]]</f>
        <v>-33.22827927777778</v>
      </c>
      <c r="Y1647" s="2">
        <f>Table4[[#This Row],[av_lin]]+2*Table4[[#This Row],[std_lin]]</f>
        <v>99.684837833333347</v>
      </c>
    </row>
    <row r="1648" spans="1:25" x14ac:dyDescent="0.35">
      <c r="A1648" s="1">
        <v>1038</v>
      </c>
      <c r="B1648" t="s">
        <v>828</v>
      </c>
      <c r="C1648" t="s">
        <v>94</v>
      </c>
      <c r="D1648" t="s">
        <v>98</v>
      </c>
      <c r="E1648" s="2">
        <v>27.85717593888889</v>
      </c>
      <c r="F1648" s="2">
        <v>0.96935562217816329</v>
      </c>
      <c r="G1648">
        <v>6</v>
      </c>
      <c r="H1648" t="s">
        <v>19</v>
      </c>
      <c r="M1648" s="2">
        <v>29.79588718324522</v>
      </c>
      <c r="N1648" s="2">
        <v>25.91846469453256</v>
      </c>
      <c r="O1648" s="2">
        <v>3.877422488712654</v>
      </c>
      <c r="P1648" s="2">
        <v>28.737828823123969</v>
      </c>
      <c r="R1648" t="str">
        <f t="shared" si="75"/>
        <v>no</v>
      </c>
      <c r="S1648" t="str">
        <f t="shared" si="76"/>
        <v>no</v>
      </c>
      <c r="T16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8" s="2" t="b">
        <f t="shared" si="77"/>
        <v>1</v>
      </c>
      <c r="V1648" s="2">
        <f>IF(Table4[[#This Row],[linear?]],Table4[[#This Row],[av]],10^(Table4[[#This Row],[av]]/10))</f>
        <v>27.85717593888889</v>
      </c>
      <c r="W1648" s="2">
        <f>IF(Table4[[#This Row],[linear?]],Table4[[#This Row],[av]],10^(Table4[[#This Row],[av]]/10))</f>
        <v>27.85717593888889</v>
      </c>
      <c r="X1648" s="2">
        <f>Table4[[#This Row],[av_lin]]-2*Table4[[#This Row],[std_lin]]</f>
        <v>-27.85717593888889</v>
      </c>
      <c r="Y1648" s="2">
        <f>Table4[[#This Row],[av_lin]]+2*Table4[[#This Row],[std_lin]]</f>
        <v>83.571527816666674</v>
      </c>
    </row>
    <row r="1649" spans="1:25" x14ac:dyDescent="0.35">
      <c r="A1649" s="1">
        <v>1039</v>
      </c>
      <c r="B1649" t="s">
        <v>828</v>
      </c>
      <c r="C1649" t="s">
        <v>99</v>
      </c>
      <c r="D1649" t="s">
        <v>100</v>
      </c>
      <c r="G1649">
        <v>6</v>
      </c>
      <c r="H1649" t="s">
        <v>19</v>
      </c>
      <c r="R1649" t="str">
        <f t="shared" si="75"/>
        <v>no</v>
      </c>
      <c r="S1649" t="str">
        <f t="shared" si="76"/>
        <v>no</v>
      </c>
      <c r="T16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9" s="2" t="b">
        <f t="shared" si="77"/>
        <v>1</v>
      </c>
      <c r="V1649" s="2">
        <f>IF(Table4[[#This Row],[linear?]],Table4[[#This Row],[av]],10^(Table4[[#This Row],[av]]/10))</f>
        <v>0</v>
      </c>
      <c r="W1649" s="2">
        <f>IF(Table4[[#This Row],[linear?]],Table4[[#This Row],[av]],10^(Table4[[#This Row],[av]]/10))</f>
        <v>0</v>
      </c>
      <c r="X1649" s="2">
        <f>Table4[[#This Row],[av_lin]]-2*Table4[[#This Row],[std_lin]]</f>
        <v>0</v>
      </c>
      <c r="Y1649" s="2">
        <f>Table4[[#This Row],[av_lin]]+2*Table4[[#This Row],[std_lin]]</f>
        <v>0</v>
      </c>
    </row>
    <row r="1650" spans="1:25" x14ac:dyDescent="0.35">
      <c r="A1650" s="1">
        <v>1040</v>
      </c>
      <c r="B1650" t="s">
        <v>828</v>
      </c>
      <c r="C1650" t="s">
        <v>99</v>
      </c>
      <c r="D1650" t="s">
        <v>101</v>
      </c>
      <c r="E1650" s="2">
        <v>1</v>
      </c>
      <c r="F1650" s="2">
        <v>0</v>
      </c>
      <c r="G1650">
        <v>6</v>
      </c>
      <c r="H1650" t="s">
        <v>19</v>
      </c>
      <c r="M1650" s="2">
        <v>1</v>
      </c>
      <c r="N1650" s="2">
        <v>1</v>
      </c>
      <c r="O1650" s="2">
        <v>0</v>
      </c>
      <c r="P1650" s="2" t="s">
        <v>21</v>
      </c>
      <c r="R1650" t="str">
        <f t="shared" si="75"/>
        <v>no</v>
      </c>
      <c r="S1650" t="str">
        <f t="shared" si="76"/>
        <v>no</v>
      </c>
      <c r="T16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0" s="2" t="b">
        <f t="shared" si="77"/>
        <v>1</v>
      </c>
      <c r="V1650" s="2">
        <f>IF(Table4[[#This Row],[linear?]],Table4[[#This Row],[av]],10^(Table4[[#This Row],[av]]/10))</f>
        <v>1</v>
      </c>
      <c r="W1650" s="2">
        <f>IF(Table4[[#This Row],[linear?]],Table4[[#This Row],[av]],10^(Table4[[#This Row],[av]]/10))</f>
        <v>1</v>
      </c>
      <c r="X1650" s="2">
        <f>Table4[[#This Row],[av_lin]]-2*Table4[[#This Row],[std_lin]]</f>
        <v>-1</v>
      </c>
      <c r="Y1650" s="2">
        <f>Table4[[#This Row],[av_lin]]+2*Table4[[#This Row],[std_lin]]</f>
        <v>3</v>
      </c>
    </row>
    <row r="1651" spans="1:25" x14ac:dyDescent="0.35">
      <c r="A1651" s="1">
        <v>1041</v>
      </c>
      <c r="B1651" t="s">
        <v>828</v>
      </c>
      <c r="C1651" t="s">
        <v>99</v>
      </c>
      <c r="D1651" t="s">
        <v>102</v>
      </c>
      <c r="E1651" s="2">
        <v>1</v>
      </c>
      <c r="F1651" s="2">
        <v>0</v>
      </c>
      <c r="G1651">
        <v>6</v>
      </c>
      <c r="H1651" t="s">
        <v>19</v>
      </c>
      <c r="M1651" s="2">
        <v>1</v>
      </c>
      <c r="N1651" s="2">
        <v>1</v>
      </c>
      <c r="O1651" s="2">
        <v>0</v>
      </c>
      <c r="P1651" s="2" t="s">
        <v>21</v>
      </c>
      <c r="R1651" t="str">
        <f t="shared" si="75"/>
        <v>no</v>
      </c>
      <c r="S1651" t="str">
        <f t="shared" si="76"/>
        <v>no</v>
      </c>
      <c r="T16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1" s="2" t="b">
        <f t="shared" si="77"/>
        <v>1</v>
      </c>
      <c r="V1651" s="2">
        <f>IF(Table4[[#This Row],[linear?]],Table4[[#This Row],[av]],10^(Table4[[#This Row],[av]]/10))</f>
        <v>1</v>
      </c>
      <c r="W1651" s="2">
        <f>IF(Table4[[#This Row],[linear?]],Table4[[#This Row],[av]],10^(Table4[[#This Row],[av]]/10))</f>
        <v>1</v>
      </c>
      <c r="X1651" s="2">
        <f>Table4[[#This Row],[av_lin]]-2*Table4[[#This Row],[std_lin]]</f>
        <v>-1</v>
      </c>
      <c r="Y1651" s="2">
        <f>Table4[[#This Row],[av_lin]]+2*Table4[[#This Row],[std_lin]]</f>
        <v>3</v>
      </c>
    </row>
    <row r="1652" spans="1:25" x14ac:dyDescent="0.35">
      <c r="A1652" s="1">
        <v>1042</v>
      </c>
      <c r="B1652" t="s">
        <v>828</v>
      </c>
      <c r="C1652" t="s">
        <v>99</v>
      </c>
      <c r="D1652" t="s">
        <v>103</v>
      </c>
      <c r="E1652" s="2">
        <v>1</v>
      </c>
      <c r="F1652" s="2">
        <v>0</v>
      </c>
      <c r="G1652">
        <v>6</v>
      </c>
      <c r="H1652" t="s">
        <v>19</v>
      </c>
      <c r="M1652" s="2">
        <v>1</v>
      </c>
      <c r="N1652" s="2">
        <v>1</v>
      </c>
      <c r="O1652" s="2">
        <v>0</v>
      </c>
      <c r="P1652" s="2" t="s">
        <v>21</v>
      </c>
      <c r="R1652" t="str">
        <f t="shared" si="75"/>
        <v>no</v>
      </c>
      <c r="S1652" t="str">
        <f t="shared" si="76"/>
        <v>no</v>
      </c>
      <c r="T16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2" s="2" t="b">
        <f t="shared" si="77"/>
        <v>1</v>
      </c>
      <c r="V1652" s="2">
        <f>IF(Table4[[#This Row],[linear?]],Table4[[#This Row],[av]],10^(Table4[[#This Row],[av]]/10))</f>
        <v>1</v>
      </c>
      <c r="W1652" s="2">
        <f>IF(Table4[[#This Row],[linear?]],Table4[[#This Row],[av]],10^(Table4[[#This Row],[av]]/10))</f>
        <v>1</v>
      </c>
      <c r="X1652" s="2">
        <f>Table4[[#This Row],[av_lin]]-2*Table4[[#This Row],[std_lin]]</f>
        <v>-1</v>
      </c>
      <c r="Y1652" s="2">
        <f>Table4[[#This Row],[av_lin]]+2*Table4[[#This Row],[std_lin]]</f>
        <v>3</v>
      </c>
    </row>
    <row r="1653" spans="1:25" x14ac:dyDescent="0.35">
      <c r="A1653" s="1">
        <v>1043</v>
      </c>
      <c r="B1653" t="s">
        <v>828</v>
      </c>
      <c r="C1653" t="s">
        <v>99</v>
      </c>
      <c r="D1653" t="s">
        <v>104</v>
      </c>
      <c r="E1653" s="2">
        <v>1</v>
      </c>
      <c r="F1653" s="2">
        <v>0</v>
      </c>
      <c r="G1653">
        <v>6</v>
      </c>
      <c r="H1653" t="s">
        <v>19</v>
      </c>
      <c r="M1653" s="2">
        <v>1</v>
      </c>
      <c r="N1653" s="2">
        <v>1</v>
      </c>
      <c r="O1653" s="2">
        <v>0</v>
      </c>
      <c r="P1653" s="2" t="s">
        <v>21</v>
      </c>
      <c r="R1653" t="str">
        <f t="shared" si="75"/>
        <v>no</v>
      </c>
      <c r="S1653" t="str">
        <f t="shared" si="76"/>
        <v>no</v>
      </c>
      <c r="T16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3" s="2" t="b">
        <f t="shared" si="77"/>
        <v>1</v>
      </c>
      <c r="V1653" s="2">
        <f>IF(Table4[[#This Row],[linear?]],Table4[[#This Row],[av]],10^(Table4[[#This Row],[av]]/10))</f>
        <v>1</v>
      </c>
      <c r="W1653" s="2">
        <f>IF(Table4[[#This Row],[linear?]],Table4[[#This Row],[av]],10^(Table4[[#This Row],[av]]/10))</f>
        <v>1</v>
      </c>
      <c r="X1653" s="2">
        <f>Table4[[#This Row],[av_lin]]-2*Table4[[#This Row],[std_lin]]</f>
        <v>-1</v>
      </c>
      <c r="Y1653" s="2">
        <f>Table4[[#This Row],[av_lin]]+2*Table4[[#This Row],[std_lin]]</f>
        <v>3</v>
      </c>
    </row>
    <row r="1654" spans="1:25" x14ac:dyDescent="0.35">
      <c r="A1654" s="1">
        <v>1044</v>
      </c>
      <c r="B1654" t="s">
        <v>828</v>
      </c>
      <c r="C1654" t="s">
        <v>99</v>
      </c>
      <c r="D1654" t="s">
        <v>105</v>
      </c>
      <c r="E1654" s="2">
        <v>40.4</v>
      </c>
      <c r="F1654" s="2">
        <v>5.9370004653274142</v>
      </c>
      <c r="G1654">
        <v>6</v>
      </c>
      <c r="H1654" t="s">
        <v>19</v>
      </c>
      <c r="M1654" s="2">
        <v>52.274000930654829</v>
      </c>
      <c r="N1654" s="2">
        <v>28.525999069345168</v>
      </c>
      <c r="O1654" s="2">
        <v>23.74800186130966</v>
      </c>
      <c r="P1654" s="2">
        <v>6.8047830273787957</v>
      </c>
      <c r="R1654" t="str">
        <f t="shared" si="75"/>
        <v>no</v>
      </c>
      <c r="S1654" t="str">
        <f t="shared" si="76"/>
        <v>no</v>
      </c>
      <c r="T16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4" s="2" t="b">
        <f t="shared" si="77"/>
        <v>1</v>
      </c>
      <c r="V1654" s="2">
        <f>IF(Table4[[#This Row],[linear?]],Table4[[#This Row],[av]],10^(Table4[[#This Row],[av]]/10))</f>
        <v>40.4</v>
      </c>
      <c r="W1654" s="2">
        <f>IF(Table4[[#This Row],[linear?]],Table4[[#This Row],[av]],10^(Table4[[#This Row],[av]]/10))</f>
        <v>40.4</v>
      </c>
      <c r="X1654" s="2">
        <f>Table4[[#This Row],[av_lin]]-2*Table4[[#This Row],[std_lin]]</f>
        <v>-40.4</v>
      </c>
      <c r="Y1654" s="2">
        <f>Table4[[#This Row],[av_lin]]+2*Table4[[#This Row],[std_lin]]</f>
        <v>121.19999999999999</v>
      </c>
    </row>
    <row r="1655" spans="1:25" x14ac:dyDescent="0.35">
      <c r="A1655" s="1">
        <v>1045</v>
      </c>
      <c r="B1655" t="s">
        <v>828</v>
      </c>
      <c r="C1655" t="s">
        <v>99</v>
      </c>
      <c r="D1655" t="s">
        <v>106</v>
      </c>
      <c r="E1655" s="2">
        <v>39.56666666666667</v>
      </c>
      <c r="F1655" s="2">
        <v>5.5493127286553579</v>
      </c>
      <c r="G1655">
        <v>6</v>
      </c>
      <c r="H1655" t="s">
        <v>19</v>
      </c>
      <c r="M1655" s="2">
        <v>50.665292123977387</v>
      </c>
      <c r="N1655" s="2">
        <v>28.468041209355949</v>
      </c>
      <c r="O1655" s="2">
        <v>22.197250914621431</v>
      </c>
      <c r="P1655" s="2">
        <v>7.1300120575929382</v>
      </c>
      <c r="R1655" t="str">
        <f t="shared" si="75"/>
        <v>no</v>
      </c>
      <c r="S1655" t="str">
        <f t="shared" si="76"/>
        <v>no</v>
      </c>
      <c r="T16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5" s="2" t="b">
        <f t="shared" si="77"/>
        <v>1</v>
      </c>
      <c r="V1655" s="2">
        <f>IF(Table4[[#This Row],[linear?]],Table4[[#This Row],[av]],10^(Table4[[#This Row],[av]]/10))</f>
        <v>39.56666666666667</v>
      </c>
      <c r="W1655" s="2">
        <f>IF(Table4[[#This Row],[linear?]],Table4[[#This Row],[av]],10^(Table4[[#This Row],[av]]/10))</f>
        <v>39.56666666666667</v>
      </c>
      <c r="X1655" s="2">
        <f>Table4[[#This Row],[av_lin]]-2*Table4[[#This Row],[std_lin]]</f>
        <v>-39.56666666666667</v>
      </c>
      <c r="Y1655" s="2">
        <f>Table4[[#This Row],[av_lin]]+2*Table4[[#This Row],[std_lin]]</f>
        <v>118.70000000000002</v>
      </c>
    </row>
    <row r="1656" spans="1:25" x14ac:dyDescent="0.35">
      <c r="A1656" s="1">
        <v>1046</v>
      </c>
      <c r="B1656" t="s">
        <v>828</v>
      </c>
      <c r="C1656" t="s">
        <v>99</v>
      </c>
      <c r="D1656" t="s">
        <v>107</v>
      </c>
      <c r="G1656">
        <v>6</v>
      </c>
      <c r="H1656" t="s">
        <v>19</v>
      </c>
      <c r="R1656" t="str">
        <f t="shared" si="75"/>
        <v>no</v>
      </c>
      <c r="S1656" t="str">
        <f t="shared" si="76"/>
        <v>no</v>
      </c>
      <c r="T16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6" s="2" t="b">
        <f t="shared" si="77"/>
        <v>1</v>
      </c>
      <c r="V1656" s="2">
        <f>IF(Table4[[#This Row],[linear?]],Table4[[#This Row],[av]],10^(Table4[[#This Row],[av]]/10))</f>
        <v>0</v>
      </c>
      <c r="W1656" s="2">
        <f>IF(Table4[[#This Row],[linear?]],Table4[[#This Row],[av]],10^(Table4[[#This Row],[av]]/10))</f>
        <v>0</v>
      </c>
      <c r="X1656" s="2">
        <f>Table4[[#This Row],[av_lin]]-2*Table4[[#This Row],[std_lin]]</f>
        <v>0</v>
      </c>
      <c r="Y1656" s="2">
        <f>Table4[[#This Row],[av_lin]]+2*Table4[[#This Row],[std_lin]]</f>
        <v>0</v>
      </c>
    </row>
    <row r="1657" spans="1:25" x14ac:dyDescent="0.35">
      <c r="A1657" s="1">
        <v>1047</v>
      </c>
      <c r="B1657" t="s">
        <v>828</v>
      </c>
      <c r="C1657" t="s">
        <v>99</v>
      </c>
      <c r="D1657" t="s">
        <v>108</v>
      </c>
      <c r="E1657" s="2">
        <v>1</v>
      </c>
      <c r="F1657" s="2">
        <v>0</v>
      </c>
      <c r="G1657">
        <v>6</v>
      </c>
      <c r="H1657" t="s">
        <v>19</v>
      </c>
      <c r="M1657" s="2">
        <v>1</v>
      </c>
      <c r="N1657" s="2">
        <v>1</v>
      </c>
      <c r="O1657" s="2">
        <v>0</v>
      </c>
      <c r="P1657" s="2" t="s">
        <v>21</v>
      </c>
      <c r="R1657" t="str">
        <f t="shared" si="75"/>
        <v>no</v>
      </c>
      <c r="S1657" t="str">
        <f t="shared" si="76"/>
        <v>no</v>
      </c>
      <c r="T16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7" s="2" t="b">
        <f t="shared" si="77"/>
        <v>1</v>
      </c>
      <c r="V1657" s="2">
        <f>IF(Table4[[#This Row],[linear?]],Table4[[#This Row],[av]],10^(Table4[[#This Row],[av]]/10))</f>
        <v>1</v>
      </c>
      <c r="W1657" s="2">
        <f>IF(Table4[[#This Row],[linear?]],Table4[[#This Row],[av]],10^(Table4[[#This Row],[av]]/10))</f>
        <v>1</v>
      </c>
      <c r="X1657" s="2">
        <f>Table4[[#This Row],[av_lin]]-2*Table4[[#This Row],[std_lin]]</f>
        <v>-1</v>
      </c>
      <c r="Y1657" s="2">
        <f>Table4[[#This Row],[av_lin]]+2*Table4[[#This Row],[std_lin]]</f>
        <v>3</v>
      </c>
    </row>
    <row r="1658" spans="1:25" x14ac:dyDescent="0.35">
      <c r="A1658" s="1">
        <v>1048</v>
      </c>
      <c r="B1658" t="s">
        <v>828</v>
      </c>
      <c r="C1658" t="s">
        <v>99</v>
      </c>
      <c r="D1658" t="s">
        <v>109</v>
      </c>
      <c r="E1658" s="2">
        <v>1</v>
      </c>
      <c r="F1658" s="2">
        <v>0</v>
      </c>
      <c r="G1658">
        <v>6</v>
      </c>
      <c r="H1658" t="s">
        <v>19</v>
      </c>
      <c r="M1658" s="2">
        <v>1</v>
      </c>
      <c r="N1658" s="2">
        <v>1</v>
      </c>
      <c r="O1658" s="2">
        <v>0</v>
      </c>
      <c r="P1658" s="2" t="s">
        <v>21</v>
      </c>
      <c r="R1658" t="str">
        <f t="shared" si="75"/>
        <v>no</v>
      </c>
      <c r="S1658" t="str">
        <f t="shared" si="76"/>
        <v>no</v>
      </c>
      <c r="T16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8" s="2" t="b">
        <f t="shared" si="77"/>
        <v>1</v>
      </c>
      <c r="V1658" s="2">
        <f>IF(Table4[[#This Row],[linear?]],Table4[[#This Row],[av]],10^(Table4[[#This Row],[av]]/10))</f>
        <v>1</v>
      </c>
      <c r="W1658" s="2">
        <f>IF(Table4[[#This Row],[linear?]],Table4[[#This Row],[av]],10^(Table4[[#This Row],[av]]/10))</f>
        <v>1</v>
      </c>
      <c r="X1658" s="2">
        <f>Table4[[#This Row],[av_lin]]-2*Table4[[#This Row],[std_lin]]</f>
        <v>-1</v>
      </c>
      <c r="Y1658" s="2">
        <f>Table4[[#This Row],[av_lin]]+2*Table4[[#This Row],[std_lin]]</f>
        <v>3</v>
      </c>
    </row>
    <row r="1659" spans="1:25" x14ac:dyDescent="0.35">
      <c r="A1659" s="1">
        <v>1049</v>
      </c>
      <c r="B1659" t="s">
        <v>828</v>
      </c>
      <c r="C1659" t="s">
        <v>99</v>
      </c>
      <c r="D1659" t="s">
        <v>110</v>
      </c>
      <c r="E1659" s="2">
        <v>1</v>
      </c>
      <c r="F1659" s="2">
        <v>0</v>
      </c>
      <c r="G1659">
        <v>6</v>
      </c>
      <c r="H1659" t="s">
        <v>19</v>
      </c>
      <c r="M1659" s="2">
        <v>1</v>
      </c>
      <c r="N1659" s="2">
        <v>1</v>
      </c>
      <c r="O1659" s="2">
        <v>0</v>
      </c>
      <c r="P1659" s="2" t="s">
        <v>21</v>
      </c>
      <c r="R1659" t="str">
        <f t="shared" si="75"/>
        <v>no</v>
      </c>
      <c r="S1659" t="str">
        <f t="shared" si="76"/>
        <v>no</v>
      </c>
      <c r="T16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9" s="2" t="b">
        <f t="shared" si="77"/>
        <v>1</v>
      </c>
      <c r="V1659" s="2">
        <f>IF(Table4[[#This Row],[linear?]],Table4[[#This Row],[av]],10^(Table4[[#This Row],[av]]/10))</f>
        <v>1</v>
      </c>
      <c r="W1659" s="2">
        <f>IF(Table4[[#This Row],[linear?]],Table4[[#This Row],[av]],10^(Table4[[#This Row],[av]]/10))</f>
        <v>1</v>
      </c>
      <c r="X1659" s="2">
        <f>Table4[[#This Row],[av_lin]]-2*Table4[[#This Row],[std_lin]]</f>
        <v>-1</v>
      </c>
      <c r="Y1659" s="2">
        <f>Table4[[#This Row],[av_lin]]+2*Table4[[#This Row],[std_lin]]</f>
        <v>3</v>
      </c>
    </row>
    <row r="1660" spans="1:25" x14ac:dyDescent="0.35">
      <c r="A1660" s="1">
        <v>1050</v>
      </c>
      <c r="B1660" t="s">
        <v>828</v>
      </c>
      <c r="C1660" t="s">
        <v>99</v>
      </c>
      <c r="D1660" t="s">
        <v>111</v>
      </c>
      <c r="E1660" s="2">
        <v>1</v>
      </c>
      <c r="F1660" s="2">
        <v>0</v>
      </c>
      <c r="G1660">
        <v>6</v>
      </c>
      <c r="H1660" t="s">
        <v>19</v>
      </c>
      <c r="M1660" s="2">
        <v>1</v>
      </c>
      <c r="N1660" s="2">
        <v>1</v>
      </c>
      <c r="O1660" s="2">
        <v>0</v>
      </c>
      <c r="P1660" s="2" t="s">
        <v>21</v>
      </c>
      <c r="R1660" t="str">
        <f t="shared" si="75"/>
        <v>no</v>
      </c>
      <c r="S1660" t="str">
        <f t="shared" si="76"/>
        <v>no</v>
      </c>
      <c r="T16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0" s="2" t="b">
        <f t="shared" si="77"/>
        <v>1</v>
      </c>
      <c r="V1660" s="2">
        <f>IF(Table4[[#This Row],[linear?]],Table4[[#This Row],[av]],10^(Table4[[#This Row],[av]]/10))</f>
        <v>1</v>
      </c>
      <c r="W1660" s="2">
        <f>IF(Table4[[#This Row],[linear?]],Table4[[#This Row],[av]],10^(Table4[[#This Row],[av]]/10))</f>
        <v>1</v>
      </c>
      <c r="X1660" s="2">
        <f>Table4[[#This Row],[av_lin]]-2*Table4[[#This Row],[std_lin]]</f>
        <v>-1</v>
      </c>
      <c r="Y1660" s="2">
        <f>Table4[[#This Row],[av_lin]]+2*Table4[[#This Row],[std_lin]]</f>
        <v>3</v>
      </c>
    </row>
    <row r="1661" spans="1:25" x14ac:dyDescent="0.35">
      <c r="A1661" s="1">
        <v>1051</v>
      </c>
      <c r="B1661" t="s">
        <v>828</v>
      </c>
      <c r="C1661" t="s">
        <v>99</v>
      </c>
      <c r="D1661" t="s">
        <v>112</v>
      </c>
      <c r="E1661" s="2">
        <v>39.677777777777777</v>
      </c>
      <c r="F1661" s="2">
        <v>6.2194764183722793</v>
      </c>
      <c r="G1661">
        <v>6</v>
      </c>
      <c r="H1661" t="s">
        <v>19</v>
      </c>
      <c r="M1661" s="2">
        <v>52.116730614522339</v>
      </c>
      <c r="N1661" s="2">
        <v>27.238824941033219</v>
      </c>
      <c r="O1661" s="2">
        <v>24.877905673489121</v>
      </c>
      <c r="P1661" s="2">
        <v>6.3796009677872512</v>
      </c>
      <c r="R1661" t="str">
        <f t="shared" si="75"/>
        <v>no</v>
      </c>
      <c r="S1661" t="str">
        <f t="shared" si="76"/>
        <v>no</v>
      </c>
      <c r="T16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1" s="2" t="b">
        <f t="shared" si="77"/>
        <v>1</v>
      </c>
      <c r="V1661" s="2">
        <f>IF(Table4[[#This Row],[linear?]],Table4[[#This Row],[av]],10^(Table4[[#This Row],[av]]/10))</f>
        <v>39.677777777777777</v>
      </c>
      <c r="W1661" s="2">
        <f>IF(Table4[[#This Row],[linear?]],Table4[[#This Row],[av]],10^(Table4[[#This Row],[av]]/10))</f>
        <v>39.677777777777777</v>
      </c>
      <c r="X1661" s="2">
        <f>Table4[[#This Row],[av_lin]]-2*Table4[[#This Row],[std_lin]]</f>
        <v>-39.677777777777777</v>
      </c>
      <c r="Y1661" s="2">
        <f>Table4[[#This Row],[av_lin]]+2*Table4[[#This Row],[std_lin]]</f>
        <v>119.03333333333333</v>
      </c>
    </row>
    <row r="1662" spans="1:25" x14ac:dyDescent="0.35">
      <c r="A1662" s="1">
        <v>1052</v>
      </c>
      <c r="B1662" t="s">
        <v>828</v>
      </c>
      <c r="C1662" t="s">
        <v>99</v>
      </c>
      <c r="D1662" t="s">
        <v>113</v>
      </c>
      <c r="E1662" s="2">
        <v>40.666666666666657</v>
      </c>
      <c r="F1662" s="2">
        <v>3.8346874172037011</v>
      </c>
      <c r="G1662">
        <v>6</v>
      </c>
      <c r="H1662" t="s">
        <v>19</v>
      </c>
      <c r="M1662" s="2">
        <v>48.336041501074057</v>
      </c>
      <c r="N1662" s="2">
        <v>32.997291832259258</v>
      </c>
      <c r="O1662" s="2">
        <v>15.338749668814801</v>
      </c>
      <c r="P1662" s="2">
        <v>10.60494956752466</v>
      </c>
      <c r="R1662" t="str">
        <f t="shared" si="75"/>
        <v>no</v>
      </c>
      <c r="S1662" t="str">
        <f t="shared" si="76"/>
        <v>no</v>
      </c>
      <c r="T16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2" s="2" t="b">
        <f t="shared" si="77"/>
        <v>1</v>
      </c>
      <c r="V1662" s="2">
        <f>IF(Table4[[#This Row],[linear?]],Table4[[#This Row],[av]],10^(Table4[[#This Row],[av]]/10))</f>
        <v>40.666666666666657</v>
      </c>
      <c r="W1662" s="2">
        <f>IF(Table4[[#This Row],[linear?]],Table4[[#This Row],[av]],10^(Table4[[#This Row],[av]]/10))</f>
        <v>40.666666666666657</v>
      </c>
      <c r="X1662" s="2">
        <f>Table4[[#This Row],[av_lin]]-2*Table4[[#This Row],[std_lin]]</f>
        <v>-40.666666666666657</v>
      </c>
      <c r="Y1662" s="2">
        <f>Table4[[#This Row],[av_lin]]+2*Table4[[#This Row],[std_lin]]</f>
        <v>121.99999999999997</v>
      </c>
    </row>
    <row r="1663" spans="1:25" x14ac:dyDescent="0.35">
      <c r="A1663" s="1">
        <v>1053</v>
      </c>
      <c r="B1663" t="s">
        <v>828</v>
      </c>
      <c r="C1663" t="s">
        <v>99</v>
      </c>
      <c r="D1663" t="s">
        <v>114</v>
      </c>
      <c r="G1663">
        <v>6</v>
      </c>
      <c r="H1663" t="s">
        <v>19</v>
      </c>
      <c r="R1663" t="str">
        <f t="shared" si="75"/>
        <v>no</v>
      </c>
      <c r="S1663" t="str">
        <f t="shared" si="76"/>
        <v>no</v>
      </c>
      <c r="T16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3" s="2" t="b">
        <f t="shared" si="77"/>
        <v>1</v>
      </c>
      <c r="V1663" s="2">
        <f>IF(Table4[[#This Row],[linear?]],Table4[[#This Row],[av]],10^(Table4[[#This Row],[av]]/10))</f>
        <v>0</v>
      </c>
      <c r="W1663" s="2">
        <f>IF(Table4[[#This Row],[linear?]],Table4[[#This Row],[av]],10^(Table4[[#This Row],[av]]/10))</f>
        <v>0</v>
      </c>
      <c r="X1663" s="2">
        <f>Table4[[#This Row],[av_lin]]-2*Table4[[#This Row],[std_lin]]</f>
        <v>0</v>
      </c>
      <c r="Y1663" s="2">
        <f>Table4[[#This Row],[av_lin]]+2*Table4[[#This Row],[std_lin]]</f>
        <v>0</v>
      </c>
    </row>
    <row r="1664" spans="1:25" x14ac:dyDescent="0.35">
      <c r="A1664" s="1">
        <v>1054</v>
      </c>
      <c r="B1664" t="s">
        <v>828</v>
      </c>
      <c r="C1664" t="s">
        <v>99</v>
      </c>
      <c r="D1664" t="s">
        <v>115</v>
      </c>
      <c r="E1664" s="2">
        <v>1</v>
      </c>
      <c r="F1664" s="2">
        <v>0</v>
      </c>
      <c r="G1664">
        <v>6</v>
      </c>
      <c r="H1664" t="s">
        <v>19</v>
      </c>
      <c r="M1664" s="2">
        <v>1</v>
      </c>
      <c r="N1664" s="2">
        <v>1</v>
      </c>
      <c r="O1664" s="2">
        <v>0</v>
      </c>
      <c r="P1664" s="2" t="s">
        <v>21</v>
      </c>
      <c r="R1664" t="str">
        <f t="shared" si="75"/>
        <v>no</v>
      </c>
      <c r="S1664" t="str">
        <f t="shared" si="76"/>
        <v>no</v>
      </c>
      <c r="T16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4" s="2" t="b">
        <f t="shared" si="77"/>
        <v>1</v>
      </c>
      <c r="V1664" s="2">
        <f>IF(Table4[[#This Row],[linear?]],Table4[[#This Row],[av]],10^(Table4[[#This Row],[av]]/10))</f>
        <v>1</v>
      </c>
      <c r="W1664" s="2">
        <f>IF(Table4[[#This Row],[linear?]],Table4[[#This Row],[av]],10^(Table4[[#This Row],[av]]/10))</f>
        <v>1</v>
      </c>
      <c r="X1664" s="2">
        <f>Table4[[#This Row],[av_lin]]-2*Table4[[#This Row],[std_lin]]</f>
        <v>-1</v>
      </c>
      <c r="Y1664" s="2">
        <f>Table4[[#This Row],[av_lin]]+2*Table4[[#This Row],[std_lin]]</f>
        <v>3</v>
      </c>
    </row>
    <row r="1665" spans="1:25" x14ac:dyDescent="0.35">
      <c r="A1665" s="1">
        <v>1055</v>
      </c>
      <c r="B1665" t="s">
        <v>828</v>
      </c>
      <c r="C1665" t="s">
        <v>99</v>
      </c>
      <c r="D1665" t="s">
        <v>116</v>
      </c>
      <c r="E1665" s="2">
        <v>1</v>
      </c>
      <c r="F1665" s="2">
        <v>0</v>
      </c>
      <c r="G1665">
        <v>6</v>
      </c>
      <c r="H1665" t="s">
        <v>19</v>
      </c>
      <c r="M1665" s="2">
        <v>1</v>
      </c>
      <c r="N1665" s="2">
        <v>1</v>
      </c>
      <c r="O1665" s="2">
        <v>0</v>
      </c>
      <c r="P1665" s="2" t="s">
        <v>21</v>
      </c>
      <c r="R1665" t="str">
        <f t="shared" si="75"/>
        <v>no</v>
      </c>
      <c r="S1665" t="str">
        <f t="shared" si="76"/>
        <v>no</v>
      </c>
      <c r="T16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5" s="2" t="b">
        <f t="shared" si="77"/>
        <v>1</v>
      </c>
      <c r="V1665" s="2">
        <f>IF(Table4[[#This Row],[linear?]],Table4[[#This Row],[av]],10^(Table4[[#This Row],[av]]/10))</f>
        <v>1</v>
      </c>
      <c r="W1665" s="2">
        <f>IF(Table4[[#This Row],[linear?]],Table4[[#This Row],[av]],10^(Table4[[#This Row],[av]]/10))</f>
        <v>1</v>
      </c>
      <c r="X1665" s="2">
        <f>Table4[[#This Row],[av_lin]]-2*Table4[[#This Row],[std_lin]]</f>
        <v>-1</v>
      </c>
      <c r="Y1665" s="2">
        <f>Table4[[#This Row],[av_lin]]+2*Table4[[#This Row],[std_lin]]</f>
        <v>3</v>
      </c>
    </row>
    <row r="1666" spans="1:25" x14ac:dyDescent="0.35">
      <c r="A1666" s="1">
        <v>1056</v>
      </c>
      <c r="B1666" t="s">
        <v>828</v>
      </c>
      <c r="C1666" t="s">
        <v>99</v>
      </c>
      <c r="D1666" t="s">
        <v>117</v>
      </c>
      <c r="E1666" s="2">
        <v>1</v>
      </c>
      <c r="F1666" s="2">
        <v>0</v>
      </c>
      <c r="G1666">
        <v>6</v>
      </c>
      <c r="H1666" t="s">
        <v>19</v>
      </c>
      <c r="M1666" s="2">
        <v>1</v>
      </c>
      <c r="N1666" s="2">
        <v>1</v>
      </c>
      <c r="O1666" s="2">
        <v>0</v>
      </c>
      <c r="P1666" s="2" t="s">
        <v>21</v>
      </c>
      <c r="R1666" t="str">
        <f t="shared" ref="R1666:R1729" si="78">IF(H1666="yes","yes","no")</f>
        <v>no</v>
      </c>
      <c r="S1666" t="str">
        <f t="shared" ref="S1666:S1729" si="79">IF(I1666,"yes","no")</f>
        <v>no</v>
      </c>
      <c r="T16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6" s="2" t="b">
        <f t="shared" ref="U1666:U1729" si="80">NOT(ISNUMBER(SEARCH("RFIC*POWER", D1666)))</f>
        <v>1</v>
      </c>
      <c r="V1666" s="2">
        <f>IF(Table4[[#This Row],[linear?]],Table4[[#This Row],[av]],10^(Table4[[#This Row],[av]]/10))</f>
        <v>1</v>
      </c>
      <c r="W1666" s="2">
        <f>IF(Table4[[#This Row],[linear?]],Table4[[#This Row],[av]],10^(Table4[[#This Row],[av]]/10))</f>
        <v>1</v>
      </c>
      <c r="X1666" s="2">
        <f>Table4[[#This Row],[av_lin]]-2*Table4[[#This Row],[std_lin]]</f>
        <v>-1</v>
      </c>
      <c r="Y1666" s="2">
        <f>Table4[[#This Row],[av_lin]]+2*Table4[[#This Row],[std_lin]]</f>
        <v>3</v>
      </c>
    </row>
    <row r="1667" spans="1:25" x14ac:dyDescent="0.35">
      <c r="A1667" s="1">
        <v>1057</v>
      </c>
      <c r="B1667" t="s">
        <v>828</v>
      </c>
      <c r="C1667" t="s">
        <v>99</v>
      </c>
      <c r="D1667" t="s">
        <v>118</v>
      </c>
      <c r="E1667" s="2">
        <v>1</v>
      </c>
      <c r="F1667" s="2">
        <v>0</v>
      </c>
      <c r="G1667">
        <v>6</v>
      </c>
      <c r="H1667" t="s">
        <v>19</v>
      </c>
      <c r="M1667" s="2">
        <v>1</v>
      </c>
      <c r="N1667" s="2">
        <v>1</v>
      </c>
      <c r="O1667" s="2">
        <v>0</v>
      </c>
      <c r="P1667" s="2" t="s">
        <v>21</v>
      </c>
      <c r="R1667" t="str">
        <f t="shared" si="78"/>
        <v>no</v>
      </c>
      <c r="S1667" t="str">
        <f t="shared" si="79"/>
        <v>no</v>
      </c>
      <c r="T16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7" s="2" t="b">
        <f t="shared" si="80"/>
        <v>1</v>
      </c>
      <c r="V1667" s="2">
        <f>IF(Table4[[#This Row],[linear?]],Table4[[#This Row],[av]],10^(Table4[[#This Row],[av]]/10))</f>
        <v>1</v>
      </c>
      <c r="W1667" s="2">
        <f>IF(Table4[[#This Row],[linear?]],Table4[[#This Row],[av]],10^(Table4[[#This Row],[av]]/10))</f>
        <v>1</v>
      </c>
      <c r="X1667" s="2">
        <f>Table4[[#This Row],[av_lin]]-2*Table4[[#This Row],[std_lin]]</f>
        <v>-1</v>
      </c>
      <c r="Y1667" s="2">
        <f>Table4[[#This Row],[av_lin]]+2*Table4[[#This Row],[std_lin]]</f>
        <v>3</v>
      </c>
    </row>
    <row r="1668" spans="1:25" x14ac:dyDescent="0.35">
      <c r="A1668" s="1">
        <v>1058</v>
      </c>
      <c r="B1668" t="s">
        <v>828</v>
      </c>
      <c r="C1668" t="s">
        <v>99</v>
      </c>
      <c r="D1668" t="s">
        <v>119</v>
      </c>
      <c r="E1668" s="2">
        <v>47.577777777777783</v>
      </c>
      <c r="F1668" s="2">
        <v>4.0431462923907411</v>
      </c>
      <c r="G1668">
        <v>6</v>
      </c>
      <c r="H1668" t="s">
        <v>19</v>
      </c>
      <c r="M1668" s="2">
        <v>55.664070362559258</v>
      </c>
      <c r="N1668" s="2">
        <v>39.491485192996301</v>
      </c>
      <c r="O1668" s="2">
        <v>16.172585169562961</v>
      </c>
      <c r="P1668" s="2">
        <v>11.76751330203407</v>
      </c>
      <c r="R1668" t="str">
        <f t="shared" si="78"/>
        <v>no</v>
      </c>
      <c r="S1668" t="str">
        <f t="shared" si="79"/>
        <v>no</v>
      </c>
      <c r="T16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8" s="2" t="b">
        <f t="shared" si="80"/>
        <v>1</v>
      </c>
      <c r="V1668" s="2">
        <f>IF(Table4[[#This Row],[linear?]],Table4[[#This Row],[av]],10^(Table4[[#This Row],[av]]/10))</f>
        <v>47.577777777777783</v>
      </c>
      <c r="W1668" s="2">
        <f>IF(Table4[[#This Row],[linear?]],Table4[[#This Row],[av]],10^(Table4[[#This Row],[av]]/10))</f>
        <v>47.577777777777783</v>
      </c>
      <c r="X1668" s="2">
        <f>Table4[[#This Row],[av_lin]]-2*Table4[[#This Row],[std_lin]]</f>
        <v>-47.577777777777783</v>
      </c>
      <c r="Y1668" s="2">
        <f>Table4[[#This Row],[av_lin]]+2*Table4[[#This Row],[std_lin]]</f>
        <v>142.73333333333335</v>
      </c>
    </row>
    <row r="1669" spans="1:25" x14ac:dyDescent="0.35">
      <c r="A1669" s="1">
        <v>1059</v>
      </c>
      <c r="B1669" t="s">
        <v>828</v>
      </c>
      <c r="C1669" t="s">
        <v>99</v>
      </c>
      <c r="D1669" t="s">
        <v>120</v>
      </c>
      <c r="E1669" s="2">
        <v>43.533333333333331</v>
      </c>
      <c r="F1669" s="2">
        <v>4.6759668444820583</v>
      </c>
      <c r="G1669">
        <v>6</v>
      </c>
      <c r="H1669" t="s">
        <v>19</v>
      </c>
      <c r="M1669" s="2">
        <v>52.885267022297448</v>
      </c>
      <c r="N1669" s="2">
        <v>34.181399644369208</v>
      </c>
      <c r="O1669" s="2">
        <v>18.70386737792823</v>
      </c>
      <c r="P1669" s="2">
        <v>9.3100175388765773</v>
      </c>
      <c r="R1669" t="str">
        <f t="shared" si="78"/>
        <v>no</v>
      </c>
      <c r="S1669" t="str">
        <f t="shared" si="79"/>
        <v>no</v>
      </c>
      <c r="T16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9" s="2" t="b">
        <f t="shared" si="80"/>
        <v>1</v>
      </c>
      <c r="V1669" s="2">
        <f>IF(Table4[[#This Row],[linear?]],Table4[[#This Row],[av]],10^(Table4[[#This Row],[av]]/10))</f>
        <v>43.533333333333331</v>
      </c>
      <c r="W1669" s="2">
        <f>IF(Table4[[#This Row],[linear?]],Table4[[#This Row],[av]],10^(Table4[[#This Row],[av]]/10))</f>
        <v>43.533333333333331</v>
      </c>
      <c r="X1669" s="2">
        <f>Table4[[#This Row],[av_lin]]-2*Table4[[#This Row],[std_lin]]</f>
        <v>-43.533333333333331</v>
      </c>
      <c r="Y1669" s="2">
        <f>Table4[[#This Row],[av_lin]]+2*Table4[[#This Row],[std_lin]]</f>
        <v>130.6</v>
      </c>
    </row>
    <row r="1670" spans="1:25" x14ac:dyDescent="0.35">
      <c r="A1670" s="1">
        <v>1060</v>
      </c>
      <c r="B1670" t="s">
        <v>828</v>
      </c>
      <c r="C1670" t="s">
        <v>99</v>
      </c>
      <c r="D1670" t="s">
        <v>121</v>
      </c>
      <c r="G1670">
        <v>6</v>
      </c>
      <c r="H1670" t="s">
        <v>19</v>
      </c>
      <c r="R1670" t="str">
        <f t="shared" si="78"/>
        <v>no</v>
      </c>
      <c r="S1670" t="str">
        <f t="shared" si="79"/>
        <v>no</v>
      </c>
      <c r="T16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0" s="2" t="b">
        <f t="shared" si="80"/>
        <v>1</v>
      </c>
      <c r="V1670" s="2">
        <f>IF(Table4[[#This Row],[linear?]],Table4[[#This Row],[av]],10^(Table4[[#This Row],[av]]/10))</f>
        <v>0</v>
      </c>
      <c r="W1670" s="2">
        <f>IF(Table4[[#This Row],[linear?]],Table4[[#This Row],[av]],10^(Table4[[#This Row],[av]]/10))</f>
        <v>0</v>
      </c>
      <c r="X1670" s="2">
        <f>Table4[[#This Row],[av_lin]]-2*Table4[[#This Row],[std_lin]]</f>
        <v>0</v>
      </c>
      <c r="Y1670" s="2">
        <f>Table4[[#This Row],[av_lin]]+2*Table4[[#This Row],[std_lin]]</f>
        <v>0</v>
      </c>
    </row>
    <row r="1671" spans="1:25" x14ac:dyDescent="0.35">
      <c r="A1671" s="1">
        <v>1061</v>
      </c>
      <c r="B1671" t="s">
        <v>828</v>
      </c>
      <c r="C1671" t="s">
        <v>99</v>
      </c>
      <c r="D1671" t="s">
        <v>122</v>
      </c>
      <c r="E1671" s="2">
        <v>1</v>
      </c>
      <c r="F1671" s="2">
        <v>0</v>
      </c>
      <c r="G1671">
        <v>6</v>
      </c>
      <c r="H1671" t="s">
        <v>19</v>
      </c>
      <c r="M1671" s="2">
        <v>1</v>
      </c>
      <c r="N1671" s="2">
        <v>1</v>
      </c>
      <c r="O1671" s="2">
        <v>0</v>
      </c>
      <c r="P1671" s="2" t="s">
        <v>21</v>
      </c>
      <c r="R1671" t="str">
        <f t="shared" si="78"/>
        <v>no</v>
      </c>
      <c r="S1671" t="str">
        <f t="shared" si="79"/>
        <v>no</v>
      </c>
      <c r="T16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1" s="2" t="b">
        <f t="shared" si="80"/>
        <v>1</v>
      </c>
      <c r="V1671" s="2">
        <f>IF(Table4[[#This Row],[linear?]],Table4[[#This Row],[av]],10^(Table4[[#This Row],[av]]/10))</f>
        <v>1</v>
      </c>
      <c r="W1671" s="2">
        <f>IF(Table4[[#This Row],[linear?]],Table4[[#This Row],[av]],10^(Table4[[#This Row],[av]]/10))</f>
        <v>1</v>
      </c>
      <c r="X1671" s="2">
        <f>Table4[[#This Row],[av_lin]]-2*Table4[[#This Row],[std_lin]]</f>
        <v>-1</v>
      </c>
      <c r="Y1671" s="2">
        <f>Table4[[#This Row],[av_lin]]+2*Table4[[#This Row],[std_lin]]</f>
        <v>3</v>
      </c>
    </row>
    <row r="1672" spans="1:25" x14ac:dyDescent="0.35">
      <c r="A1672" s="1">
        <v>1062</v>
      </c>
      <c r="B1672" t="s">
        <v>828</v>
      </c>
      <c r="C1672" t="s">
        <v>99</v>
      </c>
      <c r="D1672" t="s">
        <v>123</v>
      </c>
      <c r="E1672" s="2">
        <v>1</v>
      </c>
      <c r="F1672" s="2">
        <v>0</v>
      </c>
      <c r="G1672">
        <v>6</v>
      </c>
      <c r="H1672" t="s">
        <v>19</v>
      </c>
      <c r="M1672" s="2">
        <v>1</v>
      </c>
      <c r="N1672" s="2">
        <v>1</v>
      </c>
      <c r="O1672" s="2">
        <v>0</v>
      </c>
      <c r="P1672" s="2" t="s">
        <v>21</v>
      </c>
      <c r="R1672" t="str">
        <f t="shared" si="78"/>
        <v>no</v>
      </c>
      <c r="S1672" t="str">
        <f t="shared" si="79"/>
        <v>no</v>
      </c>
      <c r="T16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2" s="2" t="b">
        <f t="shared" si="80"/>
        <v>1</v>
      </c>
      <c r="V1672" s="2">
        <f>IF(Table4[[#This Row],[linear?]],Table4[[#This Row],[av]],10^(Table4[[#This Row],[av]]/10))</f>
        <v>1</v>
      </c>
      <c r="W1672" s="2">
        <f>IF(Table4[[#This Row],[linear?]],Table4[[#This Row],[av]],10^(Table4[[#This Row],[av]]/10))</f>
        <v>1</v>
      </c>
      <c r="X1672" s="2">
        <f>Table4[[#This Row],[av_lin]]-2*Table4[[#This Row],[std_lin]]</f>
        <v>-1</v>
      </c>
      <c r="Y1672" s="2">
        <f>Table4[[#This Row],[av_lin]]+2*Table4[[#This Row],[std_lin]]</f>
        <v>3</v>
      </c>
    </row>
    <row r="1673" spans="1:25" x14ac:dyDescent="0.35">
      <c r="A1673" s="1">
        <v>1063</v>
      </c>
      <c r="B1673" t="s">
        <v>828</v>
      </c>
      <c r="C1673" t="s">
        <v>99</v>
      </c>
      <c r="D1673" t="s">
        <v>124</v>
      </c>
      <c r="E1673" s="2">
        <v>1</v>
      </c>
      <c r="F1673" s="2">
        <v>0</v>
      </c>
      <c r="G1673">
        <v>6</v>
      </c>
      <c r="H1673" t="s">
        <v>19</v>
      </c>
      <c r="M1673" s="2">
        <v>1</v>
      </c>
      <c r="N1673" s="2">
        <v>1</v>
      </c>
      <c r="O1673" s="2">
        <v>0</v>
      </c>
      <c r="P1673" s="2" t="s">
        <v>21</v>
      </c>
      <c r="R1673" t="str">
        <f t="shared" si="78"/>
        <v>no</v>
      </c>
      <c r="S1673" t="str">
        <f t="shared" si="79"/>
        <v>no</v>
      </c>
      <c r="T16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3" s="2" t="b">
        <f t="shared" si="80"/>
        <v>1</v>
      </c>
      <c r="V1673" s="2">
        <f>IF(Table4[[#This Row],[linear?]],Table4[[#This Row],[av]],10^(Table4[[#This Row],[av]]/10))</f>
        <v>1</v>
      </c>
      <c r="W1673" s="2">
        <f>IF(Table4[[#This Row],[linear?]],Table4[[#This Row],[av]],10^(Table4[[#This Row],[av]]/10))</f>
        <v>1</v>
      </c>
      <c r="X1673" s="2">
        <f>Table4[[#This Row],[av_lin]]-2*Table4[[#This Row],[std_lin]]</f>
        <v>-1</v>
      </c>
      <c r="Y1673" s="2">
        <f>Table4[[#This Row],[av_lin]]+2*Table4[[#This Row],[std_lin]]</f>
        <v>3</v>
      </c>
    </row>
    <row r="1674" spans="1:25" x14ac:dyDescent="0.35">
      <c r="A1674" s="1">
        <v>1064</v>
      </c>
      <c r="B1674" t="s">
        <v>828</v>
      </c>
      <c r="C1674" t="s">
        <v>99</v>
      </c>
      <c r="D1674" t="s">
        <v>125</v>
      </c>
      <c r="E1674" s="2">
        <v>1</v>
      </c>
      <c r="F1674" s="2">
        <v>0</v>
      </c>
      <c r="G1674">
        <v>6</v>
      </c>
      <c r="H1674" t="s">
        <v>19</v>
      </c>
      <c r="M1674" s="2">
        <v>1</v>
      </c>
      <c r="N1674" s="2">
        <v>1</v>
      </c>
      <c r="O1674" s="2">
        <v>0</v>
      </c>
      <c r="P1674" s="2" t="s">
        <v>21</v>
      </c>
      <c r="R1674" t="str">
        <f t="shared" si="78"/>
        <v>no</v>
      </c>
      <c r="S1674" t="str">
        <f t="shared" si="79"/>
        <v>no</v>
      </c>
      <c r="T16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4" s="2" t="b">
        <f t="shared" si="80"/>
        <v>1</v>
      </c>
      <c r="V1674" s="2">
        <f>IF(Table4[[#This Row],[linear?]],Table4[[#This Row],[av]],10^(Table4[[#This Row],[av]]/10))</f>
        <v>1</v>
      </c>
      <c r="W1674" s="2">
        <f>IF(Table4[[#This Row],[linear?]],Table4[[#This Row],[av]],10^(Table4[[#This Row],[av]]/10))</f>
        <v>1</v>
      </c>
      <c r="X1674" s="2">
        <f>Table4[[#This Row],[av_lin]]-2*Table4[[#This Row],[std_lin]]</f>
        <v>-1</v>
      </c>
      <c r="Y1674" s="2">
        <f>Table4[[#This Row],[av_lin]]+2*Table4[[#This Row],[std_lin]]</f>
        <v>3</v>
      </c>
    </row>
    <row r="1675" spans="1:25" x14ac:dyDescent="0.35">
      <c r="A1675" s="1">
        <v>1065</v>
      </c>
      <c r="B1675" t="s">
        <v>828</v>
      </c>
      <c r="C1675" t="s">
        <v>99</v>
      </c>
      <c r="D1675" t="s">
        <v>126</v>
      </c>
      <c r="E1675" s="2">
        <v>44.261111111111113</v>
      </c>
      <c r="F1675" s="2">
        <v>2.65105579523278</v>
      </c>
      <c r="G1675">
        <v>6</v>
      </c>
      <c r="H1675" t="s">
        <v>19</v>
      </c>
      <c r="M1675" s="2">
        <v>49.56322270157667</v>
      </c>
      <c r="N1675" s="2">
        <v>38.958999520645563</v>
      </c>
      <c r="O1675" s="2">
        <v>10.604223180931109</v>
      </c>
      <c r="P1675" s="2">
        <v>16.695654309012649</v>
      </c>
      <c r="R1675" t="str">
        <f t="shared" si="78"/>
        <v>no</v>
      </c>
      <c r="S1675" t="str">
        <f t="shared" si="79"/>
        <v>no</v>
      </c>
      <c r="T16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5" s="2" t="b">
        <f t="shared" si="80"/>
        <v>1</v>
      </c>
      <c r="V1675" s="2">
        <f>IF(Table4[[#This Row],[linear?]],Table4[[#This Row],[av]],10^(Table4[[#This Row],[av]]/10))</f>
        <v>44.261111111111113</v>
      </c>
      <c r="W1675" s="2">
        <f>IF(Table4[[#This Row],[linear?]],Table4[[#This Row],[av]],10^(Table4[[#This Row],[av]]/10))</f>
        <v>44.261111111111113</v>
      </c>
      <c r="X1675" s="2">
        <f>Table4[[#This Row],[av_lin]]-2*Table4[[#This Row],[std_lin]]</f>
        <v>-44.261111111111113</v>
      </c>
      <c r="Y1675" s="2">
        <f>Table4[[#This Row],[av_lin]]+2*Table4[[#This Row],[std_lin]]</f>
        <v>132.78333333333333</v>
      </c>
    </row>
    <row r="1676" spans="1:25" x14ac:dyDescent="0.35">
      <c r="A1676" s="1">
        <v>1066</v>
      </c>
      <c r="B1676" t="s">
        <v>828</v>
      </c>
      <c r="C1676" t="s">
        <v>99</v>
      </c>
      <c r="D1676" t="s">
        <v>127</v>
      </c>
      <c r="E1676" s="2">
        <v>38.572222222222223</v>
      </c>
      <c r="F1676" s="2">
        <v>4.2630098426588701</v>
      </c>
      <c r="G1676">
        <v>6</v>
      </c>
      <c r="H1676" t="s">
        <v>19</v>
      </c>
      <c r="M1676" s="2">
        <v>47.098241907539958</v>
      </c>
      <c r="N1676" s="2">
        <v>30.046202536904481</v>
      </c>
      <c r="O1676" s="2">
        <v>17.05203937063548</v>
      </c>
      <c r="P1676" s="2">
        <v>9.0481194381114651</v>
      </c>
      <c r="R1676" t="str">
        <f t="shared" si="78"/>
        <v>no</v>
      </c>
      <c r="S1676" t="str">
        <f t="shared" si="79"/>
        <v>no</v>
      </c>
      <c r="T16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6" s="2" t="b">
        <f t="shared" si="80"/>
        <v>1</v>
      </c>
      <c r="V1676" s="2">
        <f>IF(Table4[[#This Row],[linear?]],Table4[[#This Row],[av]],10^(Table4[[#This Row],[av]]/10))</f>
        <v>38.572222222222223</v>
      </c>
      <c r="W1676" s="2">
        <f>IF(Table4[[#This Row],[linear?]],Table4[[#This Row],[av]],10^(Table4[[#This Row],[av]]/10))</f>
        <v>38.572222222222223</v>
      </c>
      <c r="X1676" s="2">
        <f>Table4[[#This Row],[av_lin]]-2*Table4[[#This Row],[std_lin]]</f>
        <v>-38.572222222222223</v>
      </c>
      <c r="Y1676" s="2">
        <f>Table4[[#This Row],[av_lin]]+2*Table4[[#This Row],[std_lin]]</f>
        <v>115.71666666666667</v>
      </c>
    </row>
    <row r="1677" spans="1:25" x14ac:dyDescent="0.35">
      <c r="A1677" s="1">
        <v>1067</v>
      </c>
      <c r="B1677" t="s">
        <v>828</v>
      </c>
      <c r="C1677" t="s">
        <v>99</v>
      </c>
      <c r="D1677" t="s">
        <v>128</v>
      </c>
      <c r="G1677">
        <v>6</v>
      </c>
      <c r="H1677" t="s">
        <v>19</v>
      </c>
      <c r="R1677" t="str">
        <f t="shared" si="78"/>
        <v>no</v>
      </c>
      <c r="S1677" t="str">
        <f t="shared" si="79"/>
        <v>no</v>
      </c>
      <c r="T16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7" s="2" t="b">
        <f t="shared" si="80"/>
        <v>1</v>
      </c>
      <c r="V1677" s="2">
        <f>IF(Table4[[#This Row],[linear?]],Table4[[#This Row],[av]],10^(Table4[[#This Row],[av]]/10))</f>
        <v>0</v>
      </c>
      <c r="W1677" s="2">
        <f>IF(Table4[[#This Row],[linear?]],Table4[[#This Row],[av]],10^(Table4[[#This Row],[av]]/10))</f>
        <v>0</v>
      </c>
      <c r="X1677" s="2">
        <f>Table4[[#This Row],[av_lin]]-2*Table4[[#This Row],[std_lin]]</f>
        <v>0</v>
      </c>
      <c r="Y1677" s="2">
        <f>Table4[[#This Row],[av_lin]]+2*Table4[[#This Row],[std_lin]]</f>
        <v>0</v>
      </c>
    </row>
    <row r="1678" spans="1:25" x14ac:dyDescent="0.35">
      <c r="A1678" s="1">
        <v>1068</v>
      </c>
      <c r="B1678" t="s">
        <v>828</v>
      </c>
      <c r="C1678" t="s">
        <v>99</v>
      </c>
      <c r="D1678" t="s">
        <v>129</v>
      </c>
      <c r="E1678" s="2">
        <v>1</v>
      </c>
      <c r="F1678" s="2">
        <v>0</v>
      </c>
      <c r="G1678">
        <v>6</v>
      </c>
      <c r="H1678" t="s">
        <v>19</v>
      </c>
      <c r="M1678" s="2">
        <v>1</v>
      </c>
      <c r="N1678" s="2">
        <v>1</v>
      </c>
      <c r="O1678" s="2">
        <v>0</v>
      </c>
      <c r="P1678" s="2" t="s">
        <v>21</v>
      </c>
      <c r="R1678" t="str">
        <f t="shared" si="78"/>
        <v>no</v>
      </c>
      <c r="S1678" t="str">
        <f t="shared" si="79"/>
        <v>no</v>
      </c>
      <c r="T16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8" s="2" t="b">
        <f t="shared" si="80"/>
        <v>1</v>
      </c>
      <c r="V1678" s="2">
        <f>IF(Table4[[#This Row],[linear?]],Table4[[#This Row],[av]],10^(Table4[[#This Row],[av]]/10))</f>
        <v>1</v>
      </c>
      <c r="W1678" s="2">
        <f>IF(Table4[[#This Row],[linear?]],Table4[[#This Row],[av]],10^(Table4[[#This Row],[av]]/10))</f>
        <v>1</v>
      </c>
      <c r="X1678" s="2">
        <f>Table4[[#This Row],[av_lin]]-2*Table4[[#This Row],[std_lin]]</f>
        <v>-1</v>
      </c>
      <c r="Y1678" s="2">
        <f>Table4[[#This Row],[av_lin]]+2*Table4[[#This Row],[std_lin]]</f>
        <v>3</v>
      </c>
    </row>
    <row r="1679" spans="1:25" x14ac:dyDescent="0.35">
      <c r="A1679" s="1">
        <v>1069</v>
      </c>
      <c r="B1679" t="s">
        <v>828</v>
      </c>
      <c r="C1679" t="s">
        <v>99</v>
      </c>
      <c r="D1679" t="s">
        <v>130</v>
      </c>
      <c r="E1679" s="2">
        <v>1</v>
      </c>
      <c r="F1679" s="2">
        <v>0</v>
      </c>
      <c r="G1679">
        <v>6</v>
      </c>
      <c r="H1679" t="s">
        <v>19</v>
      </c>
      <c r="M1679" s="2">
        <v>1</v>
      </c>
      <c r="N1679" s="2">
        <v>1</v>
      </c>
      <c r="O1679" s="2">
        <v>0</v>
      </c>
      <c r="P1679" s="2" t="s">
        <v>21</v>
      </c>
      <c r="R1679" t="str">
        <f t="shared" si="78"/>
        <v>no</v>
      </c>
      <c r="S1679" t="str">
        <f t="shared" si="79"/>
        <v>no</v>
      </c>
      <c r="T16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9" s="2" t="b">
        <f t="shared" si="80"/>
        <v>1</v>
      </c>
      <c r="V1679" s="2">
        <f>IF(Table4[[#This Row],[linear?]],Table4[[#This Row],[av]],10^(Table4[[#This Row],[av]]/10))</f>
        <v>1</v>
      </c>
      <c r="W1679" s="2">
        <f>IF(Table4[[#This Row],[linear?]],Table4[[#This Row],[av]],10^(Table4[[#This Row],[av]]/10))</f>
        <v>1</v>
      </c>
      <c r="X1679" s="2">
        <f>Table4[[#This Row],[av_lin]]-2*Table4[[#This Row],[std_lin]]</f>
        <v>-1</v>
      </c>
      <c r="Y1679" s="2">
        <f>Table4[[#This Row],[av_lin]]+2*Table4[[#This Row],[std_lin]]</f>
        <v>3</v>
      </c>
    </row>
    <row r="1680" spans="1:25" x14ac:dyDescent="0.35">
      <c r="A1680" s="1">
        <v>1070</v>
      </c>
      <c r="B1680" t="s">
        <v>828</v>
      </c>
      <c r="C1680" t="s">
        <v>99</v>
      </c>
      <c r="D1680" t="s">
        <v>131</v>
      </c>
      <c r="E1680" s="2">
        <v>1</v>
      </c>
      <c r="F1680" s="2">
        <v>0</v>
      </c>
      <c r="G1680">
        <v>6</v>
      </c>
      <c r="H1680" t="s">
        <v>19</v>
      </c>
      <c r="M1680" s="2">
        <v>1</v>
      </c>
      <c r="N1680" s="2">
        <v>1</v>
      </c>
      <c r="O1680" s="2">
        <v>0</v>
      </c>
      <c r="P1680" s="2" t="s">
        <v>21</v>
      </c>
      <c r="R1680" t="str">
        <f t="shared" si="78"/>
        <v>no</v>
      </c>
      <c r="S1680" t="str">
        <f t="shared" si="79"/>
        <v>no</v>
      </c>
      <c r="T16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0" s="2" t="b">
        <f t="shared" si="80"/>
        <v>1</v>
      </c>
      <c r="V1680" s="2">
        <f>IF(Table4[[#This Row],[linear?]],Table4[[#This Row],[av]],10^(Table4[[#This Row],[av]]/10))</f>
        <v>1</v>
      </c>
      <c r="W1680" s="2">
        <f>IF(Table4[[#This Row],[linear?]],Table4[[#This Row],[av]],10^(Table4[[#This Row],[av]]/10))</f>
        <v>1</v>
      </c>
      <c r="X1680" s="2">
        <f>Table4[[#This Row],[av_lin]]-2*Table4[[#This Row],[std_lin]]</f>
        <v>-1</v>
      </c>
      <c r="Y1680" s="2">
        <f>Table4[[#This Row],[av_lin]]+2*Table4[[#This Row],[std_lin]]</f>
        <v>3</v>
      </c>
    </row>
    <row r="1681" spans="1:25" x14ac:dyDescent="0.35">
      <c r="A1681" s="1">
        <v>1071</v>
      </c>
      <c r="B1681" t="s">
        <v>828</v>
      </c>
      <c r="C1681" t="s">
        <v>99</v>
      </c>
      <c r="D1681" t="s">
        <v>132</v>
      </c>
      <c r="E1681" s="2">
        <v>1</v>
      </c>
      <c r="F1681" s="2">
        <v>0</v>
      </c>
      <c r="G1681">
        <v>6</v>
      </c>
      <c r="H1681" t="s">
        <v>19</v>
      </c>
      <c r="M1681" s="2">
        <v>1</v>
      </c>
      <c r="N1681" s="2">
        <v>1</v>
      </c>
      <c r="O1681" s="2">
        <v>0</v>
      </c>
      <c r="P1681" s="2" t="s">
        <v>21</v>
      </c>
      <c r="R1681" t="str">
        <f t="shared" si="78"/>
        <v>no</v>
      </c>
      <c r="S1681" t="str">
        <f t="shared" si="79"/>
        <v>no</v>
      </c>
      <c r="T16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1" s="2" t="b">
        <f t="shared" si="80"/>
        <v>1</v>
      </c>
      <c r="V1681" s="2">
        <f>IF(Table4[[#This Row],[linear?]],Table4[[#This Row],[av]],10^(Table4[[#This Row],[av]]/10))</f>
        <v>1</v>
      </c>
      <c r="W1681" s="2">
        <f>IF(Table4[[#This Row],[linear?]],Table4[[#This Row],[av]],10^(Table4[[#This Row],[av]]/10))</f>
        <v>1</v>
      </c>
      <c r="X1681" s="2">
        <f>Table4[[#This Row],[av_lin]]-2*Table4[[#This Row],[std_lin]]</f>
        <v>-1</v>
      </c>
      <c r="Y1681" s="2">
        <f>Table4[[#This Row],[av_lin]]+2*Table4[[#This Row],[std_lin]]</f>
        <v>3</v>
      </c>
    </row>
    <row r="1682" spans="1:25" x14ac:dyDescent="0.35">
      <c r="A1682" s="1">
        <v>1072</v>
      </c>
      <c r="B1682" t="s">
        <v>828</v>
      </c>
      <c r="C1682" t="s">
        <v>99</v>
      </c>
      <c r="D1682" t="s">
        <v>133</v>
      </c>
      <c r="E1682" s="2">
        <v>42.022222222222233</v>
      </c>
      <c r="F1682" s="2">
        <v>4.5407365786477918</v>
      </c>
      <c r="G1682">
        <v>6</v>
      </c>
      <c r="H1682" t="s">
        <v>19</v>
      </c>
      <c r="M1682" s="2">
        <v>51.103695379517823</v>
      </c>
      <c r="N1682" s="2">
        <v>32.940749064926649</v>
      </c>
      <c r="O1682" s="2">
        <v>18.162946314591171</v>
      </c>
      <c r="P1682" s="2">
        <v>9.2544946165399971</v>
      </c>
      <c r="R1682" t="str">
        <f t="shared" si="78"/>
        <v>no</v>
      </c>
      <c r="S1682" t="str">
        <f t="shared" si="79"/>
        <v>no</v>
      </c>
      <c r="T16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2" s="2" t="b">
        <f t="shared" si="80"/>
        <v>1</v>
      </c>
      <c r="V1682" s="2">
        <f>IF(Table4[[#This Row],[linear?]],Table4[[#This Row],[av]],10^(Table4[[#This Row],[av]]/10))</f>
        <v>42.022222222222233</v>
      </c>
      <c r="W1682" s="2">
        <f>IF(Table4[[#This Row],[linear?]],Table4[[#This Row],[av]],10^(Table4[[#This Row],[av]]/10))</f>
        <v>42.022222222222233</v>
      </c>
      <c r="X1682" s="2">
        <f>Table4[[#This Row],[av_lin]]-2*Table4[[#This Row],[std_lin]]</f>
        <v>-42.022222222222233</v>
      </c>
      <c r="Y1682" s="2">
        <f>Table4[[#This Row],[av_lin]]+2*Table4[[#This Row],[std_lin]]</f>
        <v>126.06666666666669</v>
      </c>
    </row>
    <row r="1683" spans="1:25" x14ac:dyDescent="0.35">
      <c r="A1683" s="1">
        <v>1073</v>
      </c>
      <c r="B1683" t="s">
        <v>828</v>
      </c>
      <c r="C1683" t="s">
        <v>99</v>
      </c>
      <c r="D1683" t="s">
        <v>134</v>
      </c>
      <c r="E1683" s="2">
        <v>41.155555555555551</v>
      </c>
      <c r="F1683" s="2">
        <v>5.2794902513295678</v>
      </c>
      <c r="G1683">
        <v>6</v>
      </c>
      <c r="H1683" t="s">
        <v>19</v>
      </c>
      <c r="M1683" s="2">
        <v>51.714536058214691</v>
      </c>
      <c r="N1683" s="2">
        <v>30.596575052896419</v>
      </c>
      <c r="O1683" s="2">
        <v>21.117961005318271</v>
      </c>
      <c r="P1683" s="2">
        <v>7.7953653849803182</v>
      </c>
      <c r="R1683" t="str">
        <f t="shared" si="78"/>
        <v>no</v>
      </c>
      <c r="S1683" t="str">
        <f t="shared" si="79"/>
        <v>no</v>
      </c>
      <c r="T16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3" s="2" t="b">
        <f t="shared" si="80"/>
        <v>1</v>
      </c>
      <c r="V1683" s="2">
        <f>IF(Table4[[#This Row],[linear?]],Table4[[#This Row],[av]],10^(Table4[[#This Row],[av]]/10))</f>
        <v>41.155555555555551</v>
      </c>
      <c r="W1683" s="2">
        <f>IF(Table4[[#This Row],[linear?]],Table4[[#This Row],[av]],10^(Table4[[#This Row],[av]]/10))</f>
        <v>41.155555555555551</v>
      </c>
      <c r="X1683" s="2">
        <f>Table4[[#This Row],[av_lin]]-2*Table4[[#This Row],[std_lin]]</f>
        <v>-41.155555555555551</v>
      </c>
      <c r="Y1683" s="2">
        <f>Table4[[#This Row],[av_lin]]+2*Table4[[#This Row],[std_lin]]</f>
        <v>123.46666666666665</v>
      </c>
    </row>
    <row r="1684" spans="1:25" x14ac:dyDescent="0.35">
      <c r="A1684" s="1">
        <v>1074</v>
      </c>
      <c r="B1684" t="s">
        <v>828</v>
      </c>
      <c r="C1684" t="s">
        <v>99</v>
      </c>
      <c r="D1684" t="s">
        <v>135</v>
      </c>
      <c r="G1684">
        <v>6</v>
      </c>
      <c r="H1684" t="s">
        <v>19</v>
      </c>
      <c r="R1684" t="str">
        <f t="shared" si="78"/>
        <v>no</v>
      </c>
      <c r="S1684" t="str">
        <f t="shared" si="79"/>
        <v>no</v>
      </c>
      <c r="T16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4" s="2" t="b">
        <f t="shared" si="80"/>
        <v>1</v>
      </c>
      <c r="V1684" s="2">
        <f>IF(Table4[[#This Row],[linear?]],Table4[[#This Row],[av]],10^(Table4[[#This Row],[av]]/10))</f>
        <v>0</v>
      </c>
      <c r="W1684" s="2">
        <f>IF(Table4[[#This Row],[linear?]],Table4[[#This Row],[av]],10^(Table4[[#This Row],[av]]/10))</f>
        <v>0</v>
      </c>
      <c r="X1684" s="2">
        <f>Table4[[#This Row],[av_lin]]-2*Table4[[#This Row],[std_lin]]</f>
        <v>0</v>
      </c>
      <c r="Y1684" s="2">
        <f>Table4[[#This Row],[av_lin]]+2*Table4[[#This Row],[std_lin]]</f>
        <v>0</v>
      </c>
    </row>
    <row r="1685" spans="1:25" x14ac:dyDescent="0.35">
      <c r="A1685" s="1">
        <v>1075</v>
      </c>
      <c r="B1685" t="s">
        <v>828</v>
      </c>
      <c r="C1685" t="s">
        <v>99</v>
      </c>
      <c r="D1685" t="s">
        <v>136</v>
      </c>
      <c r="E1685" s="2">
        <v>1</v>
      </c>
      <c r="F1685" s="2">
        <v>0</v>
      </c>
      <c r="G1685">
        <v>6</v>
      </c>
      <c r="H1685" t="s">
        <v>19</v>
      </c>
      <c r="M1685" s="2">
        <v>1</v>
      </c>
      <c r="N1685" s="2">
        <v>1</v>
      </c>
      <c r="O1685" s="2">
        <v>0</v>
      </c>
      <c r="P1685" s="2" t="s">
        <v>21</v>
      </c>
      <c r="R1685" t="str">
        <f t="shared" si="78"/>
        <v>no</v>
      </c>
      <c r="S1685" t="str">
        <f t="shared" si="79"/>
        <v>no</v>
      </c>
      <c r="T16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5" s="2" t="b">
        <f t="shared" si="80"/>
        <v>1</v>
      </c>
      <c r="V1685" s="2">
        <f>IF(Table4[[#This Row],[linear?]],Table4[[#This Row],[av]],10^(Table4[[#This Row],[av]]/10))</f>
        <v>1</v>
      </c>
      <c r="W1685" s="2">
        <f>IF(Table4[[#This Row],[linear?]],Table4[[#This Row],[av]],10^(Table4[[#This Row],[av]]/10))</f>
        <v>1</v>
      </c>
      <c r="X1685" s="2">
        <f>Table4[[#This Row],[av_lin]]-2*Table4[[#This Row],[std_lin]]</f>
        <v>-1</v>
      </c>
      <c r="Y1685" s="2">
        <f>Table4[[#This Row],[av_lin]]+2*Table4[[#This Row],[std_lin]]</f>
        <v>3</v>
      </c>
    </row>
    <row r="1686" spans="1:25" x14ac:dyDescent="0.35">
      <c r="A1686" s="1">
        <v>1076</v>
      </c>
      <c r="B1686" t="s">
        <v>828</v>
      </c>
      <c r="C1686" t="s">
        <v>99</v>
      </c>
      <c r="D1686" t="s">
        <v>137</v>
      </c>
      <c r="E1686" s="2">
        <v>1</v>
      </c>
      <c r="F1686" s="2">
        <v>0</v>
      </c>
      <c r="G1686">
        <v>6</v>
      </c>
      <c r="H1686" t="s">
        <v>19</v>
      </c>
      <c r="M1686" s="2">
        <v>1</v>
      </c>
      <c r="N1686" s="2">
        <v>1</v>
      </c>
      <c r="O1686" s="2">
        <v>0</v>
      </c>
      <c r="P1686" s="2" t="s">
        <v>21</v>
      </c>
      <c r="R1686" t="str">
        <f t="shared" si="78"/>
        <v>no</v>
      </c>
      <c r="S1686" t="str">
        <f t="shared" si="79"/>
        <v>no</v>
      </c>
      <c r="T16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6" s="2" t="b">
        <f t="shared" si="80"/>
        <v>1</v>
      </c>
      <c r="V1686" s="2">
        <f>IF(Table4[[#This Row],[linear?]],Table4[[#This Row],[av]],10^(Table4[[#This Row],[av]]/10))</f>
        <v>1</v>
      </c>
      <c r="W1686" s="2">
        <f>IF(Table4[[#This Row],[linear?]],Table4[[#This Row],[av]],10^(Table4[[#This Row],[av]]/10))</f>
        <v>1</v>
      </c>
      <c r="X1686" s="2">
        <f>Table4[[#This Row],[av_lin]]-2*Table4[[#This Row],[std_lin]]</f>
        <v>-1</v>
      </c>
      <c r="Y1686" s="2">
        <f>Table4[[#This Row],[av_lin]]+2*Table4[[#This Row],[std_lin]]</f>
        <v>3</v>
      </c>
    </row>
    <row r="1687" spans="1:25" x14ac:dyDescent="0.35">
      <c r="A1687" s="1">
        <v>1077</v>
      </c>
      <c r="B1687" t="s">
        <v>828</v>
      </c>
      <c r="C1687" t="s">
        <v>99</v>
      </c>
      <c r="D1687" t="s">
        <v>138</v>
      </c>
      <c r="E1687" s="2">
        <v>1</v>
      </c>
      <c r="F1687" s="2">
        <v>0</v>
      </c>
      <c r="G1687">
        <v>6</v>
      </c>
      <c r="H1687" t="s">
        <v>19</v>
      </c>
      <c r="M1687" s="2">
        <v>1</v>
      </c>
      <c r="N1687" s="2">
        <v>1</v>
      </c>
      <c r="O1687" s="2">
        <v>0</v>
      </c>
      <c r="P1687" s="2" t="s">
        <v>21</v>
      </c>
      <c r="R1687" t="str">
        <f t="shared" si="78"/>
        <v>no</v>
      </c>
      <c r="S1687" t="str">
        <f t="shared" si="79"/>
        <v>no</v>
      </c>
      <c r="T16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7" s="2" t="b">
        <f t="shared" si="80"/>
        <v>1</v>
      </c>
      <c r="V1687" s="2">
        <f>IF(Table4[[#This Row],[linear?]],Table4[[#This Row],[av]],10^(Table4[[#This Row],[av]]/10))</f>
        <v>1</v>
      </c>
      <c r="W1687" s="2">
        <f>IF(Table4[[#This Row],[linear?]],Table4[[#This Row],[av]],10^(Table4[[#This Row],[av]]/10))</f>
        <v>1</v>
      </c>
      <c r="X1687" s="2">
        <f>Table4[[#This Row],[av_lin]]-2*Table4[[#This Row],[std_lin]]</f>
        <v>-1</v>
      </c>
      <c r="Y1687" s="2">
        <f>Table4[[#This Row],[av_lin]]+2*Table4[[#This Row],[std_lin]]</f>
        <v>3</v>
      </c>
    </row>
    <row r="1688" spans="1:25" x14ac:dyDescent="0.35">
      <c r="A1688" s="1">
        <v>1078</v>
      </c>
      <c r="B1688" t="s">
        <v>828</v>
      </c>
      <c r="C1688" t="s">
        <v>99</v>
      </c>
      <c r="D1688" t="s">
        <v>139</v>
      </c>
      <c r="E1688" s="2">
        <v>1</v>
      </c>
      <c r="F1688" s="2">
        <v>0</v>
      </c>
      <c r="G1688">
        <v>6</v>
      </c>
      <c r="H1688" t="s">
        <v>19</v>
      </c>
      <c r="M1688" s="2">
        <v>1</v>
      </c>
      <c r="N1688" s="2">
        <v>1</v>
      </c>
      <c r="O1688" s="2">
        <v>0</v>
      </c>
      <c r="P1688" s="2" t="s">
        <v>21</v>
      </c>
      <c r="R1688" t="str">
        <f t="shared" si="78"/>
        <v>no</v>
      </c>
      <c r="S1688" t="str">
        <f t="shared" si="79"/>
        <v>no</v>
      </c>
      <c r="T16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8" s="2" t="b">
        <f t="shared" si="80"/>
        <v>1</v>
      </c>
      <c r="V1688" s="2">
        <f>IF(Table4[[#This Row],[linear?]],Table4[[#This Row],[av]],10^(Table4[[#This Row],[av]]/10))</f>
        <v>1</v>
      </c>
      <c r="W1688" s="2">
        <f>IF(Table4[[#This Row],[linear?]],Table4[[#This Row],[av]],10^(Table4[[#This Row],[av]]/10))</f>
        <v>1</v>
      </c>
      <c r="X1688" s="2">
        <f>Table4[[#This Row],[av_lin]]-2*Table4[[#This Row],[std_lin]]</f>
        <v>-1</v>
      </c>
      <c r="Y1688" s="2">
        <f>Table4[[#This Row],[av_lin]]+2*Table4[[#This Row],[std_lin]]</f>
        <v>3</v>
      </c>
    </row>
    <row r="1689" spans="1:25" x14ac:dyDescent="0.35">
      <c r="A1689" s="1">
        <v>1079</v>
      </c>
      <c r="B1689" t="s">
        <v>828</v>
      </c>
      <c r="C1689" t="s">
        <v>99</v>
      </c>
      <c r="D1689" t="s">
        <v>140</v>
      </c>
      <c r="E1689" s="2">
        <v>39.522222222222233</v>
      </c>
      <c r="F1689" s="2">
        <v>3.2457392114862502</v>
      </c>
      <c r="G1689">
        <v>6</v>
      </c>
      <c r="H1689" t="s">
        <v>19</v>
      </c>
      <c r="M1689" s="2">
        <v>46.013700645194731</v>
      </c>
      <c r="N1689" s="2">
        <v>33.030743799249727</v>
      </c>
      <c r="O1689" s="2">
        <v>12.982956845945001</v>
      </c>
      <c r="P1689" s="2">
        <v>12.176647489840899</v>
      </c>
      <c r="R1689" t="str">
        <f t="shared" si="78"/>
        <v>no</v>
      </c>
      <c r="S1689" t="str">
        <f t="shared" si="79"/>
        <v>no</v>
      </c>
      <c r="T16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9" s="2" t="b">
        <f t="shared" si="80"/>
        <v>1</v>
      </c>
      <c r="V1689" s="2">
        <f>IF(Table4[[#This Row],[linear?]],Table4[[#This Row],[av]],10^(Table4[[#This Row],[av]]/10))</f>
        <v>39.522222222222233</v>
      </c>
      <c r="W1689" s="2">
        <f>IF(Table4[[#This Row],[linear?]],Table4[[#This Row],[av]],10^(Table4[[#This Row],[av]]/10))</f>
        <v>39.522222222222233</v>
      </c>
      <c r="X1689" s="2">
        <f>Table4[[#This Row],[av_lin]]-2*Table4[[#This Row],[std_lin]]</f>
        <v>-39.522222222222233</v>
      </c>
      <c r="Y1689" s="2">
        <f>Table4[[#This Row],[av_lin]]+2*Table4[[#This Row],[std_lin]]</f>
        <v>118.56666666666669</v>
      </c>
    </row>
    <row r="1690" spans="1:25" x14ac:dyDescent="0.35">
      <c r="A1690" s="1">
        <v>1080</v>
      </c>
      <c r="B1690" t="s">
        <v>828</v>
      </c>
      <c r="C1690" t="s">
        <v>99</v>
      </c>
      <c r="D1690" t="s">
        <v>141</v>
      </c>
      <c r="E1690" s="2">
        <v>41.988888888888887</v>
      </c>
      <c r="F1690" s="2">
        <v>3.3472308022918842</v>
      </c>
      <c r="G1690">
        <v>6</v>
      </c>
      <c r="H1690" t="s">
        <v>19</v>
      </c>
      <c r="M1690" s="2">
        <v>48.683350493472659</v>
      </c>
      <c r="N1690" s="2">
        <v>35.294427284305122</v>
      </c>
      <c r="O1690" s="2">
        <v>13.38892320916754</v>
      </c>
      <c r="P1690" s="2">
        <v>12.544366184769411</v>
      </c>
      <c r="R1690" t="str">
        <f t="shared" si="78"/>
        <v>no</v>
      </c>
      <c r="S1690" t="str">
        <f t="shared" si="79"/>
        <v>no</v>
      </c>
      <c r="T16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0" s="2" t="b">
        <f t="shared" si="80"/>
        <v>1</v>
      </c>
      <c r="V1690" s="2">
        <f>IF(Table4[[#This Row],[linear?]],Table4[[#This Row],[av]],10^(Table4[[#This Row],[av]]/10))</f>
        <v>41.988888888888887</v>
      </c>
      <c r="W1690" s="2">
        <f>IF(Table4[[#This Row],[linear?]],Table4[[#This Row],[av]],10^(Table4[[#This Row],[av]]/10))</f>
        <v>41.988888888888887</v>
      </c>
      <c r="X1690" s="2">
        <f>Table4[[#This Row],[av_lin]]-2*Table4[[#This Row],[std_lin]]</f>
        <v>-41.988888888888887</v>
      </c>
      <c r="Y1690" s="2">
        <f>Table4[[#This Row],[av_lin]]+2*Table4[[#This Row],[std_lin]]</f>
        <v>125.96666666666667</v>
      </c>
    </row>
    <row r="1691" spans="1:25" x14ac:dyDescent="0.35">
      <c r="A1691" s="1">
        <v>1081</v>
      </c>
      <c r="B1691" t="s">
        <v>828</v>
      </c>
      <c r="C1691" t="s">
        <v>251</v>
      </c>
      <c r="D1691" t="s">
        <v>252</v>
      </c>
      <c r="G1691">
        <v>6</v>
      </c>
      <c r="H1691" t="s">
        <v>19</v>
      </c>
      <c r="R1691" t="str">
        <f t="shared" si="78"/>
        <v>no</v>
      </c>
      <c r="S1691" t="str">
        <f t="shared" si="79"/>
        <v>no</v>
      </c>
      <c r="T16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1" s="2" t="b">
        <f t="shared" si="80"/>
        <v>1</v>
      </c>
      <c r="V1691" s="2">
        <f>IF(Table4[[#This Row],[linear?]],Table4[[#This Row],[av]],10^(Table4[[#This Row],[av]]/10))</f>
        <v>0</v>
      </c>
      <c r="W1691" s="2">
        <f>IF(Table4[[#This Row],[linear?]],Table4[[#This Row],[av]],10^(Table4[[#This Row],[av]]/10))</f>
        <v>0</v>
      </c>
      <c r="X1691" s="2">
        <f>Table4[[#This Row],[av_lin]]-2*Table4[[#This Row],[std_lin]]</f>
        <v>0</v>
      </c>
      <c r="Y1691" s="2">
        <f>Table4[[#This Row],[av_lin]]+2*Table4[[#This Row],[std_lin]]</f>
        <v>0</v>
      </c>
    </row>
    <row r="1692" spans="1:25" x14ac:dyDescent="0.35">
      <c r="A1692" s="1">
        <v>1082</v>
      </c>
      <c r="B1692" t="s">
        <v>828</v>
      </c>
      <c r="C1692" t="s">
        <v>17</v>
      </c>
      <c r="D1692" t="s">
        <v>18</v>
      </c>
      <c r="E1692" s="2">
        <v>7547.75</v>
      </c>
      <c r="F1692" s="2">
        <v>119.2454437381045</v>
      </c>
      <c r="G1692">
        <v>6</v>
      </c>
      <c r="H1692" t="s">
        <v>19</v>
      </c>
      <c r="M1692" s="2">
        <v>7786.2408874762086</v>
      </c>
      <c r="N1692" s="2">
        <v>7309.2591125237914</v>
      </c>
      <c r="O1692" s="2">
        <v>476.98177495241731</v>
      </c>
      <c r="P1692" s="2">
        <v>63.295919436359483</v>
      </c>
      <c r="R1692" t="str">
        <f t="shared" si="78"/>
        <v>no</v>
      </c>
      <c r="S1692" t="str">
        <f t="shared" si="79"/>
        <v>no</v>
      </c>
      <c r="T16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2" s="2" t="b">
        <f t="shared" si="80"/>
        <v>1</v>
      </c>
      <c r="V1692" s="2">
        <f>IF(Table4[[#This Row],[linear?]],Table4[[#This Row],[av]],10^(Table4[[#This Row],[av]]/10))</f>
        <v>7547.75</v>
      </c>
      <c r="W1692" s="2">
        <f>IF(Table4[[#This Row],[linear?]],Table4[[#This Row],[av]],10^(Table4[[#This Row],[av]]/10))</f>
        <v>7547.75</v>
      </c>
      <c r="X1692" s="2">
        <f>Table4[[#This Row],[av_lin]]-2*Table4[[#This Row],[std_lin]]</f>
        <v>-7547.75</v>
      </c>
      <c r="Y1692" s="2">
        <f>Table4[[#This Row],[av_lin]]+2*Table4[[#This Row],[std_lin]]</f>
        <v>22643.25</v>
      </c>
    </row>
    <row r="1693" spans="1:25" x14ac:dyDescent="0.35">
      <c r="A1693" s="1">
        <v>1083</v>
      </c>
      <c r="B1693" t="s">
        <v>828</v>
      </c>
      <c r="C1693" t="s">
        <v>17</v>
      </c>
      <c r="D1693" t="s">
        <v>20</v>
      </c>
      <c r="E1693" s="2">
        <v>1</v>
      </c>
      <c r="F1693" s="2">
        <v>0</v>
      </c>
      <c r="G1693">
        <v>6</v>
      </c>
      <c r="H1693" t="s">
        <v>19</v>
      </c>
      <c r="M1693" s="2">
        <v>1</v>
      </c>
      <c r="N1693" s="2">
        <v>1</v>
      </c>
      <c r="O1693" s="2">
        <v>0</v>
      </c>
      <c r="P1693" s="2" t="s">
        <v>21</v>
      </c>
      <c r="R1693" t="str">
        <f t="shared" si="78"/>
        <v>no</v>
      </c>
      <c r="S1693" t="str">
        <f t="shared" si="79"/>
        <v>no</v>
      </c>
      <c r="T16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3" s="2" t="b">
        <f t="shared" si="80"/>
        <v>1</v>
      </c>
      <c r="V1693" s="2">
        <f>IF(Table4[[#This Row],[linear?]],Table4[[#This Row],[av]],10^(Table4[[#This Row],[av]]/10))</f>
        <v>1</v>
      </c>
      <c r="W1693" s="2">
        <f>IF(Table4[[#This Row],[linear?]],Table4[[#This Row],[av]],10^(Table4[[#This Row],[av]]/10))</f>
        <v>1</v>
      </c>
      <c r="X1693" s="2">
        <f>Table4[[#This Row],[av_lin]]-2*Table4[[#This Row],[std_lin]]</f>
        <v>-1</v>
      </c>
      <c r="Y1693" s="2">
        <f>Table4[[#This Row],[av_lin]]+2*Table4[[#This Row],[std_lin]]</f>
        <v>3</v>
      </c>
    </row>
    <row r="1694" spans="1:25" x14ac:dyDescent="0.35">
      <c r="A1694" s="1">
        <v>1084</v>
      </c>
      <c r="B1694" t="s">
        <v>828</v>
      </c>
      <c r="C1694" t="s">
        <v>17</v>
      </c>
      <c r="D1694" t="s">
        <v>22</v>
      </c>
      <c r="E1694" s="2">
        <v>7519.9111111111106</v>
      </c>
      <c r="F1694" s="2">
        <v>154.15602835570311</v>
      </c>
      <c r="G1694">
        <v>6</v>
      </c>
      <c r="H1694" t="s">
        <v>19</v>
      </c>
      <c r="M1694" s="2">
        <v>7828.2231678225171</v>
      </c>
      <c r="N1694" s="2">
        <v>7211.5990543997041</v>
      </c>
      <c r="O1694" s="2">
        <v>616.62411342281302</v>
      </c>
      <c r="P1694" s="2">
        <v>48.78116795899475</v>
      </c>
      <c r="R1694" t="str">
        <f t="shared" si="78"/>
        <v>no</v>
      </c>
      <c r="S1694" t="str">
        <f t="shared" si="79"/>
        <v>no</v>
      </c>
      <c r="T16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4" s="2" t="b">
        <f t="shared" si="80"/>
        <v>1</v>
      </c>
      <c r="V1694" s="2">
        <f>IF(Table4[[#This Row],[linear?]],Table4[[#This Row],[av]],10^(Table4[[#This Row],[av]]/10))</f>
        <v>7519.9111111111106</v>
      </c>
      <c r="W1694" s="2">
        <f>IF(Table4[[#This Row],[linear?]],Table4[[#This Row],[av]],10^(Table4[[#This Row],[av]]/10))</f>
        <v>7519.9111111111106</v>
      </c>
      <c r="X1694" s="2">
        <f>Table4[[#This Row],[av_lin]]-2*Table4[[#This Row],[std_lin]]</f>
        <v>-7519.9111111111106</v>
      </c>
      <c r="Y1694" s="2">
        <f>Table4[[#This Row],[av_lin]]+2*Table4[[#This Row],[std_lin]]</f>
        <v>22559.73333333333</v>
      </c>
    </row>
    <row r="1695" spans="1:25" x14ac:dyDescent="0.35">
      <c r="A1695" s="1">
        <v>1085</v>
      </c>
      <c r="B1695" t="s">
        <v>828</v>
      </c>
      <c r="C1695" t="s">
        <v>17</v>
      </c>
      <c r="D1695" t="s">
        <v>23</v>
      </c>
      <c r="E1695" s="2">
        <v>1</v>
      </c>
      <c r="F1695" s="2">
        <v>0</v>
      </c>
      <c r="G1695">
        <v>6</v>
      </c>
      <c r="H1695" t="s">
        <v>19</v>
      </c>
      <c r="M1695" s="2">
        <v>1</v>
      </c>
      <c r="N1695" s="2">
        <v>1</v>
      </c>
      <c r="O1695" s="2">
        <v>0</v>
      </c>
      <c r="P1695" s="2" t="s">
        <v>21</v>
      </c>
      <c r="R1695" t="str">
        <f t="shared" si="78"/>
        <v>no</v>
      </c>
      <c r="S1695" t="str">
        <f t="shared" si="79"/>
        <v>no</v>
      </c>
      <c r="T16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5" s="2" t="b">
        <f t="shared" si="80"/>
        <v>1</v>
      </c>
      <c r="V1695" s="2">
        <f>IF(Table4[[#This Row],[linear?]],Table4[[#This Row],[av]],10^(Table4[[#This Row],[av]]/10))</f>
        <v>1</v>
      </c>
      <c r="W1695" s="2">
        <f>IF(Table4[[#This Row],[linear?]],Table4[[#This Row],[av]],10^(Table4[[#This Row],[av]]/10))</f>
        <v>1</v>
      </c>
      <c r="X1695" s="2">
        <f>Table4[[#This Row],[av_lin]]-2*Table4[[#This Row],[std_lin]]</f>
        <v>-1</v>
      </c>
      <c r="Y1695" s="2">
        <f>Table4[[#This Row],[av_lin]]+2*Table4[[#This Row],[std_lin]]</f>
        <v>3</v>
      </c>
    </row>
    <row r="1696" spans="1:25" x14ac:dyDescent="0.35">
      <c r="A1696" s="1">
        <v>1086</v>
      </c>
      <c r="B1696" t="s">
        <v>828</v>
      </c>
      <c r="C1696" t="s">
        <v>17</v>
      </c>
      <c r="D1696" t="s">
        <v>24</v>
      </c>
      <c r="E1696" s="2">
        <v>7643.9111111111106</v>
      </c>
      <c r="F1696" s="2">
        <v>112.6853605993763</v>
      </c>
      <c r="G1696">
        <v>6</v>
      </c>
      <c r="H1696" t="s">
        <v>19</v>
      </c>
      <c r="M1696" s="2">
        <v>7869.2818323098636</v>
      </c>
      <c r="N1696" s="2">
        <v>7418.5403899123576</v>
      </c>
      <c r="O1696" s="2">
        <v>450.74144239750598</v>
      </c>
      <c r="P1696" s="2">
        <v>67.834109687833035</v>
      </c>
      <c r="R1696" t="str">
        <f t="shared" si="78"/>
        <v>no</v>
      </c>
      <c r="S1696" t="str">
        <f t="shared" si="79"/>
        <v>no</v>
      </c>
      <c r="T16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6" s="2" t="b">
        <f t="shared" si="80"/>
        <v>1</v>
      </c>
      <c r="V1696" s="2">
        <f>IF(Table4[[#This Row],[linear?]],Table4[[#This Row],[av]],10^(Table4[[#This Row],[av]]/10))</f>
        <v>7643.9111111111106</v>
      </c>
      <c r="W1696" s="2">
        <f>IF(Table4[[#This Row],[linear?]],Table4[[#This Row],[av]],10^(Table4[[#This Row],[av]]/10))</f>
        <v>7643.9111111111106</v>
      </c>
      <c r="X1696" s="2">
        <f>Table4[[#This Row],[av_lin]]-2*Table4[[#This Row],[std_lin]]</f>
        <v>-7643.9111111111106</v>
      </c>
      <c r="Y1696" s="2">
        <f>Table4[[#This Row],[av_lin]]+2*Table4[[#This Row],[std_lin]]</f>
        <v>22931.73333333333</v>
      </c>
    </row>
    <row r="1697" spans="1:25" x14ac:dyDescent="0.35">
      <c r="A1697" s="1">
        <v>1087</v>
      </c>
      <c r="B1697" t="s">
        <v>828</v>
      </c>
      <c r="C1697" t="s">
        <v>17</v>
      </c>
      <c r="D1697" t="s">
        <v>25</v>
      </c>
      <c r="E1697" s="2">
        <v>1</v>
      </c>
      <c r="F1697" s="2">
        <v>0</v>
      </c>
      <c r="G1697">
        <v>6</v>
      </c>
      <c r="H1697" t="s">
        <v>19</v>
      </c>
      <c r="M1697" s="2">
        <v>1</v>
      </c>
      <c r="N1697" s="2">
        <v>1</v>
      </c>
      <c r="O1697" s="2">
        <v>0</v>
      </c>
      <c r="P1697" s="2" t="s">
        <v>21</v>
      </c>
      <c r="R1697" t="str">
        <f t="shared" si="78"/>
        <v>no</v>
      </c>
      <c r="S1697" t="str">
        <f t="shared" si="79"/>
        <v>no</v>
      </c>
      <c r="T16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7" s="2" t="b">
        <f t="shared" si="80"/>
        <v>1</v>
      </c>
      <c r="V1697" s="2">
        <f>IF(Table4[[#This Row],[linear?]],Table4[[#This Row],[av]],10^(Table4[[#This Row],[av]]/10))</f>
        <v>1</v>
      </c>
      <c r="W1697" s="2">
        <f>IF(Table4[[#This Row],[linear?]],Table4[[#This Row],[av]],10^(Table4[[#This Row],[av]]/10))</f>
        <v>1</v>
      </c>
      <c r="X1697" s="2">
        <f>Table4[[#This Row],[av_lin]]-2*Table4[[#This Row],[std_lin]]</f>
        <v>-1</v>
      </c>
      <c r="Y1697" s="2">
        <f>Table4[[#This Row],[av_lin]]+2*Table4[[#This Row],[std_lin]]</f>
        <v>3</v>
      </c>
    </row>
    <row r="1698" spans="1:25" x14ac:dyDescent="0.35">
      <c r="A1698" s="1">
        <v>1088</v>
      </c>
      <c r="B1698" t="s">
        <v>828</v>
      </c>
      <c r="C1698" t="s">
        <v>17</v>
      </c>
      <c r="D1698" t="s">
        <v>26</v>
      </c>
      <c r="E1698" s="2">
        <v>7574.3722222222223</v>
      </c>
      <c r="F1698" s="2">
        <v>113.60997267277661</v>
      </c>
      <c r="G1698">
        <v>6</v>
      </c>
      <c r="H1698" t="s">
        <v>19</v>
      </c>
      <c r="M1698" s="2">
        <v>7801.5921675677764</v>
      </c>
      <c r="N1698" s="2">
        <v>7347.152276876669</v>
      </c>
      <c r="O1698" s="2">
        <v>454.43989069110648</v>
      </c>
      <c r="P1698" s="2">
        <v>66.669959018810715</v>
      </c>
      <c r="R1698" t="str">
        <f t="shared" si="78"/>
        <v>no</v>
      </c>
      <c r="S1698" t="str">
        <f t="shared" si="79"/>
        <v>no</v>
      </c>
      <c r="T16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8" s="2" t="b">
        <f t="shared" si="80"/>
        <v>1</v>
      </c>
      <c r="V1698" s="2">
        <f>IF(Table4[[#This Row],[linear?]],Table4[[#This Row],[av]],10^(Table4[[#This Row],[av]]/10))</f>
        <v>7574.3722222222223</v>
      </c>
      <c r="W1698" s="2">
        <f>IF(Table4[[#This Row],[linear?]],Table4[[#This Row],[av]],10^(Table4[[#This Row],[av]]/10))</f>
        <v>7574.3722222222223</v>
      </c>
      <c r="X1698" s="2">
        <f>Table4[[#This Row],[av_lin]]-2*Table4[[#This Row],[std_lin]]</f>
        <v>-7574.3722222222223</v>
      </c>
      <c r="Y1698" s="2">
        <f>Table4[[#This Row],[av_lin]]+2*Table4[[#This Row],[std_lin]]</f>
        <v>22723.116666666669</v>
      </c>
    </row>
    <row r="1699" spans="1:25" x14ac:dyDescent="0.35">
      <c r="A1699" s="1">
        <v>1089</v>
      </c>
      <c r="B1699" t="s">
        <v>828</v>
      </c>
      <c r="C1699" t="s">
        <v>17</v>
      </c>
      <c r="D1699" t="s">
        <v>27</v>
      </c>
      <c r="E1699" s="2">
        <v>1</v>
      </c>
      <c r="F1699" s="2">
        <v>0</v>
      </c>
      <c r="G1699">
        <v>6</v>
      </c>
      <c r="H1699" t="s">
        <v>19</v>
      </c>
      <c r="M1699" s="2">
        <v>1</v>
      </c>
      <c r="N1699" s="2">
        <v>1</v>
      </c>
      <c r="O1699" s="2">
        <v>0</v>
      </c>
      <c r="P1699" s="2" t="s">
        <v>21</v>
      </c>
      <c r="R1699" t="str">
        <f t="shared" si="78"/>
        <v>no</v>
      </c>
      <c r="S1699" t="str">
        <f t="shared" si="79"/>
        <v>no</v>
      </c>
      <c r="T16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9" s="2" t="b">
        <f t="shared" si="80"/>
        <v>1</v>
      </c>
      <c r="V1699" s="2">
        <f>IF(Table4[[#This Row],[linear?]],Table4[[#This Row],[av]],10^(Table4[[#This Row],[av]]/10))</f>
        <v>1</v>
      </c>
      <c r="W1699" s="2">
        <f>IF(Table4[[#This Row],[linear?]],Table4[[#This Row],[av]],10^(Table4[[#This Row],[av]]/10))</f>
        <v>1</v>
      </c>
      <c r="X1699" s="2">
        <f>Table4[[#This Row],[av_lin]]-2*Table4[[#This Row],[std_lin]]</f>
        <v>-1</v>
      </c>
      <c r="Y1699" s="2">
        <f>Table4[[#This Row],[av_lin]]+2*Table4[[#This Row],[std_lin]]</f>
        <v>3</v>
      </c>
    </row>
    <row r="1700" spans="1:25" x14ac:dyDescent="0.35">
      <c r="A1700" s="1">
        <v>1090</v>
      </c>
      <c r="B1700" t="s">
        <v>828</v>
      </c>
      <c r="C1700" t="s">
        <v>17</v>
      </c>
      <c r="D1700" t="s">
        <v>28</v>
      </c>
      <c r="E1700" s="2">
        <v>7635.1222222222223</v>
      </c>
      <c r="F1700" s="2">
        <v>141.03354694907631</v>
      </c>
      <c r="G1700">
        <v>6</v>
      </c>
      <c r="H1700" t="s">
        <v>19</v>
      </c>
      <c r="M1700" s="2">
        <v>7917.1893161203752</v>
      </c>
      <c r="N1700" s="2">
        <v>7353.0551283240693</v>
      </c>
      <c r="O1700" s="2">
        <v>564.13418779630592</v>
      </c>
      <c r="P1700" s="2">
        <v>54.136922649893179</v>
      </c>
      <c r="R1700" t="str">
        <f t="shared" si="78"/>
        <v>no</v>
      </c>
      <c r="S1700" t="str">
        <f t="shared" si="79"/>
        <v>no</v>
      </c>
      <c r="T17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0" s="2" t="b">
        <f t="shared" si="80"/>
        <v>1</v>
      </c>
      <c r="V1700" s="2">
        <f>IF(Table4[[#This Row],[linear?]],Table4[[#This Row],[av]],10^(Table4[[#This Row],[av]]/10))</f>
        <v>7635.1222222222223</v>
      </c>
      <c r="W1700" s="2">
        <f>IF(Table4[[#This Row],[linear?]],Table4[[#This Row],[av]],10^(Table4[[#This Row],[av]]/10))</f>
        <v>7635.1222222222223</v>
      </c>
      <c r="X1700" s="2">
        <f>Table4[[#This Row],[av_lin]]-2*Table4[[#This Row],[std_lin]]</f>
        <v>-7635.1222222222223</v>
      </c>
      <c r="Y1700" s="2">
        <f>Table4[[#This Row],[av_lin]]+2*Table4[[#This Row],[std_lin]]</f>
        <v>22905.366666666669</v>
      </c>
    </row>
    <row r="1701" spans="1:25" x14ac:dyDescent="0.35">
      <c r="A1701" s="1">
        <v>1091</v>
      </c>
      <c r="B1701" t="s">
        <v>828</v>
      </c>
      <c r="C1701" t="s">
        <v>17</v>
      </c>
      <c r="D1701" t="s">
        <v>29</v>
      </c>
      <c r="E1701" s="2">
        <v>1</v>
      </c>
      <c r="F1701" s="2">
        <v>0</v>
      </c>
      <c r="G1701">
        <v>6</v>
      </c>
      <c r="H1701" t="s">
        <v>19</v>
      </c>
      <c r="M1701" s="2">
        <v>1</v>
      </c>
      <c r="N1701" s="2">
        <v>1</v>
      </c>
      <c r="O1701" s="2">
        <v>0</v>
      </c>
      <c r="P1701" s="2" t="s">
        <v>21</v>
      </c>
      <c r="R1701" t="str">
        <f t="shared" si="78"/>
        <v>no</v>
      </c>
      <c r="S1701" t="str">
        <f t="shared" si="79"/>
        <v>no</v>
      </c>
      <c r="T17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1" s="2" t="b">
        <f t="shared" si="80"/>
        <v>1</v>
      </c>
      <c r="V1701" s="2">
        <f>IF(Table4[[#This Row],[linear?]],Table4[[#This Row],[av]],10^(Table4[[#This Row],[av]]/10))</f>
        <v>1</v>
      </c>
      <c r="W1701" s="2">
        <f>IF(Table4[[#This Row],[linear?]],Table4[[#This Row],[av]],10^(Table4[[#This Row],[av]]/10))</f>
        <v>1</v>
      </c>
      <c r="X1701" s="2">
        <f>Table4[[#This Row],[av_lin]]-2*Table4[[#This Row],[std_lin]]</f>
        <v>-1</v>
      </c>
      <c r="Y1701" s="2">
        <f>Table4[[#This Row],[av_lin]]+2*Table4[[#This Row],[std_lin]]</f>
        <v>3</v>
      </c>
    </row>
    <row r="1702" spans="1:25" x14ac:dyDescent="0.35">
      <c r="A1702" s="1">
        <v>1092</v>
      </c>
      <c r="B1702" t="s">
        <v>828</v>
      </c>
      <c r="C1702" t="s">
        <v>17</v>
      </c>
      <c r="D1702" t="s">
        <v>30</v>
      </c>
      <c r="E1702" s="2">
        <v>7644.2222222222217</v>
      </c>
      <c r="F1702" s="2">
        <v>70.713775565232709</v>
      </c>
      <c r="G1702">
        <v>6</v>
      </c>
      <c r="H1702" t="s">
        <v>19</v>
      </c>
      <c r="M1702" s="2">
        <v>7785.6497733526867</v>
      </c>
      <c r="N1702" s="2">
        <v>7502.7946710917568</v>
      </c>
      <c r="O1702" s="2">
        <v>282.85510226092993</v>
      </c>
      <c r="P1702" s="2">
        <v>108.10089209803979</v>
      </c>
      <c r="R1702" t="str">
        <f t="shared" si="78"/>
        <v>no</v>
      </c>
      <c r="S1702" t="str">
        <f t="shared" si="79"/>
        <v>no</v>
      </c>
      <c r="T17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2" s="2" t="b">
        <f t="shared" si="80"/>
        <v>1</v>
      </c>
      <c r="V1702" s="2">
        <f>IF(Table4[[#This Row],[linear?]],Table4[[#This Row],[av]],10^(Table4[[#This Row],[av]]/10))</f>
        <v>7644.2222222222217</v>
      </c>
      <c r="W1702" s="2">
        <f>IF(Table4[[#This Row],[linear?]],Table4[[#This Row],[av]],10^(Table4[[#This Row],[av]]/10))</f>
        <v>7644.2222222222217</v>
      </c>
      <c r="X1702" s="2">
        <f>Table4[[#This Row],[av_lin]]-2*Table4[[#This Row],[std_lin]]</f>
        <v>-7644.2222222222217</v>
      </c>
      <c r="Y1702" s="2">
        <f>Table4[[#This Row],[av_lin]]+2*Table4[[#This Row],[std_lin]]</f>
        <v>22932.666666666664</v>
      </c>
    </row>
    <row r="1703" spans="1:25" x14ac:dyDescent="0.35">
      <c r="A1703" s="1">
        <v>1093</v>
      </c>
      <c r="B1703" t="s">
        <v>828</v>
      </c>
      <c r="C1703" t="s">
        <v>17</v>
      </c>
      <c r="D1703" t="s">
        <v>31</v>
      </c>
      <c r="E1703" s="2">
        <v>1</v>
      </c>
      <c r="F1703" s="2">
        <v>0</v>
      </c>
      <c r="G1703">
        <v>6</v>
      </c>
      <c r="H1703" t="s">
        <v>19</v>
      </c>
      <c r="M1703" s="2">
        <v>1</v>
      </c>
      <c r="N1703" s="2">
        <v>1</v>
      </c>
      <c r="O1703" s="2">
        <v>0</v>
      </c>
      <c r="P1703" s="2" t="s">
        <v>21</v>
      </c>
      <c r="R1703" t="str">
        <f t="shared" si="78"/>
        <v>no</v>
      </c>
      <c r="S1703" t="str">
        <f t="shared" si="79"/>
        <v>no</v>
      </c>
      <c r="T17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3" s="2" t="b">
        <f t="shared" si="80"/>
        <v>1</v>
      </c>
      <c r="V1703" s="2">
        <f>IF(Table4[[#This Row],[linear?]],Table4[[#This Row],[av]],10^(Table4[[#This Row],[av]]/10))</f>
        <v>1</v>
      </c>
      <c r="W1703" s="2">
        <f>IF(Table4[[#This Row],[linear?]],Table4[[#This Row],[av]],10^(Table4[[#This Row],[av]]/10))</f>
        <v>1</v>
      </c>
      <c r="X1703" s="2">
        <f>Table4[[#This Row],[av_lin]]-2*Table4[[#This Row],[std_lin]]</f>
        <v>-1</v>
      </c>
      <c r="Y1703" s="2">
        <f>Table4[[#This Row],[av_lin]]+2*Table4[[#This Row],[std_lin]]</f>
        <v>3</v>
      </c>
    </row>
    <row r="1704" spans="1:25" x14ac:dyDescent="0.35">
      <c r="A1704" s="1">
        <v>1094</v>
      </c>
      <c r="B1704" t="s">
        <v>828</v>
      </c>
      <c r="C1704" t="s">
        <v>17</v>
      </c>
      <c r="D1704" t="s">
        <v>32</v>
      </c>
      <c r="E1704" s="2">
        <v>7647.6444444444451</v>
      </c>
      <c r="F1704" s="2">
        <v>127.2617994337137</v>
      </c>
      <c r="G1704">
        <v>6</v>
      </c>
      <c r="H1704" t="s">
        <v>19</v>
      </c>
      <c r="M1704" s="2">
        <v>7902.1680433118727</v>
      </c>
      <c r="N1704" s="2">
        <v>7393.1208455770166</v>
      </c>
      <c r="O1704" s="2">
        <v>509.04719773485522</v>
      </c>
      <c r="P1704" s="2">
        <v>60.093794669529572</v>
      </c>
      <c r="R1704" t="str">
        <f t="shared" si="78"/>
        <v>no</v>
      </c>
      <c r="S1704" t="str">
        <f t="shared" si="79"/>
        <v>no</v>
      </c>
      <c r="T17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4" s="2" t="b">
        <f t="shared" si="80"/>
        <v>1</v>
      </c>
      <c r="V1704" s="2">
        <f>IF(Table4[[#This Row],[linear?]],Table4[[#This Row],[av]],10^(Table4[[#This Row],[av]]/10))</f>
        <v>7647.6444444444451</v>
      </c>
      <c r="W1704" s="2">
        <f>IF(Table4[[#This Row],[linear?]],Table4[[#This Row],[av]],10^(Table4[[#This Row],[av]]/10))</f>
        <v>7647.6444444444451</v>
      </c>
      <c r="X1704" s="2">
        <f>Table4[[#This Row],[av_lin]]-2*Table4[[#This Row],[std_lin]]</f>
        <v>-7647.6444444444451</v>
      </c>
      <c r="Y1704" s="2">
        <f>Table4[[#This Row],[av_lin]]+2*Table4[[#This Row],[std_lin]]</f>
        <v>22942.933333333334</v>
      </c>
    </row>
    <row r="1705" spans="1:25" x14ac:dyDescent="0.35">
      <c r="A1705" s="1">
        <v>1095</v>
      </c>
      <c r="B1705" t="s">
        <v>828</v>
      </c>
      <c r="C1705" t="s">
        <v>17</v>
      </c>
      <c r="D1705" t="s">
        <v>33</v>
      </c>
      <c r="E1705" s="2">
        <v>1</v>
      </c>
      <c r="F1705" s="2">
        <v>0</v>
      </c>
      <c r="G1705">
        <v>6</v>
      </c>
      <c r="H1705" t="s">
        <v>19</v>
      </c>
      <c r="M1705" s="2">
        <v>1</v>
      </c>
      <c r="N1705" s="2">
        <v>1</v>
      </c>
      <c r="O1705" s="2">
        <v>0</v>
      </c>
      <c r="P1705" s="2" t="s">
        <v>21</v>
      </c>
      <c r="R1705" t="str">
        <f t="shared" si="78"/>
        <v>no</v>
      </c>
      <c r="S1705" t="str">
        <f t="shared" si="79"/>
        <v>no</v>
      </c>
      <c r="T17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5" s="2" t="b">
        <f t="shared" si="80"/>
        <v>1</v>
      </c>
      <c r="V1705" s="2">
        <f>IF(Table4[[#This Row],[linear?]],Table4[[#This Row],[av]],10^(Table4[[#This Row],[av]]/10))</f>
        <v>1</v>
      </c>
      <c r="W1705" s="2">
        <f>IF(Table4[[#This Row],[linear?]],Table4[[#This Row],[av]],10^(Table4[[#This Row],[av]]/10))</f>
        <v>1</v>
      </c>
      <c r="X1705" s="2">
        <f>Table4[[#This Row],[av_lin]]-2*Table4[[#This Row],[std_lin]]</f>
        <v>-1</v>
      </c>
      <c r="Y1705" s="2">
        <f>Table4[[#This Row],[av_lin]]+2*Table4[[#This Row],[std_lin]]</f>
        <v>3</v>
      </c>
    </row>
    <row r="1706" spans="1:25" x14ac:dyDescent="0.35">
      <c r="A1706" s="1">
        <v>1096</v>
      </c>
      <c r="B1706" t="s">
        <v>828</v>
      </c>
      <c r="C1706" t="s">
        <v>17</v>
      </c>
      <c r="D1706" t="s">
        <v>34</v>
      </c>
      <c r="E1706" s="2">
        <v>7622.9722222222217</v>
      </c>
      <c r="F1706" s="2">
        <v>82.545654836388493</v>
      </c>
      <c r="G1706">
        <v>6</v>
      </c>
      <c r="H1706" t="s">
        <v>19</v>
      </c>
      <c r="M1706" s="2">
        <v>7788.063531894999</v>
      </c>
      <c r="N1706" s="2">
        <v>7457.8809125494436</v>
      </c>
      <c r="O1706" s="2">
        <v>330.18261934555449</v>
      </c>
      <c r="P1706" s="2">
        <v>92.348558350303335</v>
      </c>
      <c r="R1706" t="str">
        <f t="shared" si="78"/>
        <v>no</v>
      </c>
      <c r="S1706" t="str">
        <f t="shared" si="79"/>
        <v>no</v>
      </c>
      <c r="T17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6" s="2" t="b">
        <f t="shared" si="80"/>
        <v>1</v>
      </c>
      <c r="V1706" s="2">
        <f>IF(Table4[[#This Row],[linear?]],Table4[[#This Row],[av]],10^(Table4[[#This Row],[av]]/10))</f>
        <v>7622.9722222222217</v>
      </c>
      <c r="W1706" s="2">
        <f>IF(Table4[[#This Row],[linear?]],Table4[[#This Row],[av]],10^(Table4[[#This Row],[av]]/10))</f>
        <v>7622.9722222222217</v>
      </c>
      <c r="X1706" s="2">
        <f>Table4[[#This Row],[av_lin]]-2*Table4[[#This Row],[std_lin]]</f>
        <v>-7622.9722222222217</v>
      </c>
      <c r="Y1706" s="2">
        <f>Table4[[#This Row],[av_lin]]+2*Table4[[#This Row],[std_lin]]</f>
        <v>22868.916666666664</v>
      </c>
    </row>
    <row r="1707" spans="1:25" x14ac:dyDescent="0.35">
      <c r="A1707" s="1">
        <v>1097</v>
      </c>
      <c r="B1707" t="s">
        <v>828</v>
      </c>
      <c r="C1707" t="s">
        <v>17</v>
      </c>
      <c r="D1707" t="s">
        <v>35</v>
      </c>
      <c r="E1707" s="2">
        <v>1</v>
      </c>
      <c r="F1707" s="2">
        <v>0</v>
      </c>
      <c r="G1707">
        <v>6</v>
      </c>
      <c r="H1707" t="s">
        <v>19</v>
      </c>
      <c r="M1707" s="2">
        <v>1</v>
      </c>
      <c r="N1707" s="2">
        <v>1</v>
      </c>
      <c r="O1707" s="2">
        <v>0</v>
      </c>
      <c r="P1707" s="2" t="s">
        <v>21</v>
      </c>
      <c r="R1707" t="str">
        <f t="shared" si="78"/>
        <v>no</v>
      </c>
      <c r="S1707" t="str">
        <f t="shared" si="79"/>
        <v>no</v>
      </c>
      <c r="T17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7" s="2" t="b">
        <f t="shared" si="80"/>
        <v>1</v>
      </c>
      <c r="V1707" s="2">
        <f>IF(Table4[[#This Row],[linear?]],Table4[[#This Row],[av]],10^(Table4[[#This Row],[av]]/10))</f>
        <v>1</v>
      </c>
      <c r="W1707" s="2">
        <f>IF(Table4[[#This Row],[linear?]],Table4[[#This Row],[av]],10^(Table4[[#This Row],[av]]/10))</f>
        <v>1</v>
      </c>
      <c r="X1707" s="2">
        <f>Table4[[#This Row],[av_lin]]-2*Table4[[#This Row],[std_lin]]</f>
        <v>-1</v>
      </c>
      <c r="Y1707" s="2">
        <f>Table4[[#This Row],[av_lin]]+2*Table4[[#This Row],[std_lin]]</f>
        <v>3</v>
      </c>
    </row>
    <row r="1708" spans="1:25" x14ac:dyDescent="0.35">
      <c r="A1708" s="1">
        <v>1098</v>
      </c>
      <c r="B1708" t="s">
        <v>828</v>
      </c>
      <c r="C1708" t="s">
        <v>17</v>
      </c>
      <c r="D1708" t="s">
        <v>36</v>
      </c>
      <c r="E1708" s="2">
        <v>2.9344120689655169</v>
      </c>
      <c r="F1708" s="2">
        <v>2.34794635745974E-2</v>
      </c>
      <c r="G1708">
        <v>6</v>
      </c>
      <c r="H1708" t="s">
        <v>19</v>
      </c>
      <c r="M1708" s="2">
        <v>2.9813709961147121</v>
      </c>
      <c r="N1708" s="2">
        <v>2.8874531418163221</v>
      </c>
      <c r="O1708" s="2">
        <v>9.3917854298389614E-2</v>
      </c>
      <c r="P1708" s="2">
        <v>124.9778155979798</v>
      </c>
      <c r="R1708" t="str">
        <f t="shared" si="78"/>
        <v>no</v>
      </c>
      <c r="S1708" t="str">
        <f t="shared" si="79"/>
        <v>no</v>
      </c>
      <c r="T17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8" s="2" t="b">
        <f t="shared" si="80"/>
        <v>1</v>
      </c>
      <c r="V1708" s="2">
        <f>IF(Table4[[#This Row],[linear?]],Table4[[#This Row],[av]],10^(Table4[[#This Row],[av]]/10))</f>
        <v>2.9344120689655169</v>
      </c>
      <c r="W1708" s="2">
        <f>IF(Table4[[#This Row],[linear?]],Table4[[#This Row],[av]],10^(Table4[[#This Row],[av]]/10))</f>
        <v>2.9344120689655169</v>
      </c>
      <c r="X1708" s="2">
        <f>Table4[[#This Row],[av_lin]]-2*Table4[[#This Row],[std_lin]]</f>
        <v>-2.9344120689655169</v>
      </c>
      <c r="Y1708" s="2">
        <f>Table4[[#This Row],[av_lin]]+2*Table4[[#This Row],[std_lin]]</f>
        <v>8.8032362068965497</v>
      </c>
    </row>
    <row r="1709" spans="1:25" x14ac:dyDescent="0.35">
      <c r="A1709" s="1">
        <v>1099</v>
      </c>
      <c r="B1709" t="s">
        <v>828</v>
      </c>
      <c r="C1709" t="s">
        <v>17</v>
      </c>
      <c r="D1709" t="s">
        <v>37</v>
      </c>
      <c r="E1709" s="2">
        <v>24.11512298850575</v>
      </c>
      <c r="F1709" s="2">
        <v>0.30189167430744002</v>
      </c>
      <c r="G1709">
        <v>6</v>
      </c>
      <c r="H1709" t="s">
        <v>19</v>
      </c>
      <c r="M1709" s="2">
        <v>24.718906337120629</v>
      </c>
      <c r="N1709" s="2">
        <v>23.511339639890871</v>
      </c>
      <c r="O1709" s="2">
        <v>1.2075666972297581</v>
      </c>
      <c r="P1709" s="2">
        <v>79.880053147631443</v>
      </c>
      <c r="R1709" t="str">
        <f t="shared" si="78"/>
        <v>no</v>
      </c>
      <c r="S1709" t="str">
        <f t="shared" si="79"/>
        <v>no</v>
      </c>
      <c r="T17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9" s="2" t="b">
        <f t="shared" si="80"/>
        <v>1</v>
      </c>
      <c r="V1709" s="2">
        <f>IF(Table4[[#This Row],[linear?]],Table4[[#This Row],[av]],10^(Table4[[#This Row],[av]]/10))</f>
        <v>24.11512298850575</v>
      </c>
      <c r="W1709" s="2">
        <f>IF(Table4[[#This Row],[linear?]],Table4[[#This Row],[av]],10^(Table4[[#This Row],[av]]/10))</f>
        <v>24.11512298850575</v>
      </c>
      <c r="X1709" s="2">
        <f>Table4[[#This Row],[av_lin]]-2*Table4[[#This Row],[std_lin]]</f>
        <v>-24.11512298850575</v>
      </c>
      <c r="Y1709" s="2">
        <f>Table4[[#This Row],[av_lin]]+2*Table4[[#This Row],[std_lin]]</f>
        <v>72.345368965517252</v>
      </c>
    </row>
    <row r="1710" spans="1:25" x14ac:dyDescent="0.35">
      <c r="A1710" s="1">
        <v>1100</v>
      </c>
      <c r="B1710" t="s">
        <v>828</v>
      </c>
      <c r="C1710" t="s">
        <v>17</v>
      </c>
      <c r="D1710" t="s">
        <v>38</v>
      </c>
      <c r="E1710" s="2">
        <v>9.9187356321839087E-2</v>
      </c>
      <c r="F1710" s="2">
        <v>1.372620936856875E-2</v>
      </c>
      <c r="G1710">
        <v>6</v>
      </c>
      <c r="H1710" t="s">
        <v>19</v>
      </c>
      <c r="M1710" s="2">
        <v>0.12663977505897661</v>
      </c>
      <c r="N1710" s="2">
        <v>7.1734937584701591E-2</v>
      </c>
      <c r="O1710" s="2">
        <v>5.4904837474274992E-2</v>
      </c>
      <c r="P1710" s="2">
        <v>7.2261287627569883</v>
      </c>
      <c r="R1710" t="str">
        <f t="shared" si="78"/>
        <v>no</v>
      </c>
      <c r="S1710" t="str">
        <f t="shared" si="79"/>
        <v>no</v>
      </c>
      <c r="T17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0" s="2" t="b">
        <f t="shared" si="80"/>
        <v>1</v>
      </c>
      <c r="V1710" s="2">
        <f>IF(Table4[[#This Row],[linear?]],Table4[[#This Row],[av]],10^(Table4[[#This Row],[av]]/10))</f>
        <v>9.9187356321839087E-2</v>
      </c>
      <c r="W1710" s="2">
        <f>IF(Table4[[#This Row],[linear?]],Table4[[#This Row],[av]],10^(Table4[[#This Row],[av]]/10))</f>
        <v>9.9187356321839087E-2</v>
      </c>
      <c r="X1710" s="2">
        <f>Table4[[#This Row],[av_lin]]-2*Table4[[#This Row],[std_lin]]</f>
        <v>-9.9187356321839087E-2</v>
      </c>
      <c r="Y1710" s="2">
        <f>Table4[[#This Row],[av_lin]]+2*Table4[[#This Row],[std_lin]]</f>
        <v>0.29756206896551729</v>
      </c>
    </row>
    <row r="1711" spans="1:25" x14ac:dyDescent="0.35">
      <c r="A1711" s="1">
        <v>1101</v>
      </c>
      <c r="B1711" t="s">
        <v>828</v>
      </c>
      <c r="C1711" t="s">
        <v>17</v>
      </c>
      <c r="D1711" t="s">
        <v>39</v>
      </c>
      <c r="E1711" s="2">
        <v>24.12233275862069</v>
      </c>
      <c r="F1711" s="2">
        <v>0.32227546030018128</v>
      </c>
      <c r="G1711">
        <v>6</v>
      </c>
      <c r="H1711" t="s">
        <v>19</v>
      </c>
      <c r="M1711" s="2">
        <v>24.766883679221049</v>
      </c>
      <c r="N1711" s="2">
        <v>23.477781838020331</v>
      </c>
      <c r="O1711" s="2">
        <v>1.289101841200726</v>
      </c>
      <c r="P1711" s="2">
        <v>74.850045163699733</v>
      </c>
      <c r="R1711" t="str">
        <f t="shared" si="78"/>
        <v>no</v>
      </c>
      <c r="S1711" t="str">
        <f t="shared" si="79"/>
        <v>no</v>
      </c>
      <c r="T17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1" s="2" t="b">
        <f t="shared" si="80"/>
        <v>1</v>
      </c>
      <c r="V1711" s="2">
        <f>IF(Table4[[#This Row],[linear?]],Table4[[#This Row],[av]],10^(Table4[[#This Row],[av]]/10))</f>
        <v>24.12233275862069</v>
      </c>
      <c r="W1711" s="2">
        <f>IF(Table4[[#This Row],[linear?]],Table4[[#This Row],[av]],10^(Table4[[#This Row],[av]]/10))</f>
        <v>24.12233275862069</v>
      </c>
      <c r="X1711" s="2">
        <f>Table4[[#This Row],[av_lin]]-2*Table4[[#This Row],[std_lin]]</f>
        <v>-24.12233275862069</v>
      </c>
      <c r="Y1711" s="2">
        <f>Table4[[#This Row],[av_lin]]+2*Table4[[#This Row],[std_lin]]</f>
        <v>72.366998275862073</v>
      </c>
    </row>
    <row r="1712" spans="1:25" x14ac:dyDescent="0.35">
      <c r="A1712" s="1">
        <v>1102</v>
      </c>
      <c r="B1712" t="s">
        <v>828</v>
      </c>
      <c r="C1712" t="s">
        <v>17</v>
      </c>
      <c r="D1712" t="s">
        <v>40</v>
      </c>
      <c r="E1712" s="2">
        <v>0.1018385057471264</v>
      </c>
      <c r="F1712" s="2">
        <v>7.9052096800100377E-3</v>
      </c>
      <c r="G1712">
        <v>6</v>
      </c>
      <c r="H1712" t="s">
        <v>19</v>
      </c>
      <c r="M1712" s="2">
        <v>0.1176489251071465</v>
      </c>
      <c r="N1712" s="2">
        <v>8.6028086387106323E-2</v>
      </c>
      <c r="O1712" s="2">
        <v>3.1620838720040151E-2</v>
      </c>
      <c r="P1712" s="2">
        <v>12.882454719024871</v>
      </c>
      <c r="R1712" t="str">
        <f t="shared" si="78"/>
        <v>no</v>
      </c>
      <c r="S1712" t="str">
        <f t="shared" si="79"/>
        <v>no</v>
      </c>
      <c r="T17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2" s="2" t="b">
        <f t="shared" si="80"/>
        <v>1</v>
      </c>
      <c r="V1712" s="2">
        <f>IF(Table4[[#This Row],[linear?]],Table4[[#This Row],[av]],10^(Table4[[#This Row],[av]]/10))</f>
        <v>0.1018385057471264</v>
      </c>
      <c r="W1712" s="2">
        <f>IF(Table4[[#This Row],[linear?]],Table4[[#This Row],[av]],10^(Table4[[#This Row],[av]]/10))</f>
        <v>0.1018385057471264</v>
      </c>
      <c r="X1712" s="2">
        <f>Table4[[#This Row],[av_lin]]-2*Table4[[#This Row],[std_lin]]</f>
        <v>-0.1018385057471264</v>
      </c>
      <c r="Y1712" s="2">
        <f>Table4[[#This Row],[av_lin]]+2*Table4[[#This Row],[std_lin]]</f>
        <v>0.30551551724137921</v>
      </c>
    </row>
    <row r="1713" spans="1:25" x14ac:dyDescent="0.35">
      <c r="A1713" s="1">
        <v>1103</v>
      </c>
      <c r="B1713" t="s">
        <v>828</v>
      </c>
      <c r="C1713" t="s">
        <v>17</v>
      </c>
      <c r="D1713" t="s">
        <v>41</v>
      </c>
      <c r="E1713" s="2">
        <v>24.10561264367816</v>
      </c>
      <c r="F1713" s="2">
        <v>0.25184697353960078</v>
      </c>
      <c r="G1713">
        <v>6</v>
      </c>
      <c r="H1713" t="s">
        <v>19</v>
      </c>
      <c r="M1713" s="2">
        <v>24.60930659075736</v>
      </c>
      <c r="N1713" s="2">
        <v>23.601918696598961</v>
      </c>
      <c r="O1713" s="2">
        <v>1.007387894158406</v>
      </c>
      <c r="P1713" s="2">
        <v>95.715315951127593</v>
      </c>
      <c r="R1713" t="str">
        <f t="shared" si="78"/>
        <v>no</v>
      </c>
      <c r="S1713" t="str">
        <f t="shared" si="79"/>
        <v>no</v>
      </c>
      <c r="T17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3" s="2" t="b">
        <f t="shared" si="80"/>
        <v>1</v>
      </c>
      <c r="V1713" s="2">
        <f>IF(Table4[[#This Row],[linear?]],Table4[[#This Row],[av]],10^(Table4[[#This Row],[av]]/10))</f>
        <v>24.10561264367816</v>
      </c>
      <c r="W1713" s="2">
        <f>IF(Table4[[#This Row],[linear?]],Table4[[#This Row],[av]],10^(Table4[[#This Row],[av]]/10))</f>
        <v>24.10561264367816</v>
      </c>
      <c r="X1713" s="2">
        <f>Table4[[#This Row],[av_lin]]-2*Table4[[#This Row],[std_lin]]</f>
        <v>-24.10561264367816</v>
      </c>
      <c r="Y1713" s="2">
        <f>Table4[[#This Row],[av_lin]]+2*Table4[[#This Row],[std_lin]]</f>
        <v>72.316837931034485</v>
      </c>
    </row>
    <row r="1714" spans="1:25" x14ac:dyDescent="0.35">
      <c r="A1714" s="1">
        <v>1104</v>
      </c>
      <c r="B1714" t="s">
        <v>828</v>
      </c>
      <c r="C1714" t="s">
        <v>17</v>
      </c>
      <c r="D1714" t="s">
        <v>42</v>
      </c>
      <c r="E1714" s="2">
        <v>2.1466666666666669E-2</v>
      </c>
      <c r="F1714" s="2">
        <v>6.4492631006157434E-3</v>
      </c>
      <c r="G1714">
        <v>6</v>
      </c>
      <c r="H1714" t="s">
        <v>19</v>
      </c>
      <c r="M1714" s="2">
        <v>3.4365192867898159E-2</v>
      </c>
      <c r="N1714" s="2">
        <v>8.5681404654351818E-3</v>
      </c>
      <c r="O1714" s="2">
        <v>2.579705240246298E-2</v>
      </c>
      <c r="P1714" s="2">
        <v>3.328545654249575</v>
      </c>
      <c r="R1714" t="str">
        <f t="shared" si="78"/>
        <v>no</v>
      </c>
      <c r="S1714" t="str">
        <f t="shared" si="79"/>
        <v>no</v>
      </c>
      <c r="T17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4" s="2" t="b">
        <f t="shared" si="80"/>
        <v>1</v>
      </c>
      <c r="V1714" s="2">
        <f>IF(Table4[[#This Row],[linear?]],Table4[[#This Row],[av]],10^(Table4[[#This Row],[av]]/10))</f>
        <v>2.1466666666666669E-2</v>
      </c>
      <c r="W1714" s="2">
        <f>IF(Table4[[#This Row],[linear?]],Table4[[#This Row],[av]],10^(Table4[[#This Row],[av]]/10))</f>
        <v>2.1466666666666669E-2</v>
      </c>
      <c r="X1714" s="2">
        <f>Table4[[#This Row],[av_lin]]-2*Table4[[#This Row],[std_lin]]</f>
        <v>-2.1466666666666669E-2</v>
      </c>
      <c r="Y1714" s="2">
        <f>Table4[[#This Row],[av_lin]]+2*Table4[[#This Row],[std_lin]]</f>
        <v>6.4400000000000013E-2</v>
      </c>
    </row>
    <row r="1715" spans="1:25" x14ac:dyDescent="0.35">
      <c r="A1715" s="1">
        <v>1105</v>
      </c>
      <c r="B1715" t="s">
        <v>828</v>
      </c>
      <c r="C1715" t="s">
        <v>17</v>
      </c>
      <c r="D1715" t="s">
        <v>43</v>
      </c>
      <c r="E1715" s="2">
        <v>24.151762068965521</v>
      </c>
      <c r="F1715" s="2">
        <v>0.25383908079102091</v>
      </c>
      <c r="G1715">
        <v>6</v>
      </c>
      <c r="H1715" t="s">
        <v>19</v>
      </c>
      <c r="M1715" s="2">
        <v>24.65944023054756</v>
      </c>
      <c r="N1715" s="2">
        <v>23.644083907383479</v>
      </c>
      <c r="O1715" s="2">
        <v>1.015356323164085</v>
      </c>
      <c r="P1715" s="2">
        <v>95.145956224325587</v>
      </c>
      <c r="R1715" t="str">
        <f t="shared" si="78"/>
        <v>no</v>
      </c>
      <c r="S1715" t="str">
        <f t="shared" si="79"/>
        <v>no</v>
      </c>
      <c r="T17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5" s="2" t="b">
        <f t="shared" si="80"/>
        <v>1</v>
      </c>
      <c r="V1715" s="2">
        <f>IF(Table4[[#This Row],[linear?]],Table4[[#This Row],[av]],10^(Table4[[#This Row],[av]]/10))</f>
        <v>24.151762068965521</v>
      </c>
      <c r="W1715" s="2">
        <f>IF(Table4[[#This Row],[linear?]],Table4[[#This Row],[av]],10^(Table4[[#This Row],[av]]/10))</f>
        <v>24.151762068965521</v>
      </c>
      <c r="X1715" s="2">
        <f>Table4[[#This Row],[av_lin]]-2*Table4[[#This Row],[std_lin]]</f>
        <v>-24.151762068965521</v>
      </c>
      <c r="Y1715" s="2">
        <f>Table4[[#This Row],[av_lin]]+2*Table4[[#This Row],[std_lin]]</f>
        <v>72.45528620689656</v>
      </c>
    </row>
    <row r="1716" spans="1:25" x14ac:dyDescent="0.35">
      <c r="A1716" s="1">
        <v>1106</v>
      </c>
      <c r="B1716" t="s">
        <v>828</v>
      </c>
      <c r="C1716" t="s">
        <v>17</v>
      </c>
      <c r="D1716" t="s">
        <v>44</v>
      </c>
      <c r="E1716" s="2">
        <v>0.68983735632183918</v>
      </c>
      <c r="F1716" s="2">
        <v>1.6963565386939189E-2</v>
      </c>
      <c r="G1716">
        <v>6</v>
      </c>
      <c r="H1716" t="s">
        <v>19</v>
      </c>
      <c r="M1716" s="2">
        <v>0.72376448709571761</v>
      </c>
      <c r="N1716" s="2">
        <v>0.65591022554796075</v>
      </c>
      <c r="O1716" s="2">
        <v>6.7854261547756867E-2</v>
      </c>
      <c r="P1716" s="2">
        <v>40.665823521567447</v>
      </c>
      <c r="R1716" t="str">
        <f t="shared" si="78"/>
        <v>no</v>
      </c>
      <c r="S1716" t="str">
        <f t="shared" si="79"/>
        <v>no</v>
      </c>
      <c r="T17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6" s="2" t="b">
        <f t="shared" si="80"/>
        <v>1</v>
      </c>
      <c r="V1716" s="2">
        <f>IF(Table4[[#This Row],[linear?]],Table4[[#This Row],[av]],10^(Table4[[#This Row],[av]]/10))</f>
        <v>0.68983735632183918</v>
      </c>
      <c r="W1716" s="2">
        <f>IF(Table4[[#This Row],[linear?]],Table4[[#This Row],[av]],10^(Table4[[#This Row],[av]]/10))</f>
        <v>0.68983735632183918</v>
      </c>
      <c r="X1716" s="2">
        <f>Table4[[#This Row],[av_lin]]-2*Table4[[#This Row],[std_lin]]</f>
        <v>-0.68983735632183918</v>
      </c>
      <c r="Y1716" s="2">
        <f>Table4[[#This Row],[av_lin]]+2*Table4[[#This Row],[std_lin]]</f>
        <v>2.0695120689655173</v>
      </c>
    </row>
    <row r="1717" spans="1:25" x14ac:dyDescent="0.35">
      <c r="A1717" s="1">
        <v>1107</v>
      </c>
      <c r="B1717" t="s">
        <v>828</v>
      </c>
      <c r="C1717" t="s">
        <v>17</v>
      </c>
      <c r="D1717" t="s">
        <v>45</v>
      </c>
      <c r="E1717" s="2">
        <v>35.910156321839082</v>
      </c>
      <c r="F1717" s="2">
        <v>0.16500898632010491</v>
      </c>
      <c r="G1717">
        <v>6</v>
      </c>
      <c r="H1717" t="s">
        <v>19</v>
      </c>
      <c r="M1717" s="2">
        <v>36.240174294479289</v>
      </c>
      <c r="N1717" s="2">
        <v>35.580138349198883</v>
      </c>
      <c r="O1717" s="2">
        <v>0.66003594528041276</v>
      </c>
      <c r="P1717" s="2">
        <v>217.6254586048793</v>
      </c>
      <c r="R1717" t="str">
        <f t="shared" si="78"/>
        <v>no</v>
      </c>
      <c r="S1717" t="str">
        <f t="shared" si="79"/>
        <v>no</v>
      </c>
      <c r="T17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7" s="2" t="b">
        <f t="shared" si="80"/>
        <v>1</v>
      </c>
      <c r="V1717" s="2">
        <f>IF(Table4[[#This Row],[linear?]],Table4[[#This Row],[av]],10^(Table4[[#This Row],[av]]/10))</f>
        <v>35.910156321839082</v>
      </c>
      <c r="W1717" s="2">
        <f>IF(Table4[[#This Row],[linear?]],Table4[[#This Row],[av]],10^(Table4[[#This Row],[av]]/10))</f>
        <v>35.910156321839082</v>
      </c>
      <c r="X1717" s="2">
        <f>Table4[[#This Row],[av_lin]]-2*Table4[[#This Row],[std_lin]]</f>
        <v>-35.910156321839082</v>
      </c>
      <c r="Y1717" s="2">
        <f>Table4[[#This Row],[av_lin]]+2*Table4[[#This Row],[std_lin]]</f>
        <v>107.73046896551725</v>
      </c>
    </row>
    <row r="1718" spans="1:25" x14ac:dyDescent="0.35">
      <c r="A1718" s="1">
        <v>1108</v>
      </c>
      <c r="B1718" t="s">
        <v>828</v>
      </c>
      <c r="C1718" t="s">
        <v>17</v>
      </c>
      <c r="D1718" t="s">
        <v>46</v>
      </c>
      <c r="E1718" s="2">
        <v>0.69262298850574711</v>
      </c>
      <c r="F1718" s="2">
        <v>1.6942540916301721E-2</v>
      </c>
      <c r="G1718">
        <v>6</v>
      </c>
      <c r="H1718" t="s">
        <v>19</v>
      </c>
      <c r="M1718" s="2">
        <v>0.72650807033835052</v>
      </c>
      <c r="N1718" s="2">
        <v>0.65873790667314369</v>
      </c>
      <c r="O1718" s="2">
        <v>6.7770163665206828E-2</v>
      </c>
      <c r="P1718" s="2">
        <v>40.880703309343723</v>
      </c>
      <c r="R1718" t="str">
        <f t="shared" si="78"/>
        <v>no</v>
      </c>
      <c r="S1718" t="str">
        <f t="shared" si="79"/>
        <v>no</v>
      </c>
      <c r="T17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8" s="2" t="b">
        <f t="shared" si="80"/>
        <v>1</v>
      </c>
      <c r="V1718" s="2">
        <f>IF(Table4[[#This Row],[linear?]],Table4[[#This Row],[av]],10^(Table4[[#This Row],[av]]/10))</f>
        <v>0.69262298850574711</v>
      </c>
      <c r="W1718" s="2">
        <f>IF(Table4[[#This Row],[linear?]],Table4[[#This Row],[av]],10^(Table4[[#This Row],[av]]/10))</f>
        <v>0.69262298850574711</v>
      </c>
      <c r="X1718" s="2">
        <f>Table4[[#This Row],[av_lin]]-2*Table4[[#This Row],[std_lin]]</f>
        <v>-0.69262298850574711</v>
      </c>
      <c r="Y1718" s="2">
        <f>Table4[[#This Row],[av_lin]]+2*Table4[[#This Row],[std_lin]]</f>
        <v>2.0778689655172413</v>
      </c>
    </row>
    <row r="1719" spans="1:25" x14ac:dyDescent="0.35">
      <c r="A1719" s="1">
        <v>1109</v>
      </c>
      <c r="B1719" t="s">
        <v>828</v>
      </c>
      <c r="C1719" t="s">
        <v>17</v>
      </c>
      <c r="D1719" t="s">
        <v>47</v>
      </c>
      <c r="E1719" s="2">
        <v>35.902418965517249</v>
      </c>
      <c r="F1719" s="2">
        <v>0.15783535228074869</v>
      </c>
      <c r="G1719">
        <v>6</v>
      </c>
      <c r="H1719" t="s">
        <v>19</v>
      </c>
      <c r="M1719" s="2">
        <v>36.218089670078747</v>
      </c>
      <c r="N1719" s="2">
        <v>35.586748260955751</v>
      </c>
      <c r="O1719" s="2">
        <v>0.63134140912299586</v>
      </c>
      <c r="P1719" s="2">
        <v>227.46753782800221</v>
      </c>
      <c r="R1719" t="str">
        <f t="shared" si="78"/>
        <v>no</v>
      </c>
      <c r="S1719" t="str">
        <f t="shared" si="79"/>
        <v>no</v>
      </c>
      <c r="T17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9" s="2" t="b">
        <f t="shared" si="80"/>
        <v>1</v>
      </c>
      <c r="V1719" s="2">
        <f>IF(Table4[[#This Row],[linear?]],Table4[[#This Row],[av]],10^(Table4[[#This Row],[av]]/10))</f>
        <v>35.902418965517249</v>
      </c>
      <c r="W1719" s="2">
        <f>IF(Table4[[#This Row],[linear?]],Table4[[#This Row],[av]],10^(Table4[[#This Row],[av]]/10))</f>
        <v>35.902418965517249</v>
      </c>
      <c r="X1719" s="2">
        <f>Table4[[#This Row],[av_lin]]-2*Table4[[#This Row],[std_lin]]</f>
        <v>-35.902418965517249</v>
      </c>
      <c r="Y1719" s="2">
        <f>Table4[[#This Row],[av_lin]]+2*Table4[[#This Row],[std_lin]]</f>
        <v>107.70725689655174</v>
      </c>
    </row>
    <row r="1720" spans="1:25" x14ac:dyDescent="0.35">
      <c r="A1720" s="1">
        <v>1110</v>
      </c>
      <c r="B1720" t="s">
        <v>828</v>
      </c>
      <c r="C1720" t="s">
        <v>17</v>
      </c>
      <c r="D1720" t="s">
        <v>48</v>
      </c>
      <c r="E1720" s="2">
        <v>0.68446896551724146</v>
      </c>
      <c r="F1720" s="2">
        <v>1.4861606194676819E-2</v>
      </c>
      <c r="G1720">
        <v>6</v>
      </c>
      <c r="H1720" t="s">
        <v>19</v>
      </c>
      <c r="M1720" s="2">
        <v>0.71419217790659506</v>
      </c>
      <c r="N1720" s="2">
        <v>0.65474575312788785</v>
      </c>
      <c r="O1720" s="2">
        <v>5.9446424778707208E-2</v>
      </c>
      <c r="P1720" s="2">
        <v>46.056190464958419</v>
      </c>
      <c r="R1720" t="str">
        <f t="shared" si="78"/>
        <v>no</v>
      </c>
      <c r="S1720" t="str">
        <f t="shared" si="79"/>
        <v>no</v>
      </c>
      <c r="T17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0" s="2" t="b">
        <f t="shared" si="80"/>
        <v>1</v>
      </c>
      <c r="V1720" s="2">
        <f>IF(Table4[[#This Row],[linear?]],Table4[[#This Row],[av]],10^(Table4[[#This Row],[av]]/10))</f>
        <v>0.68446896551724146</v>
      </c>
      <c r="W1720" s="2">
        <f>IF(Table4[[#This Row],[linear?]],Table4[[#This Row],[av]],10^(Table4[[#This Row],[av]]/10))</f>
        <v>0.68446896551724146</v>
      </c>
      <c r="X1720" s="2">
        <f>Table4[[#This Row],[av_lin]]-2*Table4[[#This Row],[std_lin]]</f>
        <v>-0.68446896551724146</v>
      </c>
      <c r="Y1720" s="2">
        <f>Table4[[#This Row],[av_lin]]+2*Table4[[#This Row],[std_lin]]</f>
        <v>2.0534068965517243</v>
      </c>
    </row>
    <row r="1721" spans="1:25" x14ac:dyDescent="0.35">
      <c r="A1721" s="1">
        <v>1111</v>
      </c>
      <c r="B1721" t="s">
        <v>828</v>
      </c>
      <c r="C1721" t="s">
        <v>17</v>
      </c>
      <c r="D1721" t="s">
        <v>49</v>
      </c>
      <c r="E1721" s="2">
        <v>35.863305747126432</v>
      </c>
      <c r="F1721" s="2">
        <v>0.1310081522205595</v>
      </c>
      <c r="G1721">
        <v>6</v>
      </c>
      <c r="H1721" t="s">
        <v>19</v>
      </c>
      <c r="M1721" s="2">
        <v>36.125322051567551</v>
      </c>
      <c r="N1721" s="2">
        <v>35.601289442685307</v>
      </c>
      <c r="O1721" s="2">
        <v>0.52403260888223713</v>
      </c>
      <c r="P1721" s="2">
        <v>273.74865715798018</v>
      </c>
      <c r="R1721" t="str">
        <f t="shared" si="78"/>
        <v>no</v>
      </c>
      <c r="S1721" t="str">
        <f t="shared" si="79"/>
        <v>no</v>
      </c>
      <c r="T17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1" s="2" t="b">
        <f t="shared" si="80"/>
        <v>1</v>
      </c>
      <c r="V1721" s="2">
        <f>IF(Table4[[#This Row],[linear?]],Table4[[#This Row],[av]],10^(Table4[[#This Row],[av]]/10))</f>
        <v>35.863305747126432</v>
      </c>
      <c r="W1721" s="2">
        <f>IF(Table4[[#This Row],[linear?]],Table4[[#This Row],[av]],10^(Table4[[#This Row],[av]]/10))</f>
        <v>35.863305747126432</v>
      </c>
      <c r="X1721" s="2">
        <f>Table4[[#This Row],[av_lin]]-2*Table4[[#This Row],[std_lin]]</f>
        <v>-35.863305747126432</v>
      </c>
      <c r="Y1721" s="2">
        <f>Table4[[#This Row],[av_lin]]+2*Table4[[#This Row],[std_lin]]</f>
        <v>107.5899172413793</v>
      </c>
    </row>
    <row r="1722" spans="1:25" x14ac:dyDescent="0.35">
      <c r="A1722" s="1">
        <v>1112</v>
      </c>
      <c r="B1722" t="s">
        <v>828</v>
      </c>
      <c r="C1722" t="s">
        <v>17</v>
      </c>
      <c r="D1722" t="s">
        <v>50</v>
      </c>
      <c r="E1722" s="2">
        <v>0.69335689655172417</v>
      </c>
      <c r="F1722" s="2">
        <v>1.184836092664408E-2</v>
      </c>
      <c r="G1722">
        <v>6</v>
      </c>
      <c r="H1722" t="s">
        <v>19</v>
      </c>
      <c r="M1722" s="2">
        <v>0.71705361840501236</v>
      </c>
      <c r="N1722" s="2">
        <v>0.66966017469843597</v>
      </c>
      <c r="O1722" s="2">
        <v>4.7393443706576388E-2</v>
      </c>
      <c r="P1722" s="2">
        <v>58.519224797797413</v>
      </c>
      <c r="R1722" t="str">
        <f t="shared" si="78"/>
        <v>no</v>
      </c>
      <c r="S1722" t="str">
        <f t="shared" si="79"/>
        <v>no</v>
      </c>
      <c r="T17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2" s="2" t="b">
        <f t="shared" si="80"/>
        <v>1</v>
      </c>
      <c r="V1722" s="2">
        <f>IF(Table4[[#This Row],[linear?]],Table4[[#This Row],[av]],10^(Table4[[#This Row],[av]]/10))</f>
        <v>0.69335689655172417</v>
      </c>
      <c r="W1722" s="2">
        <f>IF(Table4[[#This Row],[linear?]],Table4[[#This Row],[av]],10^(Table4[[#This Row],[av]]/10))</f>
        <v>0.69335689655172417</v>
      </c>
      <c r="X1722" s="2">
        <f>Table4[[#This Row],[av_lin]]-2*Table4[[#This Row],[std_lin]]</f>
        <v>-0.69335689655172417</v>
      </c>
      <c r="Y1722" s="2">
        <f>Table4[[#This Row],[av_lin]]+2*Table4[[#This Row],[std_lin]]</f>
        <v>2.0800706896551726</v>
      </c>
    </row>
    <row r="1723" spans="1:25" x14ac:dyDescent="0.35">
      <c r="A1723" s="1">
        <v>1113</v>
      </c>
      <c r="B1723" t="s">
        <v>828</v>
      </c>
      <c r="C1723" t="s">
        <v>17</v>
      </c>
      <c r="D1723" t="s">
        <v>51</v>
      </c>
      <c r="E1723" s="2">
        <v>35.829575862068971</v>
      </c>
      <c r="F1723" s="2">
        <v>0.164908297290532</v>
      </c>
      <c r="G1723">
        <v>6</v>
      </c>
      <c r="H1723" t="s">
        <v>19</v>
      </c>
      <c r="M1723" s="2">
        <v>36.159392456650032</v>
      </c>
      <c r="N1723" s="2">
        <v>35.49975926748791</v>
      </c>
      <c r="O1723" s="2">
        <v>0.65963318916212188</v>
      </c>
      <c r="P1723" s="2">
        <v>217.26969746673919</v>
      </c>
      <c r="R1723" t="str">
        <f t="shared" si="78"/>
        <v>no</v>
      </c>
      <c r="S1723" t="str">
        <f t="shared" si="79"/>
        <v>no</v>
      </c>
      <c r="T17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3" s="2" t="b">
        <f t="shared" si="80"/>
        <v>1</v>
      </c>
      <c r="V1723" s="2">
        <f>IF(Table4[[#This Row],[linear?]],Table4[[#This Row],[av]],10^(Table4[[#This Row],[av]]/10))</f>
        <v>35.829575862068971</v>
      </c>
      <c r="W1723" s="2">
        <f>IF(Table4[[#This Row],[linear?]],Table4[[#This Row],[av]],10^(Table4[[#This Row],[av]]/10))</f>
        <v>35.829575862068971</v>
      </c>
      <c r="X1723" s="2">
        <f>Table4[[#This Row],[av_lin]]-2*Table4[[#This Row],[std_lin]]</f>
        <v>-35.829575862068971</v>
      </c>
      <c r="Y1723" s="2">
        <f>Table4[[#This Row],[av_lin]]+2*Table4[[#This Row],[std_lin]]</f>
        <v>107.48872758620692</v>
      </c>
    </row>
    <row r="1724" spans="1:25" x14ac:dyDescent="0.35">
      <c r="A1724" s="1">
        <v>1114</v>
      </c>
      <c r="B1724" t="s">
        <v>828</v>
      </c>
      <c r="C1724" t="s">
        <v>17</v>
      </c>
      <c r="D1724" t="s">
        <v>52</v>
      </c>
      <c r="E1724" s="2">
        <v>0.69339425287356327</v>
      </c>
      <c r="F1724" s="2">
        <v>1.8001879998011689E-2</v>
      </c>
      <c r="G1724">
        <v>6</v>
      </c>
      <c r="H1724" t="s">
        <v>19</v>
      </c>
      <c r="M1724" s="2">
        <v>0.72939801286958661</v>
      </c>
      <c r="N1724" s="2">
        <v>0.65739049287753992</v>
      </c>
      <c r="O1724" s="2">
        <v>7.2007519992046687E-2</v>
      </c>
      <c r="P1724" s="2">
        <v>38.517879963101009</v>
      </c>
      <c r="R1724" t="str">
        <f t="shared" si="78"/>
        <v>no</v>
      </c>
      <c r="S1724" t="str">
        <f t="shared" si="79"/>
        <v>no</v>
      </c>
      <c r="T17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4" s="2" t="b">
        <f t="shared" si="80"/>
        <v>1</v>
      </c>
      <c r="V1724" s="2">
        <f>IF(Table4[[#This Row],[linear?]],Table4[[#This Row],[av]],10^(Table4[[#This Row],[av]]/10))</f>
        <v>0.69339425287356327</v>
      </c>
      <c r="W1724" s="2">
        <f>IF(Table4[[#This Row],[linear?]],Table4[[#This Row],[av]],10^(Table4[[#This Row],[av]]/10))</f>
        <v>0.69339425287356327</v>
      </c>
      <c r="X1724" s="2">
        <f>Table4[[#This Row],[av_lin]]-2*Table4[[#This Row],[std_lin]]</f>
        <v>-0.69339425287356327</v>
      </c>
      <c r="Y1724" s="2">
        <f>Table4[[#This Row],[av_lin]]+2*Table4[[#This Row],[std_lin]]</f>
        <v>2.0801827586206896</v>
      </c>
    </row>
    <row r="1725" spans="1:25" x14ac:dyDescent="0.35">
      <c r="A1725" s="1">
        <v>1115</v>
      </c>
      <c r="B1725" t="s">
        <v>828</v>
      </c>
      <c r="C1725" t="s">
        <v>17</v>
      </c>
      <c r="D1725" t="s">
        <v>53</v>
      </c>
      <c r="E1725" s="2">
        <v>35.873175287356332</v>
      </c>
      <c r="F1725" s="2">
        <v>0.24711650552446829</v>
      </c>
      <c r="G1725">
        <v>6</v>
      </c>
      <c r="H1725" t="s">
        <v>19</v>
      </c>
      <c r="M1725" s="2">
        <v>36.367408298405273</v>
      </c>
      <c r="N1725" s="2">
        <v>35.378942276307399</v>
      </c>
      <c r="O1725" s="2">
        <v>0.98846602209786738</v>
      </c>
      <c r="P1725" s="2">
        <v>145.16705475104069</v>
      </c>
      <c r="R1725" t="str">
        <f t="shared" si="78"/>
        <v>no</v>
      </c>
      <c r="S1725" t="str">
        <f t="shared" si="79"/>
        <v>no</v>
      </c>
      <c r="T17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5" s="2" t="b">
        <f t="shared" si="80"/>
        <v>1</v>
      </c>
      <c r="V1725" s="2">
        <f>IF(Table4[[#This Row],[linear?]],Table4[[#This Row],[av]],10^(Table4[[#This Row],[av]]/10))</f>
        <v>35.873175287356332</v>
      </c>
      <c r="W1725" s="2">
        <f>IF(Table4[[#This Row],[linear?]],Table4[[#This Row],[av]],10^(Table4[[#This Row],[av]]/10))</f>
        <v>35.873175287356332</v>
      </c>
      <c r="X1725" s="2">
        <f>Table4[[#This Row],[av_lin]]-2*Table4[[#This Row],[std_lin]]</f>
        <v>-35.873175287356332</v>
      </c>
      <c r="Y1725" s="2">
        <f>Table4[[#This Row],[av_lin]]+2*Table4[[#This Row],[std_lin]]</f>
        <v>107.619525862069</v>
      </c>
    </row>
    <row r="1726" spans="1:25" x14ac:dyDescent="0.35">
      <c r="A1726" s="1">
        <v>1116</v>
      </c>
      <c r="B1726" t="s">
        <v>828</v>
      </c>
      <c r="C1726" t="s">
        <v>17</v>
      </c>
      <c r="D1726" t="s">
        <v>54</v>
      </c>
      <c r="E1726" s="2">
        <v>0.70973850574712649</v>
      </c>
      <c r="F1726" s="2">
        <v>1.7949945506309972E-2</v>
      </c>
      <c r="G1726">
        <v>6</v>
      </c>
      <c r="H1726" t="s">
        <v>19</v>
      </c>
      <c r="M1726" s="2">
        <v>0.74563839675974641</v>
      </c>
      <c r="N1726" s="2">
        <v>0.67383861473450657</v>
      </c>
      <c r="O1726" s="2">
        <v>7.1799782025239844E-2</v>
      </c>
      <c r="P1726" s="2">
        <v>39.539869661310732</v>
      </c>
      <c r="R1726" t="str">
        <f t="shared" si="78"/>
        <v>no</v>
      </c>
      <c r="S1726" t="str">
        <f t="shared" si="79"/>
        <v>no</v>
      </c>
      <c r="T17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6" s="2" t="b">
        <f t="shared" si="80"/>
        <v>1</v>
      </c>
      <c r="V1726" s="2">
        <f>IF(Table4[[#This Row],[linear?]],Table4[[#This Row],[av]],10^(Table4[[#This Row],[av]]/10))</f>
        <v>0.70973850574712649</v>
      </c>
      <c r="W1726" s="2">
        <f>IF(Table4[[#This Row],[linear?]],Table4[[#This Row],[av]],10^(Table4[[#This Row],[av]]/10))</f>
        <v>0.70973850574712649</v>
      </c>
      <c r="X1726" s="2">
        <f>Table4[[#This Row],[av_lin]]-2*Table4[[#This Row],[std_lin]]</f>
        <v>-0.70973850574712649</v>
      </c>
      <c r="Y1726" s="2">
        <f>Table4[[#This Row],[av_lin]]+2*Table4[[#This Row],[std_lin]]</f>
        <v>2.1292155172413794</v>
      </c>
    </row>
    <row r="1727" spans="1:25" x14ac:dyDescent="0.35">
      <c r="A1727" s="1">
        <v>1117</v>
      </c>
      <c r="B1727" t="s">
        <v>828</v>
      </c>
      <c r="C1727" t="s">
        <v>17</v>
      </c>
      <c r="D1727" t="s">
        <v>55</v>
      </c>
      <c r="E1727" s="2">
        <v>35.874520689655178</v>
      </c>
      <c r="F1727" s="2">
        <v>6.6555428929360116E-2</v>
      </c>
      <c r="G1727">
        <v>6</v>
      </c>
      <c r="H1727" t="s">
        <v>19</v>
      </c>
      <c r="M1727" s="2">
        <v>36.007631547513903</v>
      </c>
      <c r="N1727" s="2">
        <v>35.74140983179646</v>
      </c>
      <c r="O1727" s="2">
        <v>0.26622171571743541</v>
      </c>
      <c r="P1727" s="2">
        <v>539.01719614385308</v>
      </c>
      <c r="R1727" t="str">
        <f t="shared" si="78"/>
        <v>no</v>
      </c>
      <c r="S1727" t="str">
        <f t="shared" si="79"/>
        <v>no</v>
      </c>
      <c r="T17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7" s="2" t="b">
        <f t="shared" si="80"/>
        <v>1</v>
      </c>
      <c r="V1727" s="2">
        <f>IF(Table4[[#This Row],[linear?]],Table4[[#This Row],[av]],10^(Table4[[#This Row],[av]]/10))</f>
        <v>35.874520689655178</v>
      </c>
      <c r="W1727" s="2">
        <f>IF(Table4[[#This Row],[linear?]],Table4[[#This Row],[av]],10^(Table4[[#This Row],[av]]/10))</f>
        <v>35.874520689655178</v>
      </c>
      <c r="X1727" s="2">
        <f>Table4[[#This Row],[av_lin]]-2*Table4[[#This Row],[std_lin]]</f>
        <v>-35.874520689655178</v>
      </c>
      <c r="Y1727" s="2">
        <f>Table4[[#This Row],[av_lin]]+2*Table4[[#This Row],[std_lin]]</f>
        <v>107.62356206896553</v>
      </c>
    </row>
    <row r="1728" spans="1:25" x14ac:dyDescent="0.35">
      <c r="A1728" s="1">
        <v>1140</v>
      </c>
      <c r="B1728" t="s">
        <v>829</v>
      </c>
      <c r="C1728" t="s">
        <v>76</v>
      </c>
      <c r="D1728" t="s">
        <v>77</v>
      </c>
      <c r="G1728">
        <v>27</v>
      </c>
      <c r="H1728" t="s">
        <v>19</v>
      </c>
      <c r="R1728" t="str">
        <f t="shared" si="78"/>
        <v>no</v>
      </c>
      <c r="S1728" t="str">
        <f t="shared" si="79"/>
        <v>no</v>
      </c>
      <c r="T17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8" s="2" t="b">
        <f t="shared" si="80"/>
        <v>1</v>
      </c>
      <c r="V1728" s="2">
        <f>IF(Table4[[#This Row],[linear?]],Table4[[#This Row],[av]],10^(Table4[[#This Row],[av]]/10))</f>
        <v>0</v>
      </c>
      <c r="W1728" s="2">
        <f>IF(Table4[[#This Row],[linear?]],Table4[[#This Row],[av]],10^(Table4[[#This Row],[av]]/10))</f>
        <v>0</v>
      </c>
      <c r="X1728" s="2">
        <f>Table4[[#This Row],[av_lin]]-2*Table4[[#This Row],[std_lin]]</f>
        <v>0</v>
      </c>
      <c r="Y1728" s="2">
        <f>Table4[[#This Row],[av_lin]]+2*Table4[[#This Row],[std_lin]]</f>
        <v>0</v>
      </c>
    </row>
    <row r="1729" spans="1:25" x14ac:dyDescent="0.35">
      <c r="A1729" s="1">
        <v>1141</v>
      </c>
      <c r="B1729" t="s">
        <v>829</v>
      </c>
      <c r="C1729" t="s">
        <v>76</v>
      </c>
      <c r="D1729" t="s">
        <v>78</v>
      </c>
      <c r="E1729" s="2">
        <v>1</v>
      </c>
      <c r="F1729" s="2">
        <v>0</v>
      </c>
      <c r="G1729">
        <v>27</v>
      </c>
      <c r="H1729" t="s">
        <v>19</v>
      </c>
      <c r="M1729" s="2">
        <v>1</v>
      </c>
      <c r="N1729" s="2">
        <v>1</v>
      </c>
      <c r="O1729" s="2">
        <v>0</v>
      </c>
      <c r="P1729" s="2" t="s">
        <v>21</v>
      </c>
      <c r="R1729" t="str">
        <f t="shared" si="78"/>
        <v>no</v>
      </c>
      <c r="S1729" t="str">
        <f t="shared" si="79"/>
        <v>no</v>
      </c>
      <c r="T17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9" s="2" t="b">
        <f t="shared" si="80"/>
        <v>1</v>
      </c>
      <c r="V1729" s="2">
        <f>IF(Table4[[#This Row],[linear?]],Table4[[#This Row],[av]],10^(Table4[[#This Row],[av]]/10))</f>
        <v>1</v>
      </c>
      <c r="W1729" s="2">
        <f>IF(Table4[[#This Row],[linear?]],Table4[[#This Row],[av]],10^(Table4[[#This Row],[av]]/10))</f>
        <v>1</v>
      </c>
      <c r="X1729" s="2">
        <f>Table4[[#This Row],[av_lin]]-2*Table4[[#This Row],[std_lin]]</f>
        <v>-1</v>
      </c>
      <c r="Y1729" s="2">
        <f>Table4[[#This Row],[av_lin]]+2*Table4[[#This Row],[std_lin]]</f>
        <v>3</v>
      </c>
    </row>
    <row r="1730" spans="1:25" x14ac:dyDescent="0.35">
      <c r="A1730" s="1">
        <v>1142</v>
      </c>
      <c r="B1730" t="s">
        <v>829</v>
      </c>
      <c r="C1730" t="s">
        <v>76</v>
      </c>
      <c r="D1730" t="s">
        <v>79</v>
      </c>
      <c r="E1730" s="2">
        <v>1</v>
      </c>
      <c r="F1730" s="2">
        <v>0</v>
      </c>
      <c r="G1730">
        <v>27</v>
      </c>
      <c r="H1730" t="s">
        <v>19</v>
      </c>
      <c r="M1730" s="2">
        <v>1</v>
      </c>
      <c r="N1730" s="2">
        <v>1</v>
      </c>
      <c r="O1730" s="2">
        <v>0</v>
      </c>
      <c r="P1730" s="2" t="s">
        <v>21</v>
      </c>
      <c r="R1730" t="str">
        <f t="shared" ref="R1730:R1793" si="81">IF(H1730="yes","yes","no")</f>
        <v>no</v>
      </c>
      <c r="S1730" t="str">
        <f t="shared" ref="S1730:S1793" si="82">IF(I1730,"yes","no")</f>
        <v>no</v>
      </c>
      <c r="T17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0" s="2" t="b">
        <f t="shared" ref="U1730:U1793" si="83">NOT(ISNUMBER(SEARCH("RFIC*POWER", D1730)))</f>
        <v>1</v>
      </c>
      <c r="V1730" s="2">
        <f>IF(Table4[[#This Row],[linear?]],Table4[[#This Row],[av]],10^(Table4[[#This Row],[av]]/10))</f>
        <v>1</v>
      </c>
      <c r="W1730" s="2">
        <f>IF(Table4[[#This Row],[linear?]],Table4[[#This Row],[av]],10^(Table4[[#This Row],[av]]/10))</f>
        <v>1</v>
      </c>
      <c r="X1730" s="2">
        <f>Table4[[#This Row],[av_lin]]-2*Table4[[#This Row],[std_lin]]</f>
        <v>-1</v>
      </c>
      <c r="Y1730" s="2">
        <f>Table4[[#This Row],[av_lin]]+2*Table4[[#This Row],[std_lin]]</f>
        <v>3</v>
      </c>
    </row>
    <row r="1731" spans="1:25" x14ac:dyDescent="0.35">
      <c r="A1731" s="1">
        <v>1143</v>
      </c>
      <c r="B1731" t="s">
        <v>829</v>
      </c>
      <c r="C1731" t="s">
        <v>76</v>
      </c>
      <c r="D1731" t="s">
        <v>80</v>
      </c>
      <c r="E1731" s="2">
        <v>1</v>
      </c>
      <c r="F1731" s="2">
        <v>0</v>
      </c>
      <c r="G1731">
        <v>27</v>
      </c>
      <c r="H1731" t="s">
        <v>19</v>
      </c>
      <c r="M1731" s="2">
        <v>1</v>
      </c>
      <c r="N1731" s="2">
        <v>1</v>
      </c>
      <c r="O1731" s="2">
        <v>0</v>
      </c>
      <c r="P1731" s="2" t="s">
        <v>21</v>
      </c>
      <c r="R1731" t="str">
        <f t="shared" si="81"/>
        <v>no</v>
      </c>
      <c r="S1731" t="str">
        <f t="shared" si="82"/>
        <v>no</v>
      </c>
      <c r="T17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1" s="2" t="b">
        <f t="shared" si="83"/>
        <v>1</v>
      </c>
      <c r="V1731" s="2">
        <f>IF(Table4[[#This Row],[linear?]],Table4[[#This Row],[av]],10^(Table4[[#This Row],[av]]/10))</f>
        <v>1</v>
      </c>
      <c r="W1731" s="2">
        <f>IF(Table4[[#This Row],[linear?]],Table4[[#This Row],[av]],10^(Table4[[#This Row],[av]]/10))</f>
        <v>1</v>
      </c>
      <c r="X1731" s="2">
        <f>Table4[[#This Row],[av_lin]]-2*Table4[[#This Row],[std_lin]]</f>
        <v>-1</v>
      </c>
      <c r="Y1731" s="2">
        <f>Table4[[#This Row],[av_lin]]+2*Table4[[#This Row],[std_lin]]</f>
        <v>3</v>
      </c>
    </row>
    <row r="1732" spans="1:25" x14ac:dyDescent="0.35">
      <c r="A1732" s="1">
        <v>1144</v>
      </c>
      <c r="B1732" t="s">
        <v>829</v>
      </c>
      <c r="C1732" t="s">
        <v>76</v>
      </c>
      <c r="D1732" t="s">
        <v>81</v>
      </c>
      <c r="E1732" s="2">
        <v>1</v>
      </c>
      <c r="F1732" s="2">
        <v>0</v>
      </c>
      <c r="G1732">
        <v>27</v>
      </c>
      <c r="H1732" t="s">
        <v>19</v>
      </c>
      <c r="M1732" s="2">
        <v>1</v>
      </c>
      <c r="N1732" s="2">
        <v>1</v>
      </c>
      <c r="O1732" s="2">
        <v>0</v>
      </c>
      <c r="P1732" s="2" t="s">
        <v>21</v>
      </c>
      <c r="R1732" t="str">
        <f t="shared" si="81"/>
        <v>no</v>
      </c>
      <c r="S1732" t="str">
        <f t="shared" si="82"/>
        <v>no</v>
      </c>
      <c r="T17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2" s="2" t="b">
        <f t="shared" si="83"/>
        <v>1</v>
      </c>
      <c r="V1732" s="2">
        <f>IF(Table4[[#This Row],[linear?]],Table4[[#This Row],[av]],10^(Table4[[#This Row],[av]]/10))</f>
        <v>1</v>
      </c>
      <c r="W1732" s="2">
        <f>IF(Table4[[#This Row],[linear?]],Table4[[#This Row],[av]],10^(Table4[[#This Row],[av]]/10))</f>
        <v>1</v>
      </c>
      <c r="X1732" s="2">
        <f>Table4[[#This Row],[av_lin]]-2*Table4[[#This Row],[std_lin]]</f>
        <v>-1</v>
      </c>
      <c r="Y1732" s="2">
        <f>Table4[[#This Row],[av_lin]]+2*Table4[[#This Row],[std_lin]]</f>
        <v>3</v>
      </c>
    </row>
    <row r="1733" spans="1:25" x14ac:dyDescent="0.35">
      <c r="A1733" s="1">
        <v>1145</v>
      </c>
      <c r="B1733" t="s">
        <v>829</v>
      </c>
      <c r="C1733" t="s">
        <v>76</v>
      </c>
      <c r="D1733" t="s">
        <v>82</v>
      </c>
      <c r="E1733" s="2">
        <v>1</v>
      </c>
      <c r="F1733" s="2">
        <v>0</v>
      </c>
      <c r="G1733">
        <v>27</v>
      </c>
      <c r="H1733" t="s">
        <v>19</v>
      </c>
      <c r="M1733" s="2">
        <v>1</v>
      </c>
      <c r="N1733" s="2">
        <v>1</v>
      </c>
      <c r="O1733" s="2">
        <v>0</v>
      </c>
      <c r="P1733" s="2" t="s">
        <v>21</v>
      </c>
      <c r="R1733" t="str">
        <f t="shared" si="81"/>
        <v>no</v>
      </c>
      <c r="S1733" t="str">
        <f t="shared" si="82"/>
        <v>no</v>
      </c>
      <c r="T17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3" s="2" t="b">
        <f t="shared" si="83"/>
        <v>1</v>
      </c>
      <c r="V1733" s="2">
        <f>IF(Table4[[#This Row],[linear?]],Table4[[#This Row],[av]],10^(Table4[[#This Row],[av]]/10))</f>
        <v>1</v>
      </c>
      <c r="W1733" s="2">
        <f>IF(Table4[[#This Row],[linear?]],Table4[[#This Row],[av]],10^(Table4[[#This Row],[av]]/10))</f>
        <v>1</v>
      </c>
      <c r="X1733" s="2">
        <f>Table4[[#This Row],[av_lin]]-2*Table4[[#This Row],[std_lin]]</f>
        <v>-1</v>
      </c>
      <c r="Y1733" s="2">
        <f>Table4[[#This Row],[av_lin]]+2*Table4[[#This Row],[std_lin]]</f>
        <v>3</v>
      </c>
    </row>
    <row r="1734" spans="1:25" x14ac:dyDescent="0.35">
      <c r="A1734" s="1">
        <v>1146</v>
      </c>
      <c r="B1734" t="s">
        <v>829</v>
      </c>
      <c r="C1734" t="s">
        <v>76</v>
      </c>
      <c r="D1734" t="s">
        <v>83</v>
      </c>
      <c r="E1734" s="2">
        <v>1</v>
      </c>
      <c r="F1734" s="2">
        <v>0</v>
      </c>
      <c r="G1734">
        <v>27</v>
      </c>
      <c r="H1734" t="s">
        <v>19</v>
      </c>
      <c r="M1734" s="2">
        <v>1</v>
      </c>
      <c r="N1734" s="2">
        <v>1</v>
      </c>
      <c r="O1734" s="2">
        <v>0</v>
      </c>
      <c r="P1734" s="2" t="s">
        <v>21</v>
      </c>
      <c r="R1734" t="str">
        <f t="shared" si="81"/>
        <v>no</v>
      </c>
      <c r="S1734" t="str">
        <f t="shared" si="82"/>
        <v>no</v>
      </c>
      <c r="T17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4" s="2" t="b">
        <f t="shared" si="83"/>
        <v>1</v>
      </c>
      <c r="V1734" s="2">
        <f>IF(Table4[[#This Row],[linear?]],Table4[[#This Row],[av]],10^(Table4[[#This Row],[av]]/10))</f>
        <v>1</v>
      </c>
      <c r="W1734" s="2">
        <f>IF(Table4[[#This Row],[linear?]],Table4[[#This Row],[av]],10^(Table4[[#This Row],[av]]/10))</f>
        <v>1</v>
      </c>
      <c r="X1734" s="2">
        <f>Table4[[#This Row],[av_lin]]-2*Table4[[#This Row],[std_lin]]</f>
        <v>-1</v>
      </c>
      <c r="Y1734" s="2">
        <f>Table4[[#This Row],[av_lin]]+2*Table4[[#This Row],[std_lin]]</f>
        <v>3</v>
      </c>
    </row>
    <row r="1735" spans="1:25" x14ac:dyDescent="0.35">
      <c r="A1735" s="1">
        <v>1147</v>
      </c>
      <c r="B1735" t="s">
        <v>829</v>
      </c>
      <c r="C1735" t="s">
        <v>76</v>
      </c>
      <c r="D1735" t="s">
        <v>84</v>
      </c>
      <c r="E1735" s="2">
        <v>1</v>
      </c>
      <c r="F1735" s="2">
        <v>0</v>
      </c>
      <c r="G1735">
        <v>27</v>
      </c>
      <c r="H1735" t="s">
        <v>19</v>
      </c>
      <c r="M1735" s="2">
        <v>1</v>
      </c>
      <c r="N1735" s="2">
        <v>1</v>
      </c>
      <c r="O1735" s="2">
        <v>0</v>
      </c>
      <c r="P1735" s="2" t="s">
        <v>21</v>
      </c>
      <c r="R1735" t="str">
        <f t="shared" si="81"/>
        <v>no</v>
      </c>
      <c r="S1735" t="str">
        <f t="shared" si="82"/>
        <v>no</v>
      </c>
      <c r="T17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5" s="2" t="b">
        <f t="shared" si="83"/>
        <v>1</v>
      </c>
      <c r="V1735" s="2">
        <f>IF(Table4[[#This Row],[linear?]],Table4[[#This Row],[av]],10^(Table4[[#This Row],[av]]/10))</f>
        <v>1</v>
      </c>
      <c r="W1735" s="2">
        <f>IF(Table4[[#This Row],[linear?]],Table4[[#This Row],[av]],10^(Table4[[#This Row],[av]]/10))</f>
        <v>1</v>
      </c>
      <c r="X1735" s="2">
        <f>Table4[[#This Row],[av_lin]]-2*Table4[[#This Row],[std_lin]]</f>
        <v>-1</v>
      </c>
      <c r="Y1735" s="2">
        <f>Table4[[#This Row],[av_lin]]+2*Table4[[#This Row],[std_lin]]</f>
        <v>3</v>
      </c>
    </row>
    <row r="1736" spans="1:25" x14ac:dyDescent="0.35">
      <c r="A1736" s="1">
        <v>1148</v>
      </c>
      <c r="B1736" t="s">
        <v>829</v>
      </c>
      <c r="C1736" t="s">
        <v>76</v>
      </c>
      <c r="D1736" t="s">
        <v>85</v>
      </c>
      <c r="E1736" s="2">
        <v>48.398895208641967</v>
      </c>
      <c r="F1736" s="2">
        <v>3.508381603602404</v>
      </c>
      <c r="G1736">
        <v>27</v>
      </c>
      <c r="H1736" t="s">
        <v>19</v>
      </c>
      <c r="M1736" s="2">
        <v>55.415658415846778</v>
      </c>
      <c r="N1736" s="2">
        <v>41.382132001437157</v>
      </c>
      <c r="O1736" s="2">
        <v>14.03352641440962</v>
      </c>
      <c r="P1736" s="2">
        <v>13.795219755726119</v>
      </c>
      <c r="R1736" t="str">
        <f t="shared" si="81"/>
        <v>no</v>
      </c>
      <c r="S1736" t="str">
        <f t="shared" si="82"/>
        <v>no</v>
      </c>
      <c r="T17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6" s="2" t="b">
        <f t="shared" si="83"/>
        <v>1</v>
      </c>
      <c r="V1736" s="2">
        <f>IF(Table4[[#This Row],[linear?]],Table4[[#This Row],[av]],10^(Table4[[#This Row],[av]]/10))</f>
        <v>48.398895208641967</v>
      </c>
      <c r="W1736" s="2">
        <f>IF(Table4[[#This Row],[linear?]],Table4[[#This Row],[av]],10^(Table4[[#This Row],[av]]/10))</f>
        <v>48.398895208641967</v>
      </c>
      <c r="X1736" s="2">
        <f>Table4[[#This Row],[av_lin]]-2*Table4[[#This Row],[std_lin]]</f>
        <v>-48.398895208641967</v>
      </c>
      <c r="Y1736" s="2">
        <f>Table4[[#This Row],[av_lin]]+2*Table4[[#This Row],[std_lin]]</f>
        <v>145.19668562592591</v>
      </c>
    </row>
    <row r="1737" spans="1:25" x14ac:dyDescent="0.35">
      <c r="A1737" s="1">
        <v>1149</v>
      </c>
      <c r="B1737" t="s">
        <v>829</v>
      </c>
      <c r="C1737" t="s">
        <v>76</v>
      </c>
      <c r="D1737" t="s">
        <v>86</v>
      </c>
      <c r="G1737">
        <v>27</v>
      </c>
      <c r="H1737" t="s">
        <v>19</v>
      </c>
      <c r="R1737" t="str">
        <f t="shared" si="81"/>
        <v>no</v>
      </c>
      <c r="S1737" t="str">
        <f t="shared" si="82"/>
        <v>no</v>
      </c>
      <c r="T17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7" s="2" t="b">
        <f t="shared" si="83"/>
        <v>1</v>
      </c>
      <c r="V1737" s="2">
        <f>IF(Table4[[#This Row],[linear?]],Table4[[#This Row],[av]],10^(Table4[[#This Row],[av]]/10))</f>
        <v>0</v>
      </c>
      <c r="W1737" s="2">
        <f>IF(Table4[[#This Row],[linear?]],Table4[[#This Row],[av]],10^(Table4[[#This Row],[av]]/10))</f>
        <v>0</v>
      </c>
      <c r="X1737" s="2">
        <f>Table4[[#This Row],[av_lin]]-2*Table4[[#This Row],[std_lin]]</f>
        <v>0</v>
      </c>
      <c r="Y1737" s="2">
        <f>Table4[[#This Row],[av_lin]]+2*Table4[[#This Row],[std_lin]]</f>
        <v>0</v>
      </c>
    </row>
    <row r="1738" spans="1:25" x14ac:dyDescent="0.35">
      <c r="A1738" s="1">
        <v>1150</v>
      </c>
      <c r="B1738" t="s">
        <v>829</v>
      </c>
      <c r="C1738" t="s">
        <v>87</v>
      </c>
      <c r="D1738" t="s">
        <v>88</v>
      </c>
      <c r="G1738">
        <v>27</v>
      </c>
      <c r="H1738" t="s">
        <v>19</v>
      </c>
      <c r="R1738" t="str">
        <f t="shared" si="81"/>
        <v>no</v>
      </c>
      <c r="S1738" t="str">
        <f t="shared" si="82"/>
        <v>no</v>
      </c>
      <c r="T17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8" s="2" t="b">
        <f t="shared" si="83"/>
        <v>1</v>
      </c>
      <c r="V1738" s="2">
        <f>IF(Table4[[#This Row],[linear?]],Table4[[#This Row],[av]],10^(Table4[[#This Row],[av]]/10))</f>
        <v>0</v>
      </c>
      <c r="W1738" s="2">
        <f>IF(Table4[[#This Row],[linear?]],Table4[[#This Row],[av]],10^(Table4[[#This Row],[av]]/10))</f>
        <v>0</v>
      </c>
      <c r="X1738" s="2">
        <f>Table4[[#This Row],[av_lin]]-2*Table4[[#This Row],[std_lin]]</f>
        <v>0</v>
      </c>
      <c r="Y1738" s="2">
        <f>Table4[[#This Row],[av_lin]]+2*Table4[[#This Row],[std_lin]]</f>
        <v>0</v>
      </c>
    </row>
    <row r="1739" spans="1:25" x14ac:dyDescent="0.35">
      <c r="A1739" s="1">
        <v>1151</v>
      </c>
      <c r="B1739" t="s">
        <v>829</v>
      </c>
      <c r="C1739" t="s">
        <v>87</v>
      </c>
      <c r="D1739" t="s">
        <v>89</v>
      </c>
      <c r="E1739" s="2">
        <v>1</v>
      </c>
      <c r="F1739" s="2">
        <v>0</v>
      </c>
      <c r="G1739">
        <v>27</v>
      </c>
      <c r="H1739" t="s">
        <v>19</v>
      </c>
      <c r="M1739" s="2">
        <v>1</v>
      </c>
      <c r="N1739" s="2">
        <v>1</v>
      </c>
      <c r="O1739" s="2">
        <v>0</v>
      </c>
      <c r="P1739" s="2" t="s">
        <v>21</v>
      </c>
      <c r="R1739" t="str">
        <f t="shared" si="81"/>
        <v>no</v>
      </c>
      <c r="S1739" t="str">
        <f t="shared" si="82"/>
        <v>no</v>
      </c>
      <c r="T17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9" s="2" t="b">
        <f t="shared" si="83"/>
        <v>1</v>
      </c>
      <c r="V1739" s="2">
        <f>IF(Table4[[#This Row],[linear?]],Table4[[#This Row],[av]],10^(Table4[[#This Row],[av]]/10))</f>
        <v>1</v>
      </c>
      <c r="W1739" s="2">
        <f>IF(Table4[[#This Row],[linear?]],Table4[[#This Row],[av]],10^(Table4[[#This Row],[av]]/10))</f>
        <v>1</v>
      </c>
      <c r="X1739" s="2">
        <f>Table4[[#This Row],[av_lin]]-2*Table4[[#This Row],[std_lin]]</f>
        <v>-1</v>
      </c>
      <c r="Y1739" s="2">
        <f>Table4[[#This Row],[av_lin]]+2*Table4[[#This Row],[std_lin]]</f>
        <v>3</v>
      </c>
    </row>
    <row r="1740" spans="1:25" x14ac:dyDescent="0.35">
      <c r="A1740" s="1">
        <v>1152</v>
      </c>
      <c r="B1740" t="s">
        <v>829</v>
      </c>
      <c r="C1740" t="s">
        <v>87</v>
      </c>
      <c r="D1740" t="s">
        <v>90</v>
      </c>
      <c r="E1740" s="2">
        <v>1</v>
      </c>
      <c r="F1740" s="2">
        <v>0</v>
      </c>
      <c r="G1740">
        <v>27</v>
      </c>
      <c r="H1740" t="s">
        <v>19</v>
      </c>
      <c r="M1740" s="2">
        <v>1</v>
      </c>
      <c r="N1740" s="2">
        <v>1</v>
      </c>
      <c r="O1740" s="2">
        <v>0</v>
      </c>
      <c r="P1740" s="2" t="s">
        <v>21</v>
      </c>
      <c r="R1740" t="str">
        <f t="shared" si="81"/>
        <v>no</v>
      </c>
      <c r="S1740" t="str">
        <f t="shared" si="82"/>
        <v>no</v>
      </c>
      <c r="T17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0" s="2" t="b">
        <f t="shared" si="83"/>
        <v>1</v>
      </c>
      <c r="V1740" s="2">
        <f>IF(Table4[[#This Row],[linear?]],Table4[[#This Row],[av]],10^(Table4[[#This Row],[av]]/10))</f>
        <v>1</v>
      </c>
      <c r="W1740" s="2">
        <f>IF(Table4[[#This Row],[linear?]],Table4[[#This Row],[av]],10^(Table4[[#This Row],[av]]/10))</f>
        <v>1</v>
      </c>
      <c r="X1740" s="2">
        <f>Table4[[#This Row],[av_lin]]-2*Table4[[#This Row],[std_lin]]</f>
        <v>-1</v>
      </c>
      <c r="Y1740" s="2">
        <f>Table4[[#This Row],[av_lin]]+2*Table4[[#This Row],[std_lin]]</f>
        <v>3</v>
      </c>
    </row>
    <row r="1741" spans="1:25" x14ac:dyDescent="0.35">
      <c r="A1741" s="1">
        <v>1153</v>
      </c>
      <c r="B1741" t="s">
        <v>829</v>
      </c>
      <c r="C1741" t="s">
        <v>87</v>
      </c>
      <c r="D1741" t="s">
        <v>91</v>
      </c>
      <c r="G1741">
        <v>27</v>
      </c>
      <c r="H1741" t="s">
        <v>19</v>
      </c>
      <c r="R1741" t="str">
        <f t="shared" si="81"/>
        <v>no</v>
      </c>
      <c r="S1741" t="str">
        <f t="shared" si="82"/>
        <v>no</v>
      </c>
      <c r="T17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1" s="2" t="b">
        <f t="shared" si="83"/>
        <v>1</v>
      </c>
      <c r="V1741" s="2">
        <f>IF(Table4[[#This Row],[linear?]],Table4[[#This Row],[av]],10^(Table4[[#This Row],[av]]/10))</f>
        <v>0</v>
      </c>
      <c r="W1741" s="2">
        <f>IF(Table4[[#This Row],[linear?]],Table4[[#This Row],[av]],10^(Table4[[#This Row],[av]]/10))</f>
        <v>0</v>
      </c>
      <c r="X1741" s="2">
        <f>Table4[[#This Row],[av_lin]]-2*Table4[[#This Row],[std_lin]]</f>
        <v>0</v>
      </c>
      <c r="Y1741" s="2">
        <f>Table4[[#This Row],[av_lin]]+2*Table4[[#This Row],[std_lin]]</f>
        <v>0</v>
      </c>
    </row>
    <row r="1742" spans="1:25" x14ac:dyDescent="0.35">
      <c r="A1742" s="1">
        <v>1154</v>
      </c>
      <c r="B1742" t="s">
        <v>829</v>
      </c>
      <c r="C1742" t="s">
        <v>87</v>
      </c>
      <c r="D1742" t="s">
        <v>92</v>
      </c>
      <c r="E1742" s="2">
        <v>35.836111111111109</v>
      </c>
      <c r="F1742" s="2">
        <v>4.1147458443690734</v>
      </c>
      <c r="G1742">
        <v>27</v>
      </c>
      <c r="H1742" t="s">
        <v>19</v>
      </c>
      <c r="M1742" s="2">
        <v>44.065602799849259</v>
      </c>
      <c r="N1742" s="2">
        <v>27.606619422372962</v>
      </c>
      <c r="O1742" s="2">
        <v>16.458983377476301</v>
      </c>
      <c r="P1742" s="2">
        <v>8.7091918836620081</v>
      </c>
      <c r="R1742" t="str">
        <f t="shared" si="81"/>
        <v>no</v>
      </c>
      <c r="S1742" t="str">
        <f t="shared" si="82"/>
        <v>no</v>
      </c>
      <c r="T17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2" s="2" t="b">
        <f t="shared" si="83"/>
        <v>1</v>
      </c>
      <c r="V1742" s="2">
        <f>IF(Table4[[#This Row],[linear?]],Table4[[#This Row],[av]],10^(Table4[[#This Row],[av]]/10))</f>
        <v>35.836111111111109</v>
      </c>
      <c r="W1742" s="2">
        <f>IF(Table4[[#This Row],[linear?]],Table4[[#This Row],[av]],10^(Table4[[#This Row],[av]]/10))</f>
        <v>35.836111111111109</v>
      </c>
      <c r="X1742" s="2">
        <f>Table4[[#This Row],[av_lin]]-2*Table4[[#This Row],[std_lin]]</f>
        <v>-35.836111111111109</v>
      </c>
      <c r="Y1742" s="2">
        <f>Table4[[#This Row],[av_lin]]+2*Table4[[#This Row],[std_lin]]</f>
        <v>107.50833333333333</v>
      </c>
    </row>
    <row r="1743" spans="1:25" x14ac:dyDescent="0.35">
      <c r="A1743" s="1">
        <v>1155</v>
      </c>
      <c r="B1743" t="s">
        <v>829</v>
      </c>
      <c r="C1743" t="s">
        <v>87</v>
      </c>
      <c r="D1743" t="s">
        <v>93</v>
      </c>
      <c r="E1743" s="2">
        <v>37.305555555555557</v>
      </c>
      <c r="F1743" s="2">
        <v>4.087775765730167</v>
      </c>
      <c r="G1743">
        <v>27</v>
      </c>
      <c r="H1743" t="s">
        <v>19</v>
      </c>
      <c r="M1743" s="2">
        <v>45.481107087015893</v>
      </c>
      <c r="N1743" s="2">
        <v>29.130004024095221</v>
      </c>
      <c r="O1743" s="2">
        <v>16.351103062920672</v>
      </c>
      <c r="P1743" s="2">
        <v>9.1261257205706734</v>
      </c>
      <c r="R1743" t="str">
        <f t="shared" si="81"/>
        <v>no</v>
      </c>
      <c r="S1743" t="str">
        <f t="shared" si="82"/>
        <v>no</v>
      </c>
      <c r="T17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3" s="2" t="b">
        <f t="shared" si="83"/>
        <v>1</v>
      </c>
      <c r="V1743" s="2">
        <f>IF(Table4[[#This Row],[linear?]],Table4[[#This Row],[av]],10^(Table4[[#This Row],[av]]/10))</f>
        <v>37.305555555555557</v>
      </c>
      <c r="W1743" s="2">
        <f>IF(Table4[[#This Row],[linear?]],Table4[[#This Row],[av]],10^(Table4[[#This Row],[av]]/10))</f>
        <v>37.305555555555557</v>
      </c>
      <c r="X1743" s="2">
        <f>Table4[[#This Row],[av_lin]]-2*Table4[[#This Row],[std_lin]]</f>
        <v>-37.305555555555557</v>
      </c>
      <c r="Y1743" s="2">
        <f>Table4[[#This Row],[av_lin]]+2*Table4[[#This Row],[std_lin]]</f>
        <v>111.91666666666667</v>
      </c>
    </row>
    <row r="1744" spans="1:25" x14ac:dyDescent="0.35">
      <c r="A1744" s="1">
        <v>1156</v>
      </c>
      <c r="B1744" t="s">
        <v>829</v>
      </c>
      <c r="C1744" t="s">
        <v>94</v>
      </c>
      <c r="D1744" t="s">
        <v>95</v>
      </c>
      <c r="E1744" s="2">
        <v>32.390012020987648</v>
      </c>
      <c r="F1744" s="2">
        <v>3.2190158864685992</v>
      </c>
      <c r="G1744">
        <v>27</v>
      </c>
      <c r="H1744" t="s">
        <v>19</v>
      </c>
      <c r="M1744" s="2">
        <v>38.828043793924849</v>
      </c>
      <c r="N1744" s="2">
        <v>25.95198024805045</v>
      </c>
      <c r="O1744" s="2">
        <v>12.8760635458744</v>
      </c>
      <c r="P1744" s="2">
        <v>10.06208517240991</v>
      </c>
      <c r="R1744" t="str">
        <f t="shared" si="81"/>
        <v>no</v>
      </c>
      <c r="S1744" t="str">
        <f t="shared" si="82"/>
        <v>no</v>
      </c>
      <c r="T17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4" s="2" t="b">
        <f t="shared" si="83"/>
        <v>1</v>
      </c>
      <c r="V1744" s="2">
        <f>IF(Table4[[#This Row],[linear?]],Table4[[#This Row],[av]],10^(Table4[[#This Row],[av]]/10))</f>
        <v>32.390012020987648</v>
      </c>
      <c r="W1744" s="2">
        <f>IF(Table4[[#This Row],[linear?]],Table4[[#This Row],[av]],10^(Table4[[#This Row],[av]]/10))</f>
        <v>32.390012020987648</v>
      </c>
      <c r="X1744" s="2">
        <f>Table4[[#This Row],[av_lin]]-2*Table4[[#This Row],[std_lin]]</f>
        <v>-32.390012020987648</v>
      </c>
      <c r="Y1744" s="2">
        <f>Table4[[#This Row],[av_lin]]+2*Table4[[#This Row],[std_lin]]</f>
        <v>97.170036062962936</v>
      </c>
    </row>
    <row r="1745" spans="1:25" x14ac:dyDescent="0.35">
      <c r="A1745" s="1">
        <v>1157</v>
      </c>
      <c r="B1745" t="s">
        <v>829</v>
      </c>
      <c r="C1745" t="s">
        <v>94</v>
      </c>
      <c r="D1745" t="s">
        <v>96</v>
      </c>
      <c r="E1745" s="2">
        <v>60</v>
      </c>
      <c r="F1745" s="2">
        <v>0</v>
      </c>
      <c r="G1745">
        <v>27</v>
      </c>
      <c r="H1745" t="s">
        <v>19</v>
      </c>
      <c r="M1745" s="2">
        <v>60</v>
      </c>
      <c r="N1745" s="2">
        <v>60</v>
      </c>
      <c r="O1745" s="2">
        <v>0</v>
      </c>
      <c r="P1745" s="2" t="s">
        <v>21</v>
      </c>
      <c r="R1745" t="str">
        <f t="shared" si="81"/>
        <v>no</v>
      </c>
      <c r="S1745" t="str">
        <f t="shared" si="82"/>
        <v>no</v>
      </c>
      <c r="T17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5" s="2" t="b">
        <f t="shared" si="83"/>
        <v>1</v>
      </c>
      <c r="V1745" s="2">
        <f>IF(Table4[[#This Row],[linear?]],Table4[[#This Row],[av]],10^(Table4[[#This Row],[av]]/10))</f>
        <v>60</v>
      </c>
      <c r="W1745" s="2">
        <f>IF(Table4[[#This Row],[linear?]],Table4[[#This Row],[av]],10^(Table4[[#This Row],[av]]/10))</f>
        <v>60</v>
      </c>
      <c r="X1745" s="2">
        <f>Table4[[#This Row],[av_lin]]-2*Table4[[#This Row],[std_lin]]</f>
        <v>-60</v>
      </c>
      <c r="Y1745" s="2">
        <f>Table4[[#This Row],[av_lin]]+2*Table4[[#This Row],[std_lin]]</f>
        <v>180</v>
      </c>
    </row>
    <row r="1746" spans="1:25" x14ac:dyDescent="0.35">
      <c r="A1746" s="1">
        <v>1158</v>
      </c>
      <c r="B1746" t="s">
        <v>829</v>
      </c>
      <c r="C1746" t="s">
        <v>94</v>
      </c>
      <c r="D1746" t="s">
        <v>97</v>
      </c>
      <c r="E1746" s="2">
        <v>34.844667435802457</v>
      </c>
      <c r="F1746" s="2">
        <v>3.8092287991949072</v>
      </c>
      <c r="G1746">
        <v>27</v>
      </c>
      <c r="H1746" t="s">
        <v>19</v>
      </c>
      <c r="M1746" s="2">
        <v>42.463125034192267</v>
      </c>
      <c r="N1746" s="2">
        <v>27.22620983741264</v>
      </c>
      <c r="O1746" s="2">
        <v>15.236915196779631</v>
      </c>
      <c r="P1746" s="2">
        <v>9.1474335810878546</v>
      </c>
      <c r="R1746" t="str">
        <f t="shared" si="81"/>
        <v>no</v>
      </c>
      <c r="S1746" t="str">
        <f t="shared" si="82"/>
        <v>no</v>
      </c>
      <c r="T17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6" s="2" t="b">
        <f t="shared" si="83"/>
        <v>1</v>
      </c>
      <c r="V1746" s="2">
        <f>IF(Table4[[#This Row],[linear?]],Table4[[#This Row],[av]],10^(Table4[[#This Row],[av]]/10))</f>
        <v>34.844667435802457</v>
      </c>
      <c r="W1746" s="2">
        <f>IF(Table4[[#This Row],[linear?]],Table4[[#This Row],[av]],10^(Table4[[#This Row],[av]]/10))</f>
        <v>34.844667435802457</v>
      </c>
      <c r="X1746" s="2">
        <f>Table4[[#This Row],[av_lin]]-2*Table4[[#This Row],[std_lin]]</f>
        <v>-34.844667435802457</v>
      </c>
      <c r="Y1746" s="2">
        <f>Table4[[#This Row],[av_lin]]+2*Table4[[#This Row],[std_lin]]</f>
        <v>104.53400230740738</v>
      </c>
    </row>
    <row r="1747" spans="1:25" x14ac:dyDescent="0.35">
      <c r="A1747" s="1">
        <v>1159</v>
      </c>
      <c r="B1747" t="s">
        <v>829</v>
      </c>
      <c r="C1747" t="s">
        <v>94</v>
      </c>
      <c r="D1747" t="s">
        <v>98</v>
      </c>
      <c r="E1747" s="2">
        <v>29.935356666666671</v>
      </c>
      <c r="F1747" s="2">
        <v>2.6687437053481688</v>
      </c>
      <c r="G1747">
        <v>27</v>
      </c>
      <c r="H1747" t="s">
        <v>19</v>
      </c>
      <c r="M1747" s="2">
        <v>35.272844077363011</v>
      </c>
      <c r="N1747" s="2">
        <v>24.59786925597033</v>
      </c>
      <c r="O1747" s="2">
        <v>10.674974821392681</v>
      </c>
      <c r="P1747" s="2">
        <v>11.217021929335569</v>
      </c>
      <c r="R1747" t="str">
        <f t="shared" si="81"/>
        <v>no</v>
      </c>
      <c r="S1747" t="str">
        <f t="shared" si="82"/>
        <v>no</v>
      </c>
      <c r="T17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7" s="2" t="b">
        <f t="shared" si="83"/>
        <v>1</v>
      </c>
      <c r="V1747" s="2">
        <f>IF(Table4[[#This Row],[linear?]],Table4[[#This Row],[av]],10^(Table4[[#This Row],[av]]/10))</f>
        <v>29.935356666666671</v>
      </c>
      <c r="W1747" s="2">
        <f>IF(Table4[[#This Row],[linear?]],Table4[[#This Row],[av]],10^(Table4[[#This Row],[av]]/10))</f>
        <v>29.935356666666671</v>
      </c>
      <c r="X1747" s="2">
        <f>Table4[[#This Row],[av_lin]]-2*Table4[[#This Row],[std_lin]]</f>
        <v>-29.935356666666671</v>
      </c>
      <c r="Y1747" s="2">
        <f>Table4[[#This Row],[av_lin]]+2*Table4[[#This Row],[std_lin]]</f>
        <v>89.806070000000005</v>
      </c>
    </row>
    <row r="1748" spans="1:25" x14ac:dyDescent="0.35">
      <c r="A1748" s="1">
        <v>1160</v>
      </c>
      <c r="B1748" t="s">
        <v>829</v>
      </c>
      <c r="C1748" t="s">
        <v>99</v>
      </c>
      <c r="D1748" t="s">
        <v>100</v>
      </c>
      <c r="G1748">
        <v>27</v>
      </c>
      <c r="H1748" t="s">
        <v>19</v>
      </c>
      <c r="R1748" t="str">
        <f t="shared" si="81"/>
        <v>no</v>
      </c>
      <c r="S1748" t="str">
        <f t="shared" si="82"/>
        <v>no</v>
      </c>
      <c r="T17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8" s="2" t="b">
        <f t="shared" si="83"/>
        <v>1</v>
      </c>
      <c r="V1748" s="2">
        <f>IF(Table4[[#This Row],[linear?]],Table4[[#This Row],[av]],10^(Table4[[#This Row],[av]]/10))</f>
        <v>0</v>
      </c>
      <c r="W1748" s="2">
        <f>IF(Table4[[#This Row],[linear?]],Table4[[#This Row],[av]],10^(Table4[[#This Row],[av]]/10))</f>
        <v>0</v>
      </c>
      <c r="X1748" s="2">
        <f>Table4[[#This Row],[av_lin]]-2*Table4[[#This Row],[std_lin]]</f>
        <v>0</v>
      </c>
      <c r="Y1748" s="2">
        <f>Table4[[#This Row],[av_lin]]+2*Table4[[#This Row],[std_lin]]</f>
        <v>0</v>
      </c>
    </row>
    <row r="1749" spans="1:25" x14ac:dyDescent="0.35">
      <c r="A1749" s="1">
        <v>1161</v>
      </c>
      <c r="B1749" t="s">
        <v>829</v>
      </c>
      <c r="C1749" t="s">
        <v>99</v>
      </c>
      <c r="D1749" t="s">
        <v>101</v>
      </c>
      <c r="E1749" s="2">
        <v>1</v>
      </c>
      <c r="F1749" s="2">
        <v>0</v>
      </c>
      <c r="G1749">
        <v>27</v>
      </c>
      <c r="H1749" t="s">
        <v>19</v>
      </c>
      <c r="M1749" s="2">
        <v>1</v>
      </c>
      <c r="N1749" s="2">
        <v>1</v>
      </c>
      <c r="O1749" s="2">
        <v>0</v>
      </c>
      <c r="P1749" s="2" t="s">
        <v>21</v>
      </c>
      <c r="R1749" t="str">
        <f t="shared" si="81"/>
        <v>no</v>
      </c>
      <c r="S1749" t="str">
        <f t="shared" si="82"/>
        <v>no</v>
      </c>
      <c r="T17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9" s="2" t="b">
        <f t="shared" si="83"/>
        <v>1</v>
      </c>
      <c r="V1749" s="2">
        <f>IF(Table4[[#This Row],[linear?]],Table4[[#This Row],[av]],10^(Table4[[#This Row],[av]]/10))</f>
        <v>1</v>
      </c>
      <c r="W1749" s="2">
        <f>IF(Table4[[#This Row],[linear?]],Table4[[#This Row],[av]],10^(Table4[[#This Row],[av]]/10))</f>
        <v>1</v>
      </c>
      <c r="X1749" s="2">
        <f>Table4[[#This Row],[av_lin]]-2*Table4[[#This Row],[std_lin]]</f>
        <v>-1</v>
      </c>
      <c r="Y1749" s="2">
        <f>Table4[[#This Row],[av_lin]]+2*Table4[[#This Row],[std_lin]]</f>
        <v>3</v>
      </c>
    </row>
    <row r="1750" spans="1:25" x14ac:dyDescent="0.35">
      <c r="A1750" s="1">
        <v>1162</v>
      </c>
      <c r="B1750" t="s">
        <v>829</v>
      </c>
      <c r="C1750" t="s">
        <v>99</v>
      </c>
      <c r="D1750" t="s">
        <v>102</v>
      </c>
      <c r="E1750" s="2">
        <v>1</v>
      </c>
      <c r="F1750" s="2">
        <v>0</v>
      </c>
      <c r="G1750">
        <v>27</v>
      </c>
      <c r="H1750" t="s">
        <v>19</v>
      </c>
      <c r="M1750" s="2">
        <v>1</v>
      </c>
      <c r="N1750" s="2">
        <v>1</v>
      </c>
      <c r="O1750" s="2">
        <v>0</v>
      </c>
      <c r="P1750" s="2" t="s">
        <v>21</v>
      </c>
      <c r="R1750" t="str">
        <f t="shared" si="81"/>
        <v>no</v>
      </c>
      <c r="S1750" t="str">
        <f t="shared" si="82"/>
        <v>no</v>
      </c>
      <c r="T17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0" s="2" t="b">
        <f t="shared" si="83"/>
        <v>1</v>
      </c>
      <c r="V1750" s="2">
        <f>IF(Table4[[#This Row],[linear?]],Table4[[#This Row],[av]],10^(Table4[[#This Row],[av]]/10))</f>
        <v>1</v>
      </c>
      <c r="W1750" s="2">
        <f>IF(Table4[[#This Row],[linear?]],Table4[[#This Row],[av]],10^(Table4[[#This Row],[av]]/10))</f>
        <v>1</v>
      </c>
      <c r="X1750" s="2">
        <f>Table4[[#This Row],[av_lin]]-2*Table4[[#This Row],[std_lin]]</f>
        <v>-1</v>
      </c>
      <c r="Y1750" s="2">
        <f>Table4[[#This Row],[av_lin]]+2*Table4[[#This Row],[std_lin]]</f>
        <v>3</v>
      </c>
    </row>
    <row r="1751" spans="1:25" x14ac:dyDescent="0.35">
      <c r="A1751" s="1">
        <v>1163</v>
      </c>
      <c r="B1751" t="s">
        <v>829</v>
      </c>
      <c r="C1751" t="s">
        <v>99</v>
      </c>
      <c r="D1751" t="s">
        <v>103</v>
      </c>
      <c r="E1751" s="2">
        <v>1</v>
      </c>
      <c r="F1751" s="2">
        <v>0</v>
      </c>
      <c r="G1751">
        <v>27</v>
      </c>
      <c r="H1751" t="s">
        <v>19</v>
      </c>
      <c r="M1751" s="2">
        <v>1</v>
      </c>
      <c r="N1751" s="2">
        <v>1</v>
      </c>
      <c r="O1751" s="2">
        <v>0</v>
      </c>
      <c r="P1751" s="2" t="s">
        <v>21</v>
      </c>
      <c r="R1751" t="str">
        <f t="shared" si="81"/>
        <v>no</v>
      </c>
      <c r="S1751" t="str">
        <f t="shared" si="82"/>
        <v>no</v>
      </c>
      <c r="T17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1" s="2" t="b">
        <f t="shared" si="83"/>
        <v>1</v>
      </c>
      <c r="V1751" s="2">
        <f>IF(Table4[[#This Row],[linear?]],Table4[[#This Row],[av]],10^(Table4[[#This Row],[av]]/10))</f>
        <v>1</v>
      </c>
      <c r="W1751" s="2">
        <f>IF(Table4[[#This Row],[linear?]],Table4[[#This Row],[av]],10^(Table4[[#This Row],[av]]/10))</f>
        <v>1</v>
      </c>
      <c r="X1751" s="2">
        <f>Table4[[#This Row],[av_lin]]-2*Table4[[#This Row],[std_lin]]</f>
        <v>-1</v>
      </c>
      <c r="Y1751" s="2">
        <f>Table4[[#This Row],[av_lin]]+2*Table4[[#This Row],[std_lin]]</f>
        <v>3</v>
      </c>
    </row>
    <row r="1752" spans="1:25" x14ac:dyDescent="0.35">
      <c r="A1752" s="1">
        <v>1164</v>
      </c>
      <c r="B1752" t="s">
        <v>829</v>
      </c>
      <c r="C1752" t="s">
        <v>99</v>
      </c>
      <c r="D1752" t="s">
        <v>104</v>
      </c>
      <c r="E1752" s="2">
        <v>1</v>
      </c>
      <c r="F1752" s="2">
        <v>0</v>
      </c>
      <c r="G1752">
        <v>27</v>
      </c>
      <c r="H1752" t="s">
        <v>19</v>
      </c>
      <c r="M1752" s="2">
        <v>1</v>
      </c>
      <c r="N1752" s="2">
        <v>1</v>
      </c>
      <c r="O1752" s="2">
        <v>0</v>
      </c>
      <c r="P1752" s="2" t="s">
        <v>21</v>
      </c>
      <c r="R1752" t="str">
        <f t="shared" si="81"/>
        <v>no</v>
      </c>
      <c r="S1752" t="str">
        <f t="shared" si="82"/>
        <v>no</v>
      </c>
      <c r="T17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2" s="2" t="b">
        <f t="shared" si="83"/>
        <v>1</v>
      </c>
      <c r="V1752" s="2">
        <f>IF(Table4[[#This Row],[linear?]],Table4[[#This Row],[av]],10^(Table4[[#This Row],[av]]/10))</f>
        <v>1</v>
      </c>
      <c r="W1752" s="2">
        <f>IF(Table4[[#This Row],[linear?]],Table4[[#This Row],[av]],10^(Table4[[#This Row],[av]]/10))</f>
        <v>1</v>
      </c>
      <c r="X1752" s="2">
        <f>Table4[[#This Row],[av_lin]]-2*Table4[[#This Row],[std_lin]]</f>
        <v>-1</v>
      </c>
      <c r="Y1752" s="2">
        <f>Table4[[#This Row],[av_lin]]+2*Table4[[#This Row],[std_lin]]</f>
        <v>3</v>
      </c>
    </row>
    <row r="1753" spans="1:25" x14ac:dyDescent="0.35">
      <c r="A1753" s="1">
        <v>1165</v>
      </c>
      <c r="B1753" t="s">
        <v>829</v>
      </c>
      <c r="C1753" t="s">
        <v>99</v>
      </c>
      <c r="D1753" t="s">
        <v>105</v>
      </c>
      <c r="E1753" s="2">
        <v>42.828395061728401</v>
      </c>
      <c r="F1753" s="2">
        <v>6.4137556420875628</v>
      </c>
      <c r="G1753">
        <v>27</v>
      </c>
      <c r="H1753" t="s">
        <v>19</v>
      </c>
      <c r="M1753" s="2">
        <v>55.655906345903517</v>
      </c>
      <c r="N1753" s="2">
        <v>30.00088377755328</v>
      </c>
      <c r="O1753" s="2">
        <v>25.655022568350251</v>
      </c>
      <c r="P1753" s="2">
        <v>6.6775844687136416</v>
      </c>
      <c r="R1753" t="str">
        <f t="shared" si="81"/>
        <v>no</v>
      </c>
      <c r="S1753" t="str">
        <f t="shared" si="82"/>
        <v>no</v>
      </c>
      <c r="T17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3" s="2" t="b">
        <f t="shared" si="83"/>
        <v>1</v>
      </c>
      <c r="V1753" s="2">
        <f>IF(Table4[[#This Row],[linear?]],Table4[[#This Row],[av]],10^(Table4[[#This Row],[av]]/10))</f>
        <v>42.828395061728401</v>
      </c>
      <c r="W1753" s="2">
        <f>IF(Table4[[#This Row],[linear?]],Table4[[#This Row],[av]],10^(Table4[[#This Row],[av]]/10))</f>
        <v>42.828395061728401</v>
      </c>
      <c r="X1753" s="2">
        <f>Table4[[#This Row],[av_lin]]-2*Table4[[#This Row],[std_lin]]</f>
        <v>-42.828395061728401</v>
      </c>
      <c r="Y1753" s="2">
        <f>Table4[[#This Row],[av_lin]]+2*Table4[[#This Row],[std_lin]]</f>
        <v>128.4851851851852</v>
      </c>
    </row>
    <row r="1754" spans="1:25" x14ac:dyDescent="0.35">
      <c r="A1754" s="1">
        <v>1166</v>
      </c>
      <c r="B1754" t="s">
        <v>829</v>
      </c>
      <c r="C1754" t="s">
        <v>99</v>
      </c>
      <c r="D1754" t="s">
        <v>106</v>
      </c>
      <c r="E1754" s="2">
        <v>42.027160493827161</v>
      </c>
      <c r="F1754" s="2">
        <v>5.8162710572076382</v>
      </c>
      <c r="G1754">
        <v>27</v>
      </c>
      <c r="H1754" t="s">
        <v>19</v>
      </c>
      <c r="M1754" s="2">
        <v>53.659702608242441</v>
      </c>
      <c r="N1754" s="2">
        <v>30.394618379411881</v>
      </c>
      <c r="O1754" s="2">
        <v>23.26508422883056</v>
      </c>
      <c r="P1754" s="2">
        <v>7.2257912467381091</v>
      </c>
      <c r="R1754" t="str">
        <f t="shared" si="81"/>
        <v>no</v>
      </c>
      <c r="S1754" t="str">
        <f t="shared" si="82"/>
        <v>no</v>
      </c>
      <c r="T17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4" s="2" t="b">
        <f t="shared" si="83"/>
        <v>1</v>
      </c>
      <c r="V1754" s="2">
        <f>IF(Table4[[#This Row],[linear?]],Table4[[#This Row],[av]],10^(Table4[[#This Row],[av]]/10))</f>
        <v>42.027160493827161</v>
      </c>
      <c r="W1754" s="2">
        <f>IF(Table4[[#This Row],[linear?]],Table4[[#This Row],[av]],10^(Table4[[#This Row],[av]]/10))</f>
        <v>42.027160493827161</v>
      </c>
      <c r="X1754" s="2">
        <f>Table4[[#This Row],[av_lin]]-2*Table4[[#This Row],[std_lin]]</f>
        <v>-42.027160493827161</v>
      </c>
      <c r="Y1754" s="2">
        <f>Table4[[#This Row],[av_lin]]+2*Table4[[#This Row],[std_lin]]</f>
        <v>126.08148148148149</v>
      </c>
    </row>
    <row r="1755" spans="1:25" x14ac:dyDescent="0.35">
      <c r="A1755" s="1">
        <v>1167</v>
      </c>
      <c r="B1755" t="s">
        <v>829</v>
      </c>
      <c r="C1755" t="s">
        <v>99</v>
      </c>
      <c r="D1755" t="s">
        <v>107</v>
      </c>
      <c r="G1755">
        <v>27</v>
      </c>
      <c r="H1755" t="s">
        <v>19</v>
      </c>
      <c r="R1755" t="str">
        <f t="shared" si="81"/>
        <v>no</v>
      </c>
      <c r="S1755" t="str">
        <f t="shared" si="82"/>
        <v>no</v>
      </c>
      <c r="T17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5" s="2" t="b">
        <f t="shared" si="83"/>
        <v>1</v>
      </c>
      <c r="V1755" s="2">
        <f>IF(Table4[[#This Row],[linear?]],Table4[[#This Row],[av]],10^(Table4[[#This Row],[av]]/10))</f>
        <v>0</v>
      </c>
      <c r="W1755" s="2">
        <f>IF(Table4[[#This Row],[linear?]],Table4[[#This Row],[av]],10^(Table4[[#This Row],[av]]/10))</f>
        <v>0</v>
      </c>
      <c r="X1755" s="2">
        <f>Table4[[#This Row],[av_lin]]-2*Table4[[#This Row],[std_lin]]</f>
        <v>0</v>
      </c>
      <c r="Y1755" s="2">
        <f>Table4[[#This Row],[av_lin]]+2*Table4[[#This Row],[std_lin]]</f>
        <v>0</v>
      </c>
    </row>
    <row r="1756" spans="1:25" x14ac:dyDescent="0.35">
      <c r="A1756" s="1">
        <v>1168</v>
      </c>
      <c r="B1756" t="s">
        <v>829</v>
      </c>
      <c r="C1756" t="s">
        <v>99</v>
      </c>
      <c r="D1756" t="s">
        <v>108</v>
      </c>
      <c r="E1756" s="2">
        <v>1</v>
      </c>
      <c r="F1756" s="2">
        <v>0</v>
      </c>
      <c r="G1756">
        <v>27</v>
      </c>
      <c r="H1756" t="s">
        <v>19</v>
      </c>
      <c r="M1756" s="2">
        <v>1</v>
      </c>
      <c r="N1756" s="2">
        <v>1</v>
      </c>
      <c r="O1756" s="2">
        <v>0</v>
      </c>
      <c r="P1756" s="2" t="s">
        <v>21</v>
      </c>
      <c r="R1756" t="str">
        <f t="shared" si="81"/>
        <v>no</v>
      </c>
      <c r="S1756" t="str">
        <f t="shared" si="82"/>
        <v>no</v>
      </c>
      <c r="T17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6" s="2" t="b">
        <f t="shared" si="83"/>
        <v>1</v>
      </c>
      <c r="V1756" s="2">
        <f>IF(Table4[[#This Row],[linear?]],Table4[[#This Row],[av]],10^(Table4[[#This Row],[av]]/10))</f>
        <v>1</v>
      </c>
      <c r="W1756" s="2">
        <f>IF(Table4[[#This Row],[linear?]],Table4[[#This Row],[av]],10^(Table4[[#This Row],[av]]/10))</f>
        <v>1</v>
      </c>
      <c r="X1756" s="2">
        <f>Table4[[#This Row],[av_lin]]-2*Table4[[#This Row],[std_lin]]</f>
        <v>-1</v>
      </c>
      <c r="Y1756" s="2">
        <f>Table4[[#This Row],[av_lin]]+2*Table4[[#This Row],[std_lin]]</f>
        <v>3</v>
      </c>
    </row>
    <row r="1757" spans="1:25" x14ac:dyDescent="0.35">
      <c r="A1757" s="1">
        <v>1169</v>
      </c>
      <c r="B1757" t="s">
        <v>829</v>
      </c>
      <c r="C1757" t="s">
        <v>99</v>
      </c>
      <c r="D1757" t="s">
        <v>109</v>
      </c>
      <c r="E1757" s="2">
        <v>1</v>
      </c>
      <c r="F1757" s="2">
        <v>0</v>
      </c>
      <c r="G1757">
        <v>27</v>
      </c>
      <c r="H1757" t="s">
        <v>19</v>
      </c>
      <c r="M1757" s="2">
        <v>1</v>
      </c>
      <c r="N1757" s="2">
        <v>1</v>
      </c>
      <c r="O1757" s="2">
        <v>0</v>
      </c>
      <c r="P1757" s="2" t="s">
        <v>21</v>
      </c>
      <c r="R1757" t="str">
        <f t="shared" si="81"/>
        <v>no</v>
      </c>
      <c r="S1757" t="str">
        <f t="shared" si="82"/>
        <v>no</v>
      </c>
      <c r="T17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7" s="2" t="b">
        <f t="shared" si="83"/>
        <v>1</v>
      </c>
      <c r="V1757" s="2">
        <f>IF(Table4[[#This Row],[linear?]],Table4[[#This Row],[av]],10^(Table4[[#This Row],[av]]/10))</f>
        <v>1</v>
      </c>
      <c r="W1757" s="2">
        <f>IF(Table4[[#This Row],[linear?]],Table4[[#This Row],[av]],10^(Table4[[#This Row],[av]]/10))</f>
        <v>1</v>
      </c>
      <c r="X1757" s="2">
        <f>Table4[[#This Row],[av_lin]]-2*Table4[[#This Row],[std_lin]]</f>
        <v>-1</v>
      </c>
      <c r="Y1757" s="2">
        <f>Table4[[#This Row],[av_lin]]+2*Table4[[#This Row],[std_lin]]</f>
        <v>3</v>
      </c>
    </row>
    <row r="1758" spans="1:25" x14ac:dyDescent="0.35">
      <c r="A1758" s="1">
        <v>1170</v>
      </c>
      <c r="B1758" t="s">
        <v>829</v>
      </c>
      <c r="C1758" t="s">
        <v>99</v>
      </c>
      <c r="D1758" t="s">
        <v>110</v>
      </c>
      <c r="E1758" s="2">
        <v>1</v>
      </c>
      <c r="F1758" s="2">
        <v>0</v>
      </c>
      <c r="G1758">
        <v>27</v>
      </c>
      <c r="H1758" t="s">
        <v>19</v>
      </c>
      <c r="M1758" s="2">
        <v>1</v>
      </c>
      <c r="N1758" s="2">
        <v>1</v>
      </c>
      <c r="O1758" s="2">
        <v>0</v>
      </c>
      <c r="P1758" s="2" t="s">
        <v>21</v>
      </c>
      <c r="R1758" t="str">
        <f t="shared" si="81"/>
        <v>no</v>
      </c>
      <c r="S1758" t="str">
        <f t="shared" si="82"/>
        <v>no</v>
      </c>
      <c r="T17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8" s="2" t="b">
        <f t="shared" si="83"/>
        <v>1</v>
      </c>
      <c r="V1758" s="2">
        <f>IF(Table4[[#This Row],[linear?]],Table4[[#This Row],[av]],10^(Table4[[#This Row],[av]]/10))</f>
        <v>1</v>
      </c>
      <c r="W1758" s="2">
        <f>IF(Table4[[#This Row],[linear?]],Table4[[#This Row],[av]],10^(Table4[[#This Row],[av]]/10))</f>
        <v>1</v>
      </c>
      <c r="X1758" s="2">
        <f>Table4[[#This Row],[av_lin]]-2*Table4[[#This Row],[std_lin]]</f>
        <v>-1</v>
      </c>
      <c r="Y1758" s="2">
        <f>Table4[[#This Row],[av_lin]]+2*Table4[[#This Row],[std_lin]]</f>
        <v>3</v>
      </c>
    </row>
    <row r="1759" spans="1:25" x14ac:dyDescent="0.35">
      <c r="A1759" s="1">
        <v>1171</v>
      </c>
      <c r="B1759" t="s">
        <v>829</v>
      </c>
      <c r="C1759" t="s">
        <v>99</v>
      </c>
      <c r="D1759" t="s">
        <v>111</v>
      </c>
      <c r="E1759" s="2">
        <v>1</v>
      </c>
      <c r="F1759" s="2">
        <v>0</v>
      </c>
      <c r="G1759">
        <v>27</v>
      </c>
      <c r="H1759" t="s">
        <v>19</v>
      </c>
      <c r="M1759" s="2">
        <v>1</v>
      </c>
      <c r="N1759" s="2">
        <v>1</v>
      </c>
      <c r="O1759" s="2">
        <v>0</v>
      </c>
      <c r="P1759" s="2" t="s">
        <v>21</v>
      </c>
      <c r="R1759" t="str">
        <f t="shared" si="81"/>
        <v>no</v>
      </c>
      <c r="S1759" t="str">
        <f t="shared" si="82"/>
        <v>no</v>
      </c>
      <c r="T17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9" s="2" t="b">
        <f t="shared" si="83"/>
        <v>1</v>
      </c>
      <c r="V1759" s="2">
        <f>IF(Table4[[#This Row],[linear?]],Table4[[#This Row],[av]],10^(Table4[[#This Row],[av]]/10))</f>
        <v>1</v>
      </c>
      <c r="W1759" s="2">
        <f>IF(Table4[[#This Row],[linear?]],Table4[[#This Row],[av]],10^(Table4[[#This Row],[av]]/10))</f>
        <v>1</v>
      </c>
      <c r="X1759" s="2">
        <f>Table4[[#This Row],[av_lin]]-2*Table4[[#This Row],[std_lin]]</f>
        <v>-1</v>
      </c>
      <c r="Y1759" s="2">
        <f>Table4[[#This Row],[av_lin]]+2*Table4[[#This Row],[std_lin]]</f>
        <v>3</v>
      </c>
    </row>
    <row r="1760" spans="1:25" x14ac:dyDescent="0.35">
      <c r="A1760" s="1">
        <v>1172</v>
      </c>
      <c r="B1760" t="s">
        <v>829</v>
      </c>
      <c r="C1760" t="s">
        <v>99</v>
      </c>
      <c r="D1760" t="s">
        <v>112</v>
      </c>
      <c r="E1760" s="2">
        <v>41.513580246913577</v>
      </c>
      <c r="F1760" s="2">
        <v>6.8104540129895472</v>
      </c>
      <c r="G1760">
        <v>27</v>
      </c>
      <c r="H1760" t="s">
        <v>19</v>
      </c>
      <c r="M1760" s="2">
        <v>55.134488272892668</v>
      </c>
      <c r="N1760" s="2">
        <v>27.892672220934479</v>
      </c>
      <c r="O1760" s="2">
        <v>27.241816051958189</v>
      </c>
      <c r="P1760" s="2">
        <v>6.0955672217644992</v>
      </c>
      <c r="R1760" t="str">
        <f t="shared" si="81"/>
        <v>no</v>
      </c>
      <c r="S1760" t="str">
        <f t="shared" si="82"/>
        <v>no</v>
      </c>
      <c r="T17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0" s="2" t="b">
        <f t="shared" si="83"/>
        <v>1</v>
      </c>
      <c r="V1760" s="2">
        <f>IF(Table4[[#This Row],[linear?]],Table4[[#This Row],[av]],10^(Table4[[#This Row],[av]]/10))</f>
        <v>41.513580246913577</v>
      </c>
      <c r="W1760" s="2">
        <f>IF(Table4[[#This Row],[linear?]],Table4[[#This Row],[av]],10^(Table4[[#This Row],[av]]/10))</f>
        <v>41.513580246913577</v>
      </c>
      <c r="X1760" s="2">
        <f>Table4[[#This Row],[av_lin]]-2*Table4[[#This Row],[std_lin]]</f>
        <v>-41.513580246913577</v>
      </c>
      <c r="Y1760" s="2">
        <f>Table4[[#This Row],[av_lin]]+2*Table4[[#This Row],[std_lin]]</f>
        <v>124.54074074074073</v>
      </c>
    </row>
    <row r="1761" spans="1:25" x14ac:dyDescent="0.35">
      <c r="A1761" s="1">
        <v>1173</v>
      </c>
      <c r="B1761" t="s">
        <v>829</v>
      </c>
      <c r="C1761" t="s">
        <v>99</v>
      </c>
      <c r="D1761" t="s">
        <v>113</v>
      </c>
      <c r="E1761" s="2">
        <v>42.480246913580253</v>
      </c>
      <c r="F1761" s="2">
        <v>5.4044257984052102</v>
      </c>
      <c r="G1761">
        <v>27</v>
      </c>
      <c r="H1761" t="s">
        <v>19</v>
      </c>
      <c r="M1761" s="2">
        <v>53.289098510390673</v>
      </c>
      <c r="N1761" s="2">
        <v>31.671395316769829</v>
      </c>
      <c r="O1761" s="2">
        <v>21.617703193620841</v>
      </c>
      <c r="P1761" s="2">
        <v>7.8602701745143273</v>
      </c>
      <c r="R1761" t="str">
        <f t="shared" si="81"/>
        <v>no</v>
      </c>
      <c r="S1761" t="str">
        <f t="shared" si="82"/>
        <v>no</v>
      </c>
      <c r="T17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1" s="2" t="b">
        <f t="shared" si="83"/>
        <v>1</v>
      </c>
      <c r="V1761" s="2">
        <f>IF(Table4[[#This Row],[linear?]],Table4[[#This Row],[av]],10^(Table4[[#This Row],[av]]/10))</f>
        <v>42.480246913580253</v>
      </c>
      <c r="W1761" s="2">
        <f>IF(Table4[[#This Row],[linear?]],Table4[[#This Row],[av]],10^(Table4[[#This Row],[av]]/10))</f>
        <v>42.480246913580253</v>
      </c>
      <c r="X1761" s="2">
        <f>Table4[[#This Row],[av_lin]]-2*Table4[[#This Row],[std_lin]]</f>
        <v>-42.480246913580253</v>
      </c>
      <c r="Y1761" s="2">
        <f>Table4[[#This Row],[av_lin]]+2*Table4[[#This Row],[std_lin]]</f>
        <v>127.44074074074075</v>
      </c>
    </row>
    <row r="1762" spans="1:25" x14ac:dyDescent="0.35">
      <c r="A1762" s="1">
        <v>1174</v>
      </c>
      <c r="B1762" t="s">
        <v>829</v>
      </c>
      <c r="C1762" t="s">
        <v>99</v>
      </c>
      <c r="D1762" t="s">
        <v>114</v>
      </c>
      <c r="G1762">
        <v>27</v>
      </c>
      <c r="H1762" t="s">
        <v>19</v>
      </c>
      <c r="R1762" t="str">
        <f t="shared" si="81"/>
        <v>no</v>
      </c>
      <c r="S1762" t="str">
        <f t="shared" si="82"/>
        <v>no</v>
      </c>
      <c r="T17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2" s="2" t="b">
        <f t="shared" si="83"/>
        <v>1</v>
      </c>
      <c r="V1762" s="2">
        <f>IF(Table4[[#This Row],[linear?]],Table4[[#This Row],[av]],10^(Table4[[#This Row],[av]]/10))</f>
        <v>0</v>
      </c>
      <c r="W1762" s="2">
        <f>IF(Table4[[#This Row],[linear?]],Table4[[#This Row],[av]],10^(Table4[[#This Row],[av]]/10))</f>
        <v>0</v>
      </c>
      <c r="X1762" s="2">
        <f>Table4[[#This Row],[av_lin]]-2*Table4[[#This Row],[std_lin]]</f>
        <v>0</v>
      </c>
      <c r="Y1762" s="2">
        <f>Table4[[#This Row],[av_lin]]+2*Table4[[#This Row],[std_lin]]</f>
        <v>0</v>
      </c>
    </row>
    <row r="1763" spans="1:25" x14ac:dyDescent="0.35">
      <c r="A1763" s="1">
        <v>1175</v>
      </c>
      <c r="B1763" t="s">
        <v>829</v>
      </c>
      <c r="C1763" t="s">
        <v>99</v>
      </c>
      <c r="D1763" t="s">
        <v>115</v>
      </c>
      <c r="E1763" s="2">
        <v>1</v>
      </c>
      <c r="F1763" s="2">
        <v>0</v>
      </c>
      <c r="G1763">
        <v>27</v>
      </c>
      <c r="H1763" t="s">
        <v>19</v>
      </c>
      <c r="M1763" s="2">
        <v>1</v>
      </c>
      <c r="N1763" s="2">
        <v>1</v>
      </c>
      <c r="O1763" s="2">
        <v>0</v>
      </c>
      <c r="P1763" s="2" t="s">
        <v>21</v>
      </c>
      <c r="R1763" t="str">
        <f t="shared" si="81"/>
        <v>no</v>
      </c>
      <c r="S1763" t="str">
        <f t="shared" si="82"/>
        <v>no</v>
      </c>
      <c r="T17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3" s="2" t="b">
        <f t="shared" si="83"/>
        <v>1</v>
      </c>
      <c r="V1763" s="2">
        <f>IF(Table4[[#This Row],[linear?]],Table4[[#This Row],[av]],10^(Table4[[#This Row],[av]]/10))</f>
        <v>1</v>
      </c>
      <c r="W1763" s="2">
        <f>IF(Table4[[#This Row],[linear?]],Table4[[#This Row],[av]],10^(Table4[[#This Row],[av]]/10))</f>
        <v>1</v>
      </c>
      <c r="X1763" s="2">
        <f>Table4[[#This Row],[av_lin]]-2*Table4[[#This Row],[std_lin]]</f>
        <v>-1</v>
      </c>
      <c r="Y1763" s="2">
        <f>Table4[[#This Row],[av_lin]]+2*Table4[[#This Row],[std_lin]]</f>
        <v>3</v>
      </c>
    </row>
    <row r="1764" spans="1:25" x14ac:dyDescent="0.35">
      <c r="A1764" s="1">
        <v>1176</v>
      </c>
      <c r="B1764" t="s">
        <v>829</v>
      </c>
      <c r="C1764" t="s">
        <v>99</v>
      </c>
      <c r="D1764" t="s">
        <v>116</v>
      </c>
      <c r="E1764" s="2">
        <v>1</v>
      </c>
      <c r="F1764" s="2">
        <v>0</v>
      </c>
      <c r="G1764">
        <v>27</v>
      </c>
      <c r="H1764" t="s">
        <v>19</v>
      </c>
      <c r="M1764" s="2">
        <v>1</v>
      </c>
      <c r="N1764" s="2">
        <v>1</v>
      </c>
      <c r="O1764" s="2">
        <v>0</v>
      </c>
      <c r="P1764" s="2" t="s">
        <v>21</v>
      </c>
      <c r="R1764" t="str">
        <f t="shared" si="81"/>
        <v>no</v>
      </c>
      <c r="S1764" t="str">
        <f t="shared" si="82"/>
        <v>no</v>
      </c>
      <c r="T17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4" s="2" t="b">
        <f t="shared" si="83"/>
        <v>1</v>
      </c>
      <c r="V1764" s="2">
        <f>IF(Table4[[#This Row],[linear?]],Table4[[#This Row],[av]],10^(Table4[[#This Row],[av]]/10))</f>
        <v>1</v>
      </c>
      <c r="W1764" s="2">
        <f>IF(Table4[[#This Row],[linear?]],Table4[[#This Row],[av]],10^(Table4[[#This Row],[av]]/10))</f>
        <v>1</v>
      </c>
      <c r="X1764" s="2">
        <f>Table4[[#This Row],[av_lin]]-2*Table4[[#This Row],[std_lin]]</f>
        <v>-1</v>
      </c>
      <c r="Y1764" s="2">
        <f>Table4[[#This Row],[av_lin]]+2*Table4[[#This Row],[std_lin]]</f>
        <v>3</v>
      </c>
    </row>
    <row r="1765" spans="1:25" x14ac:dyDescent="0.35">
      <c r="A1765" s="1">
        <v>1177</v>
      </c>
      <c r="B1765" t="s">
        <v>829</v>
      </c>
      <c r="C1765" t="s">
        <v>99</v>
      </c>
      <c r="D1765" t="s">
        <v>117</v>
      </c>
      <c r="E1765" s="2">
        <v>1</v>
      </c>
      <c r="F1765" s="2">
        <v>0</v>
      </c>
      <c r="G1765">
        <v>27</v>
      </c>
      <c r="H1765" t="s">
        <v>19</v>
      </c>
      <c r="M1765" s="2">
        <v>1</v>
      </c>
      <c r="N1765" s="2">
        <v>1</v>
      </c>
      <c r="O1765" s="2">
        <v>0</v>
      </c>
      <c r="P1765" s="2" t="s">
        <v>21</v>
      </c>
      <c r="R1765" t="str">
        <f t="shared" si="81"/>
        <v>no</v>
      </c>
      <c r="S1765" t="str">
        <f t="shared" si="82"/>
        <v>no</v>
      </c>
      <c r="T17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5" s="2" t="b">
        <f t="shared" si="83"/>
        <v>1</v>
      </c>
      <c r="V1765" s="2">
        <f>IF(Table4[[#This Row],[linear?]],Table4[[#This Row],[av]],10^(Table4[[#This Row],[av]]/10))</f>
        <v>1</v>
      </c>
      <c r="W1765" s="2">
        <f>IF(Table4[[#This Row],[linear?]],Table4[[#This Row],[av]],10^(Table4[[#This Row],[av]]/10))</f>
        <v>1</v>
      </c>
      <c r="X1765" s="2">
        <f>Table4[[#This Row],[av_lin]]-2*Table4[[#This Row],[std_lin]]</f>
        <v>-1</v>
      </c>
      <c r="Y1765" s="2">
        <f>Table4[[#This Row],[av_lin]]+2*Table4[[#This Row],[std_lin]]</f>
        <v>3</v>
      </c>
    </row>
    <row r="1766" spans="1:25" x14ac:dyDescent="0.35">
      <c r="A1766" s="1">
        <v>1178</v>
      </c>
      <c r="B1766" t="s">
        <v>829</v>
      </c>
      <c r="C1766" t="s">
        <v>99</v>
      </c>
      <c r="D1766" t="s">
        <v>118</v>
      </c>
      <c r="E1766" s="2">
        <v>1</v>
      </c>
      <c r="F1766" s="2">
        <v>0</v>
      </c>
      <c r="G1766">
        <v>27</v>
      </c>
      <c r="H1766" t="s">
        <v>19</v>
      </c>
      <c r="M1766" s="2">
        <v>1</v>
      </c>
      <c r="N1766" s="2">
        <v>1</v>
      </c>
      <c r="O1766" s="2">
        <v>0</v>
      </c>
      <c r="P1766" s="2" t="s">
        <v>21</v>
      </c>
      <c r="R1766" t="str">
        <f t="shared" si="81"/>
        <v>no</v>
      </c>
      <c r="S1766" t="str">
        <f t="shared" si="82"/>
        <v>no</v>
      </c>
      <c r="T17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6" s="2" t="b">
        <f t="shared" si="83"/>
        <v>1</v>
      </c>
      <c r="V1766" s="2">
        <f>IF(Table4[[#This Row],[linear?]],Table4[[#This Row],[av]],10^(Table4[[#This Row],[av]]/10))</f>
        <v>1</v>
      </c>
      <c r="W1766" s="2">
        <f>IF(Table4[[#This Row],[linear?]],Table4[[#This Row],[av]],10^(Table4[[#This Row],[av]]/10))</f>
        <v>1</v>
      </c>
      <c r="X1766" s="2">
        <f>Table4[[#This Row],[av_lin]]-2*Table4[[#This Row],[std_lin]]</f>
        <v>-1</v>
      </c>
      <c r="Y1766" s="2">
        <f>Table4[[#This Row],[av_lin]]+2*Table4[[#This Row],[std_lin]]</f>
        <v>3</v>
      </c>
    </row>
    <row r="1767" spans="1:25" x14ac:dyDescent="0.35">
      <c r="A1767" s="1">
        <v>1179</v>
      </c>
      <c r="B1767" t="s">
        <v>829</v>
      </c>
      <c r="C1767" t="s">
        <v>99</v>
      </c>
      <c r="D1767" t="s">
        <v>119</v>
      </c>
      <c r="E1767" s="2">
        <v>46.845679012345677</v>
      </c>
      <c r="F1767" s="2">
        <v>7.8558216287398936</v>
      </c>
      <c r="G1767">
        <v>27</v>
      </c>
      <c r="H1767" t="s">
        <v>19</v>
      </c>
      <c r="M1767" s="2">
        <v>62.557322269825463</v>
      </c>
      <c r="N1767" s="2">
        <v>31.134035754865891</v>
      </c>
      <c r="O1767" s="2">
        <v>31.423286514959571</v>
      </c>
      <c r="P1767" s="2">
        <v>5.9631800753933257</v>
      </c>
      <c r="R1767" t="str">
        <f t="shared" si="81"/>
        <v>no</v>
      </c>
      <c r="S1767" t="str">
        <f t="shared" si="82"/>
        <v>no</v>
      </c>
      <c r="T17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7" s="2" t="b">
        <f t="shared" si="83"/>
        <v>1</v>
      </c>
      <c r="V1767" s="2">
        <f>IF(Table4[[#This Row],[linear?]],Table4[[#This Row],[av]],10^(Table4[[#This Row],[av]]/10))</f>
        <v>46.845679012345677</v>
      </c>
      <c r="W1767" s="2">
        <f>IF(Table4[[#This Row],[linear?]],Table4[[#This Row],[av]],10^(Table4[[#This Row],[av]]/10))</f>
        <v>46.845679012345677</v>
      </c>
      <c r="X1767" s="2">
        <f>Table4[[#This Row],[av_lin]]-2*Table4[[#This Row],[std_lin]]</f>
        <v>-46.845679012345677</v>
      </c>
      <c r="Y1767" s="2">
        <f>Table4[[#This Row],[av_lin]]+2*Table4[[#This Row],[std_lin]]</f>
        <v>140.53703703703704</v>
      </c>
    </row>
    <row r="1768" spans="1:25" x14ac:dyDescent="0.35">
      <c r="A1768" s="1">
        <v>1180</v>
      </c>
      <c r="B1768" t="s">
        <v>829</v>
      </c>
      <c r="C1768" t="s">
        <v>99</v>
      </c>
      <c r="D1768" t="s">
        <v>120</v>
      </c>
      <c r="E1768" s="2">
        <v>45.93333333333333</v>
      </c>
      <c r="F1768" s="2">
        <v>5.6142740256402046</v>
      </c>
      <c r="G1768">
        <v>27</v>
      </c>
      <c r="H1768" t="s">
        <v>19</v>
      </c>
      <c r="M1768" s="2">
        <v>57.161881384613743</v>
      </c>
      <c r="N1768" s="2">
        <v>34.704785282052917</v>
      </c>
      <c r="O1768" s="2">
        <v>22.457096102560811</v>
      </c>
      <c r="P1768" s="2">
        <v>8.1815267875342936</v>
      </c>
      <c r="R1768" t="str">
        <f t="shared" si="81"/>
        <v>no</v>
      </c>
      <c r="S1768" t="str">
        <f t="shared" si="82"/>
        <v>no</v>
      </c>
      <c r="T17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8" s="2" t="b">
        <f t="shared" si="83"/>
        <v>1</v>
      </c>
      <c r="V1768" s="2">
        <f>IF(Table4[[#This Row],[linear?]],Table4[[#This Row],[av]],10^(Table4[[#This Row],[av]]/10))</f>
        <v>45.93333333333333</v>
      </c>
      <c r="W1768" s="2">
        <f>IF(Table4[[#This Row],[linear?]],Table4[[#This Row],[av]],10^(Table4[[#This Row],[av]]/10))</f>
        <v>45.93333333333333</v>
      </c>
      <c r="X1768" s="2">
        <f>Table4[[#This Row],[av_lin]]-2*Table4[[#This Row],[std_lin]]</f>
        <v>-45.93333333333333</v>
      </c>
      <c r="Y1768" s="2">
        <f>Table4[[#This Row],[av_lin]]+2*Table4[[#This Row],[std_lin]]</f>
        <v>137.79999999999998</v>
      </c>
    </row>
    <row r="1769" spans="1:25" x14ac:dyDescent="0.35">
      <c r="A1769" s="1">
        <v>1181</v>
      </c>
      <c r="B1769" t="s">
        <v>829</v>
      </c>
      <c r="C1769" t="s">
        <v>99</v>
      </c>
      <c r="D1769" t="s">
        <v>121</v>
      </c>
      <c r="G1769">
        <v>27</v>
      </c>
      <c r="H1769" t="s">
        <v>19</v>
      </c>
      <c r="R1769" t="str">
        <f t="shared" si="81"/>
        <v>no</v>
      </c>
      <c r="S1769" t="str">
        <f t="shared" si="82"/>
        <v>no</v>
      </c>
      <c r="T17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9" s="2" t="b">
        <f t="shared" si="83"/>
        <v>1</v>
      </c>
      <c r="V1769" s="2">
        <f>IF(Table4[[#This Row],[linear?]],Table4[[#This Row],[av]],10^(Table4[[#This Row],[av]]/10))</f>
        <v>0</v>
      </c>
      <c r="W1769" s="2">
        <f>IF(Table4[[#This Row],[linear?]],Table4[[#This Row],[av]],10^(Table4[[#This Row],[av]]/10))</f>
        <v>0</v>
      </c>
      <c r="X1769" s="2">
        <f>Table4[[#This Row],[av_lin]]-2*Table4[[#This Row],[std_lin]]</f>
        <v>0</v>
      </c>
      <c r="Y1769" s="2">
        <f>Table4[[#This Row],[av_lin]]+2*Table4[[#This Row],[std_lin]]</f>
        <v>0</v>
      </c>
    </row>
    <row r="1770" spans="1:25" x14ac:dyDescent="0.35">
      <c r="A1770" s="1">
        <v>1182</v>
      </c>
      <c r="B1770" t="s">
        <v>829</v>
      </c>
      <c r="C1770" t="s">
        <v>99</v>
      </c>
      <c r="D1770" t="s">
        <v>122</v>
      </c>
      <c r="E1770" s="2">
        <v>1</v>
      </c>
      <c r="F1770" s="2">
        <v>0</v>
      </c>
      <c r="G1770">
        <v>27</v>
      </c>
      <c r="H1770" t="s">
        <v>19</v>
      </c>
      <c r="M1770" s="2">
        <v>1</v>
      </c>
      <c r="N1770" s="2">
        <v>1</v>
      </c>
      <c r="O1770" s="2">
        <v>0</v>
      </c>
      <c r="P1770" s="2" t="s">
        <v>21</v>
      </c>
      <c r="R1770" t="str">
        <f t="shared" si="81"/>
        <v>no</v>
      </c>
      <c r="S1770" t="str">
        <f t="shared" si="82"/>
        <v>no</v>
      </c>
      <c r="T17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0" s="2" t="b">
        <f t="shared" si="83"/>
        <v>1</v>
      </c>
      <c r="V1770" s="2">
        <f>IF(Table4[[#This Row],[linear?]],Table4[[#This Row],[av]],10^(Table4[[#This Row],[av]]/10))</f>
        <v>1</v>
      </c>
      <c r="W1770" s="2">
        <f>IF(Table4[[#This Row],[linear?]],Table4[[#This Row],[av]],10^(Table4[[#This Row],[av]]/10))</f>
        <v>1</v>
      </c>
      <c r="X1770" s="2">
        <f>Table4[[#This Row],[av_lin]]-2*Table4[[#This Row],[std_lin]]</f>
        <v>-1</v>
      </c>
      <c r="Y1770" s="2">
        <f>Table4[[#This Row],[av_lin]]+2*Table4[[#This Row],[std_lin]]</f>
        <v>3</v>
      </c>
    </row>
    <row r="1771" spans="1:25" x14ac:dyDescent="0.35">
      <c r="A1771" s="1">
        <v>1183</v>
      </c>
      <c r="B1771" t="s">
        <v>829</v>
      </c>
      <c r="C1771" t="s">
        <v>99</v>
      </c>
      <c r="D1771" t="s">
        <v>123</v>
      </c>
      <c r="E1771" s="2">
        <v>1</v>
      </c>
      <c r="F1771" s="2">
        <v>0</v>
      </c>
      <c r="G1771">
        <v>27</v>
      </c>
      <c r="H1771" t="s">
        <v>19</v>
      </c>
      <c r="M1771" s="2">
        <v>1</v>
      </c>
      <c r="N1771" s="2">
        <v>1</v>
      </c>
      <c r="O1771" s="2">
        <v>0</v>
      </c>
      <c r="P1771" s="2" t="s">
        <v>21</v>
      </c>
      <c r="R1771" t="str">
        <f t="shared" si="81"/>
        <v>no</v>
      </c>
      <c r="S1771" t="str">
        <f t="shared" si="82"/>
        <v>no</v>
      </c>
      <c r="T17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1" s="2" t="b">
        <f t="shared" si="83"/>
        <v>1</v>
      </c>
      <c r="V1771" s="2">
        <f>IF(Table4[[#This Row],[linear?]],Table4[[#This Row],[av]],10^(Table4[[#This Row],[av]]/10))</f>
        <v>1</v>
      </c>
      <c r="W1771" s="2">
        <f>IF(Table4[[#This Row],[linear?]],Table4[[#This Row],[av]],10^(Table4[[#This Row],[av]]/10))</f>
        <v>1</v>
      </c>
      <c r="X1771" s="2">
        <f>Table4[[#This Row],[av_lin]]-2*Table4[[#This Row],[std_lin]]</f>
        <v>-1</v>
      </c>
      <c r="Y1771" s="2">
        <f>Table4[[#This Row],[av_lin]]+2*Table4[[#This Row],[std_lin]]</f>
        <v>3</v>
      </c>
    </row>
    <row r="1772" spans="1:25" x14ac:dyDescent="0.35">
      <c r="A1772" s="1">
        <v>1184</v>
      </c>
      <c r="B1772" t="s">
        <v>829</v>
      </c>
      <c r="C1772" t="s">
        <v>99</v>
      </c>
      <c r="D1772" t="s">
        <v>124</v>
      </c>
      <c r="E1772" s="2">
        <v>1</v>
      </c>
      <c r="F1772" s="2">
        <v>0</v>
      </c>
      <c r="G1772">
        <v>27</v>
      </c>
      <c r="H1772" t="s">
        <v>19</v>
      </c>
      <c r="M1772" s="2">
        <v>1</v>
      </c>
      <c r="N1772" s="2">
        <v>1</v>
      </c>
      <c r="O1772" s="2">
        <v>0</v>
      </c>
      <c r="P1772" s="2" t="s">
        <v>21</v>
      </c>
      <c r="R1772" t="str">
        <f t="shared" si="81"/>
        <v>no</v>
      </c>
      <c r="S1772" t="str">
        <f t="shared" si="82"/>
        <v>no</v>
      </c>
      <c r="T17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2" s="2" t="b">
        <f t="shared" si="83"/>
        <v>1</v>
      </c>
      <c r="V1772" s="2">
        <f>IF(Table4[[#This Row],[linear?]],Table4[[#This Row],[av]],10^(Table4[[#This Row],[av]]/10))</f>
        <v>1</v>
      </c>
      <c r="W1772" s="2">
        <f>IF(Table4[[#This Row],[linear?]],Table4[[#This Row],[av]],10^(Table4[[#This Row],[av]]/10))</f>
        <v>1</v>
      </c>
      <c r="X1772" s="2">
        <f>Table4[[#This Row],[av_lin]]-2*Table4[[#This Row],[std_lin]]</f>
        <v>-1</v>
      </c>
      <c r="Y1772" s="2">
        <f>Table4[[#This Row],[av_lin]]+2*Table4[[#This Row],[std_lin]]</f>
        <v>3</v>
      </c>
    </row>
    <row r="1773" spans="1:25" x14ac:dyDescent="0.35">
      <c r="A1773" s="1">
        <v>1185</v>
      </c>
      <c r="B1773" t="s">
        <v>829</v>
      </c>
      <c r="C1773" t="s">
        <v>99</v>
      </c>
      <c r="D1773" t="s">
        <v>125</v>
      </c>
      <c r="E1773" s="2">
        <v>1</v>
      </c>
      <c r="F1773" s="2">
        <v>0</v>
      </c>
      <c r="G1773">
        <v>27</v>
      </c>
      <c r="H1773" t="s">
        <v>19</v>
      </c>
      <c r="M1773" s="2">
        <v>1</v>
      </c>
      <c r="N1773" s="2">
        <v>1</v>
      </c>
      <c r="O1773" s="2">
        <v>0</v>
      </c>
      <c r="P1773" s="2" t="s">
        <v>21</v>
      </c>
      <c r="R1773" t="str">
        <f t="shared" si="81"/>
        <v>no</v>
      </c>
      <c r="S1773" t="str">
        <f t="shared" si="82"/>
        <v>no</v>
      </c>
      <c r="T17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3" s="2" t="b">
        <f t="shared" si="83"/>
        <v>1</v>
      </c>
      <c r="V1773" s="2">
        <f>IF(Table4[[#This Row],[linear?]],Table4[[#This Row],[av]],10^(Table4[[#This Row],[av]]/10))</f>
        <v>1</v>
      </c>
      <c r="W1773" s="2">
        <f>IF(Table4[[#This Row],[linear?]],Table4[[#This Row],[av]],10^(Table4[[#This Row],[av]]/10))</f>
        <v>1</v>
      </c>
      <c r="X1773" s="2">
        <f>Table4[[#This Row],[av_lin]]-2*Table4[[#This Row],[std_lin]]</f>
        <v>-1</v>
      </c>
      <c r="Y1773" s="2">
        <f>Table4[[#This Row],[av_lin]]+2*Table4[[#This Row],[std_lin]]</f>
        <v>3</v>
      </c>
    </row>
    <row r="1774" spans="1:25" x14ac:dyDescent="0.35">
      <c r="A1774" s="1">
        <v>1186</v>
      </c>
      <c r="B1774" t="s">
        <v>829</v>
      </c>
      <c r="C1774" t="s">
        <v>99</v>
      </c>
      <c r="D1774" t="s">
        <v>126</v>
      </c>
      <c r="E1774" s="2">
        <v>44.783950617283949</v>
      </c>
      <c r="F1774" s="2">
        <v>4.7117697015593762</v>
      </c>
      <c r="G1774">
        <v>27</v>
      </c>
      <c r="H1774" t="s">
        <v>19</v>
      </c>
      <c r="M1774" s="2">
        <v>54.207490020402702</v>
      </c>
      <c r="N1774" s="2">
        <v>35.360411214165197</v>
      </c>
      <c r="O1774" s="2">
        <v>18.847078806237501</v>
      </c>
      <c r="P1774" s="2">
        <v>9.5046985429832329</v>
      </c>
      <c r="R1774" t="str">
        <f t="shared" si="81"/>
        <v>no</v>
      </c>
      <c r="S1774" t="str">
        <f t="shared" si="82"/>
        <v>no</v>
      </c>
      <c r="T17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4" s="2" t="b">
        <f t="shared" si="83"/>
        <v>1</v>
      </c>
      <c r="V1774" s="2">
        <f>IF(Table4[[#This Row],[linear?]],Table4[[#This Row],[av]],10^(Table4[[#This Row],[av]]/10))</f>
        <v>44.783950617283949</v>
      </c>
      <c r="W1774" s="2">
        <f>IF(Table4[[#This Row],[linear?]],Table4[[#This Row],[av]],10^(Table4[[#This Row],[av]]/10))</f>
        <v>44.783950617283949</v>
      </c>
      <c r="X1774" s="2">
        <f>Table4[[#This Row],[av_lin]]-2*Table4[[#This Row],[std_lin]]</f>
        <v>-44.783950617283949</v>
      </c>
      <c r="Y1774" s="2">
        <f>Table4[[#This Row],[av_lin]]+2*Table4[[#This Row],[std_lin]]</f>
        <v>134.35185185185185</v>
      </c>
    </row>
    <row r="1775" spans="1:25" x14ac:dyDescent="0.35">
      <c r="A1775" s="1">
        <v>1187</v>
      </c>
      <c r="B1775" t="s">
        <v>829</v>
      </c>
      <c r="C1775" t="s">
        <v>99</v>
      </c>
      <c r="D1775" t="s">
        <v>127</v>
      </c>
      <c r="E1775" s="2">
        <v>41.304938271604939</v>
      </c>
      <c r="F1775" s="2">
        <v>5.3343463808630078</v>
      </c>
      <c r="G1775">
        <v>27</v>
      </c>
      <c r="H1775" t="s">
        <v>19</v>
      </c>
      <c r="M1775" s="2">
        <v>51.973631033330953</v>
      </c>
      <c r="N1775" s="2">
        <v>30.636245509878929</v>
      </c>
      <c r="O1775" s="2">
        <v>21.337385523452031</v>
      </c>
      <c r="P1775" s="2">
        <v>7.7432051318951833</v>
      </c>
      <c r="R1775" t="str">
        <f t="shared" si="81"/>
        <v>no</v>
      </c>
      <c r="S1775" t="str">
        <f t="shared" si="82"/>
        <v>no</v>
      </c>
      <c r="T17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5" s="2" t="b">
        <f t="shared" si="83"/>
        <v>1</v>
      </c>
      <c r="V1775" s="2">
        <f>IF(Table4[[#This Row],[linear?]],Table4[[#This Row],[av]],10^(Table4[[#This Row],[av]]/10))</f>
        <v>41.304938271604939</v>
      </c>
      <c r="W1775" s="2">
        <f>IF(Table4[[#This Row],[linear?]],Table4[[#This Row],[av]],10^(Table4[[#This Row],[av]]/10))</f>
        <v>41.304938271604939</v>
      </c>
      <c r="X1775" s="2">
        <f>Table4[[#This Row],[av_lin]]-2*Table4[[#This Row],[std_lin]]</f>
        <v>-41.304938271604939</v>
      </c>
      <c r="Y1775" s="2">
        <f>Table4[[#This Row],[av_lin]]+2*Table4[[#This Row],[std_lin]]</f>
        <v>123.91481481481482</v>
      </c>
    </row>
    <row r="1776" spans="1:25" x14ac:dyDescent="0.35">
      <c r="A1776" s="1">
        <v>1188</v>
      </c>
      <c r="B1776" t="s">
        <v>829</v>
      </c>
      <c r="C1776" t="s">
        <v>99</v>
      </c>
      <c r="D1776" t="s">
        <v>128</v>
      </c>
      <c r="G1776">
        <v>27</v>
      </c>
      <c r="H1776" t="s">
        <v>19</v>
      </c>
      <c r="R1776" t="str">
        <f t="shared" si="81"/>
        <v>no</v>
      </c>
      <c r="S1776" t="str">
        <f t="shared" si="82"/>
        <v>no</v>
      </c>
      <c r="T17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6" s="2" t="b">
        <f t="shared" si="83"/>
        <v>1</v>
      </c>
      <c r="V1776" s="2">
        <f>IF(Table4[[#This Row],[linear?]],Table4[[#This Row],[av]],10^(Table4[[#This Row],[av]]/10))</f>
        <v>0</v>
      </c>
      <c r="W1776" s="2">
        <f>IF(Table4[[#This Row],[linear?]],Table4[[#This Row],[av]],10^(Table4[[#This Row],[av]]/10))</f>
        <v>0</v>
      </c>
      <c r="X1776" s="2">
        <f>Table4[[#This Row],[av_lin]]-2*Table4[[#This Row],[std_lin]]</f>
        <v>0</v>
      </c>
      <c r="Y1776" s="2">
        <f>Table4[[#This Row],[av_lin]]+2*Table4[[#This Row],[std_lin]]</f>
        <v>0</v>
      </c>
    </row>
    <row r="1777" spans="1:25" x14ac:dyDescent="0.35">
      <c r="A1777" s="1">
        <v>1189</v>
      </c>
      <c r="B1777" t="s">
        <v>829</v>
      </c>
      <c r="C1777" t="s">
        <v>99</v>
      </c>
      <c r="D1777" t="s">
        <v>129</v>
      </c>
      <c r="E1777" s="2">
        <v>1</v>
      </c>
      <c r="F1777" s="2">
        <v>0</v>
      </c>
      <c r="G1777">
        <v>27</v>
      </c>
      <c r="H1777" t="s">
        <v>19</v>
      </c>
      <c r="M1777" s="2">
        <v>1</v>
      </c>
      <c r="N1777" s="2">
        <v>1</v>
      </c>
      <c r="O1777" s="2">
        <v>0</v>
      </c>
      <c r="P1777" s="2" t="s">
        <v>21</v>
      </c>
      <c r="R1777" t="str">
        <f t="shared" si="81"/>
        <v>no</v>
      </c>
      <c r="S1777" t="str">
        <f t="shared" si="82"/>
        <v>no</v>
      </c>
      <c r="T17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7" s="2" t="b">
        <f t="shared" si="83"/>
        <v>1</v>
      </c>
      <c r="V1777" s="2">
        <f>IF(Table4[[#This Row],[linear?]],Table4[[#This Row],[av]],10^(Table4[[#This Row],[av]]/10))</f>
        <v>1</v>
      </c>
      <c r="W1777" s="2">
        <f>IF(Table4[[#This Row],[linear?]],Table4[[#This Row],[av]],10^(Table4[[#This Row],[av]]/10))</f>
        <v>1</v>
      </c>
      <c r="X1777" s="2">
        <f>Table4[[#This Row],[av_lin]]-2*Table4[[#This Row],[std_lin]]</f>
        <v>-1</v>
      </c>
      <c r="Y1777" s="2">
        <f>Table4[[#This Row],[av_lin]]+2*Table4[[#This Row],[std_lin]]</f>
        <v>3</v>
      </c>
    </row>
    <row r="1778" spans="1:25" x14ac:dyDescent="0.35">
      <c r="A1778" s="1">
        <v>1190</v>
      </c>
      <c r="B1778" t="s">
        <v>829</v>
      </c>
      <c r="C1778" t="s">
        <v>99</v>
      </c>
      <c r="D1778" t="s">
        <v>130</v>
      </c>
      <c r="E1778" s="2">
        <v>1</v>
      </c>
      <c r="F1778" s="2">
        <v>0</v>
      </c>
      <c r="G1778">
        <v>27</v>
      </c>
      <c r="H1778" t="s">
        <v>19</v>
      </c>
      <c r="M1778" s="2">
        <v>1</v>
      </c>
      <c r="N1778" s="2">
        <v>1</v>
      </c>
      <c r="O1778" s="2">
        <v>0</v>
      </c>
      <c r="P1778" s="2" t="s">
        <v>21</v>
      </c>
      <c r="R1778" t="str">
        <f t="shared" si="81"/>
        <v>no</v>
      </c>
      <c r="S1778" t="str">
        <f t="shared" si="82"/>
        <v>no</v>
      </c>
      <c r="T17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8" s="2" t="b">
        <f t="shared" si="83"/>
        <v>1</v>
      </c>
      <c r="V1778" s="2">
        <f>IF(Table4[[#This Row],[linear?]],Table4[[#This Row],[av]],10^(Table4[[#This Row],[av]]/10))</f>
        <v>1</v>
      </c>
      <c r="W1778" s="2">
        <f>IF(Table4[[#This Row],[linear?]],Table4[[#This Row],[av]],10^(Table4[[#This Row],[av]]/10))</f>
        <v>1</v>
      </c>
      <c r="X1778" s="2">
        <f>Table4[[#This Row],[av_lin]]-2*Table4[[#This Row],[std_lin]]</f>
        <v>-1</v>
      </c>
      <c r="Y1778" s="2">
        <f>Table4[[#This Row],[av_lin]]+2*Table4[[#This Row],[std_lin]]</f>
        <v>3</v>
      </c>
    </row>
    <row r="1779" spans="1:25" x14ac:dyDescent="0.35">
      <c r="A1779" s="1">
        <v>1191</v>
      </c>
      <c r="B1779" t="s">
        <v>829</v>
      </c>
      <c r="C1779" t="s">
        <v>99</v>
      </c>
      <c r="D1779" t="s">
        <v>131</v>
      </c>
      <c r="E1779" s="2">
        <v>1</v>
      </c>
      <c r="F1779" s="2">
        <v>0</v>
      </c>
      <c r="G1779">
        <v>27</v>
      </c>
      <c r="H1779" t="s">
        <v>19</v>
      </c>
      <c r="M1779" s="2">
        <v>1</v>
      </c>
      <c r="N1779" s="2">
        <v>1</v>
      </c>
      <c r="O1779" s="2">
        <v>0</v>
      </c>
      <c r="P1779" s="2" t="s">
        <v>21</v>
      </c>
      <c r="R1779" t="str">
        <f t="shared" si="81"/>
        <v>no</v>
      </c>
      <c r="S1779" t="str">
        <f t="shared" si="82"/>
        <v>no</v>
      </c>
      <c r="T17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9" s="2" t="b">
        <f t="shared" si="83"/>
        <v>1</v>
      </c>
      <c r="V1779" s="2">
        <f>IF(Table4[[#This Row],[linear?]],Table4[[#This Row],[av]],10^(Table4[[#This Row],[av]]/10))</f>
        <v>1</v>
      </c>
      <c r="W1779" s="2">
        <f>IF(Table4[[#This Row],[linear?]],Table4[[#This Row],[av]],10^(Table4[[#This Row],[av]]/10))</f>
        <v>1</v>
      </c>
      <c r="X1779" s="2">
        <f>Table4[[#This Row],[av_lin]]-2*Table4[[#This Row],[std_lin]]</f>
        <v>-1</v>
      </c>
      <c r="Y1779" s="2">
        <f>Table4[[#This Row],[av_lin]]+2*Table4[[#This Row],[std_lin]]</f>
        <v>3</v>
      </c>
    </row>
    <row r="1780" spans="1:25" x14ac:dyDescent="0.35">
      <c r="A1780" s="1">
        <v>1192</v>
      </c>
      <c r="B1780" t="s">
        <v>829</v>
      </c>
      <c r="C1780" t="s">
        <v>99</v>
      </c>
      <c r="D1780" t="s">
        <v>132</v>
      </c>
      <c r="E1780" s="2">
        <v>1</v>
      </c>
      <c r="F1780" s="2">
        <v>0</v>
      </c>
      <c r="G1780">
        <v>27</v>
      </c>
      <c r="H1780" t="s">
        <v>19</v>
      </c>
      <c r="M1780" s="2">
        <v>1</v>
      </c>
      <c r="N1780" s="2">
        <v>1</v>
      </c>
      <c r="O1780" s="2">
        <v>0</v>
      </c>
      <c r="P1780" s="2" t="s">
        <v>21</v>
      </c>
      <c r="R1780" t="str">
        <f t="shared" si="81"/>
        <v>no</v>
      </c>
      <c r="S1780" t="str">
        <f t="shared" si="82"/>
        <v>no</v>
      </c>
      <c r="T17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0" s="2" t="b">
        <f t="shared" si="83"/>
        <v>1</v>
      </c>
      <c r="V1780" s="2">
        <f>IF(Table4[[#This Row],[linear?]],Table4[[#This Row],[av]],10^(Table4[[#This Row],[av]]/10))</f>
        <v>1</v>
      </c>
      <c r="W1780" s="2">
        <f>IF(Table4[[#This Row],[linear?]],Table4[[#This Row],[av]],10^(Table4[[#This Row],[av]]/10))</f>
        <v>1</v>
      </c>
      <c r="X1780" s="2">
        <f>Table4[[#This Row],[av_lin]]-2*Table4[[#This Row],[std_lin]]</f>
        <v>-1</v>
      </c>
      <c r="Y1780" s="2">
        <f>Table4[[#This Row],[av_lin]]+2*Table4[[#This Row],[std_lin]]</f>
        <v>3</v>
      </c>
    </row>
    <row r="1781" spans="1:25" x14ac:dyDescent="0.35">
      <c r="A1781" s="1">
        <v>1193</v>
      </c>
      <c r="B1781" t="s">
        <v>829</v>
      </c>
      <c r="C1781" t="s">
        <v>99</v>
      </c>
      <c r="D1781" t="s">
        <v>133</v>
      </c>
      <c r="E1781" s="2">
        <v>41.128395061728398</v>
      </c>
      <c r="F1781" s="2">
        <v>5.1712770273184789</v>
      </c>
      <c r="G1781">
        <v>27</v>
      </c>
      <c r="H1781" t="s">
        <v>19</v>
      </c>
      <c r="M1781" s="2">
        <v>51.470949116365347</v>
      </c>
      <c r="N1781" s="2">
        <v>30.785841007091442</v>
      </c>
      <c r="O1781" s="2">
        <v>20.685108109273909</v>
      </c>
      <c r="P1781" s="2">
        <v>7.9532376324954246</v>
      </c>
      <c r="R1781" t="str">
        <f t="shared" si="81"/>
        <v>no</v>
      </c>
      <c r="S1781" t="str">
        <f t="shared" si="82"/>
        <v>no</v>
      </c>
      <c r="T17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1" s="2" t="b">
        <f t="shared" si="83"/>
        <v>1</v>
      </c>
      <c r="V1781" s="2">
        <f>IF(Table4[[#This Row],[linear?]],Table4[[#This Row],[av]],10^(Table4[[#This Row],[av]]/10))</f>
        <v>41.128395061728398</v>
      </c>
      <c r="W1781" s="2">
        <f>IF(Table4[[#This Row],[linear?]],Table4[[#This Row],[av]],10^(Table4[[#This Row],[av]]/10))</f>
        <v>41.128395061728398</v>
      </c>
      <c r="X1781" s="2">
        <f>Table4[[#This Row],[av_lin]]-2*Table4[[#This Row],[std_lin]]</f>
        <v>-41.128395061728398</v>
      </c>
      <c r="Y1781" s="2">
        <f>Table4[[#This Row],[av_lin]]+2*Table4[[#This Row],[std_lin]]</f>
        <v>123.38518518518519</v>
      </c>
    </row>
    <row r="1782" spans="1:25" x14ac:dyDescent="0.35">
      <c r="A1782" s="1">
        <v>1194</v>
      </c>
      <c r="B1782" t="s">
        <v>829</v>
      </c>
      <c r="C1782" t="s">
        <v>99</v>
      </c>
      <c r="D1782" t="s">
        <v>134</v>
      </c>
      <c r="E1782" s="2">
        <v>43.528395061728403</v>
      </c>
      <c r="F1782" s="2">
        <v>6.4735922767604528</v>
      </c>
      <c r="G1782">
        <v>27</v>
      </c>
      <c r="H1782" t="s">
        <v>19</v>
      </c>
      <c r="M1782" s="2">
        <v>56.475579615249309</v>
      </c>
      <c r="N1782" s="2">
        <v>30.581210508207501</v>
      </c>
      <c r="O1782" s="2">
        <v>25.894369107041811</v>
      </c>
      <c r="P1782" s="2">
        <v>6.7239939126211237</v>
      </c>
      <c r="R1782" t="str">
        <f t="shared" si="81"/>
        <v>no</v>
      </c>
      <c r="S1782" t="str">
        <f t="shared" si="82"/>
        <v>no</v>
      </c>
      <c r="T17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2" s="2" t="b">
        <f t="shared" si="83"/>
        <v>1</v>
      </c>
      <c r="V1782" s="2">
        <f>IF(Table4[[#This Row],[linear?]],Table4[[#This Row],[av]],10^(Table4[[#This Row],[av]]/10))</f>
        <v>43.528395061728403</v>
      </c>
      <c r="W1782" s="2">
        <f>IF(Table4[[#This Row],[linear?]],Table4[[#This Row],[av]],10^(Table4[[#This Row],[av]]/10))</f>
        <v>43.528395061728403</v>
      </c>
      <c r="X1782" s="2">
        <f>Table4[[#This Row],[av_lin]]-2*Table4[[#This Row],[std_lin]]</f>
        <v>-43.528395061728403</v>
      </c>
      <c r="Y1782" s="2">
        <f>Table4[[#This Row],[av_lin]]+2*Table4[[#This Row],[std_lin]]</f>
        <v>130.5851851851852</v>
      </c>
    </row>
    <row r="1783" spans="1:25" x14ac:dyDescent="0.35">
      <c r="A1783" s="1">
        <v>1195</v>
      </c>
      <c r="B1783" t="s">
        <v>829</v>
      </c>
      <c r="C1783" t="s">
        <v>99</v>
      </c>
      <c r="D1783" t="s">
        <v>135</v>
      </c>
      <c r="G1783">
        <v>27</v>
      </c>
      <c r="H1783" t="s">
        <v>19</v>
      </c>
      <c r="R1783" t="str">
        <f t="shared" si="81"/>
        <v>no</v>
      </c>
      <c r="S1783" t="str">
        <f t="shared" si="82"/>
        <v>no</v>
      </c>
      <c r="T17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3" s="2" t="b">
        <f t="shared" si="83"/>
        <v>1</v>
      </c>
      <c r="V1783" s="2">
        <f>IF(Table4[[#This Row],[linear?]],Table4[[#This Row],[av]],10^(Table4[[#This Row],[av]]/10))</f>
        <v>0</v>
      </c>
      <c r="W1783" s="2">
        <f>IF(Table4[[#This Row],[linear?]],Table4[[#This Row],[av]],10^(Table4[[#This Row],[av]]/10))</f>
        <v>0</v>
      </c>
      <c r="X1783" s="2">
        <f>Table4[[#This Row],[av_lin]]-2*Table4[[#This Row],[std_lin]]</f>
        <v>0</v>
      </c>
      <c r="Y1783" s="2">
        <f>Table4[[#This Row],[av_lin]]+2*Table4[[#This Row],[std_lin]]</f>
        <v>0</v>
      </c>
    </row>
    <row r="1784" spans="1:25" x14ac:dyDescent="0.35">
      <c r="A1784" s="1">
        <v>1196</v>
      </c>
      <c r="B1784" t="s">
        <v>829</v>
      </c>
      <c r="C1784" t="s">
        <v>99</v>
      </c>
      <c r="D1784" t="s">
        <v>136</v>
      </c>
      <c r="E1784" s="2">
        <v>1</v>
      </c>
      <c r="F1784" s="2">
        <v>0</v>
      </c>
      <c r="G1784">
        <v>27</v>
      </c>
      <c r="H1784" t="s">
        <v>19</v>
      </c>
      <c r="M1784" s="2">
        <v>1</v>
      </c>
      <c r="N1784" s="2">
        <v>1</v>
      </c>
      <c r="O1784" s="2">
        <v>0</v>
      </c>
      <c r="P1784" s="2" t="s">
        <v>21</v>
      </c>
      <c r="R1784" t="str">
        <f t="shared" si="81"/>
        <v>no</v>
      </c>
      <c r="S1784" t="str">
        <f t="shared" si="82"/>
        <v>no</v>
      </c>
      <c r="T17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4" s="2" t="b">
        <f t="shared" si="83"/>
        <v>1</v>
      </c>
      <c r="V1784" s="2">
        <f>IF(Table4[[#This Row],[linear?]],Table4[[#This Row],[av]],10^(Table4[[#This Row],[av]]/10))</f>
        <v>1</v>
      </c>
      <c r="W1784" s="2">
        <f>IF(Table4[[#This Row],[linear?]],Table4[[#This Row],[av]],10^(Table4[[#This Row],[av]]/10))</f>
        <v>1</v>
      </c>
      <c r="X1784" s="2">
        <f>Table4[[#This Row],[av_lin]]-2*Table4[[#This Row],[std_lin]]</f>
        <v>-1</v>
      </c>
      <c r="Y1784" s="2">
        <f>Table4[[#This Row],[av_lin]]+2*Table4[[#This Row],[std_lin]]</f>
        <v>3</v>
      </c>
    </row>
    <row r="1785" spans="1:25" x14ac:dyDescent="0.35">
      <c r="A1785" s="1">
        <v>1197</v>
      </c>
      <c r="B1785" t="s">
        <v>829</v>
      </c>
      <c r="C1785" t="s">
        <v>99</v>
      </c>
      <c r="D1785" t="s">
        <v>137</v>
      </c>
      <c r="E1785" s="2">
        <v>1</v>
      </c>
      <c r="F1785" s="2">
        <v>0</v>
      </c>
      <c r="G1785">
        <v>27</v>
      </c>
      <c r="H1785" t="s">
        <v>19</v>
      </c>
      <c r="M1785" s="2">
        <v>1</v>
      </c>
      <c r="N1785" s="2">
        <v>1</v>
      </c>
      <c r="O1785" s="2">
        <v>0</v>
      </c>
      <c r="P1785" s="2" t="s">
        <v>21</v>
      </c>
      <c r="R1785" t="str">
        <f t="shared" si="81"/>
        <v>no</v>
      </c>
      <c r="S1785" t="str">
        <f t="shared" si="82"/>
        <v>no</v>
      </c>
      <c r="T17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5" s="2" t="b">
        <f t="shared" si="83"/>
        <v>1</v>
      </c>
      <c r="V1785" s="2">
        <f>IF(Table4[[#This Row],[linear?]],Table4[[#This Row],[av]],10^(Table4[[#This Row],[av]]/10))</f>
        <v>1</v>
      </c>
      <c r="W1785" s="2">
        <f>IF(Table4[[#This Row],[linear?]],Table4[[#This Row],[av]],10^(Table4[[#This Row],[av]]/10))</f>
        <v>1</v>
      </c>
      <c r="X1785" s="2">
        <f>Table4[[#This Row],[av_lin]]-2*Table4[[#This Row],[std_lin]]</f>
        <v>-1</v>
      </c>
      <c r="Y1785" s="2">
        <f>Table4[[#This Row],[av_lin]]+2*Table4[[#This Row],[std_lin]]</f>
        <v>3</v>
      </c>
    </row>
    <row r="1786" spans="1:25" x14ac:dyDescent="0.35">
      <c r="A1786" s="1">
        <v>1198</v>
      </c>
      <c r="B1786" t="s">
        <v>829</v>
      </c>
      <c r="C1786" t="s">
        <v>99</v>
      </c>
      <c r="D1786" t="s">
        <v>138</v>
      </c>
      <c r="E1786" s="2">
        <v>1</v>
      </c>
      <c r="F1786" s="2">
        <v>0</v>
      </c>
      <c r="G1786">
        <v>27</v>
      </c>
      <c r="H1786" t="s">
        <v>19</v>
      </c>
      <c r="M1786" s="2">
        <v>1</v>
      </c>
      <c r="N1786" s="2">
        <v>1</v>
      </c>
      <c r="O1786" s="2">
        <v>0</v>
      </c>
      <c r="P1786" s="2" t="s">
        <v>21</v>
      </c>
      <c r="R1786" t="str">
        <f t="shared" si="81"/>
        <v>no</v>
      </c>
      <c r="S1786" t="str">
        <f t="shared" si="82"/>
        <v>no</v>
      </c>
      <c r="T17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6" s="2" t="b">
        <f t="shared" si="83"/>
        <v>1</v>
      </c>
      <c r="V1786" s="2">
        <f>IF(Table4[[#This Row],[linear?]],Table4[[#This Row],[av]],10^(Table4[[#This Row],[av]]/10))</f>
        <v>1</v>
      </c>
      <c r="W1786" s="2">
        <f>IF(Table4[[#This Row],[linear?]],Table4[[#This Row],[av]],10^(Table4[[#This Row],[av]]/10))</f>
        <v>1</v>
      </c>
      <c r="X1786" s="2">
        <f>Table4[[#This Row],[av_lin]]-2*Table4[[#This Row],[std_lin]]</f>
        <v>-1</v>
      </c>
      <c r="Y1786" s="2">
        <f>Table4[[#This Row],[av_lin]]+2*Table4[[#This Row],[std_lin]]</f>
        <v>3</v>
      </c>
    </row>
    <row r="1787" spans="1:25" x14ac:dyDescent="0.35">
      <c r="A1787" s="1">
        <v>1199</v>
      </c>
      <c r="B1787" t="s">
        <v>829</v>
      </c>
      <c r="C1787" t="s">
        <v>99</v>
      </c>
      <c r="D1787" t="s">
        <v>139</v>
      </c>
      <c r="E1787" s="2">
        <v>1</v>
      </c>
      <c r="F1787" s="2">
        <v>0</v>
      </c>
      <c r="G1787">
        <v>27</v>
      </c>
      <c r="H1787" t="s">
        <v>19</v>
      </c>
      <c r="M1787" s="2">
        <v>1</v>
      </c>
      <c r="N1787" s="2">
        <v>1</v>
      </c>
      <c r="O1787" s="2">
        <v>0</v>
      </c>
      <c r="P1787" s="2" t="s">
        <v>21</v>
      </c>
      <c r="R1787" t="str">
        <f t="shared" si="81"/>
        <v>no</v>
      </c>
      <c r="S1787" t="str">
        <f t="shared" si="82"/>
        <v>no</v>
      </c>
      <c r="T17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7" s="2" t="b">
        <f t="shared" si="83"/>
        <v>1</v>
      </c>
      <c r="V1787" s="2">
        <f>IF(Table4[[#This Row],[linear?]],Table4[[#This Row],[av]],10^(Table4[[#This Row],[av]]/10))</f>
        <v>1</v>
      </c>
      <c r="W1787" s="2">
        <f>IF(Table4[[#This Row],[linear?]],Table4[[#This Row],[av]],10^(Table4[[#This Row],[av]]/10))</f>
        <v>1</v>
      </c>
      <c r="X1787" s="2">
        <f>Table4[[#This Row],[av_lin]]-2*Table4[[#This Row],[std_lin]]</f>
        <v>-1</v>
      </c>
      <c r="Y1787" s="2">
        <f>Table4[[#This Row],[av_lin]]+2*Table4[[#This Row],[std_lin]]</f>
        <v>3</v>
      </c>
    </row>
    <row r="1788" spans="1:25" x14ac:dyDescent="0.35">
      <c r="A1788" s="1">
        <v>1200</v>
      </c>
      <c r="B1788" t="s">
        <v>829</v>
      </c>
      <c r="C1788" t="s">
        <v>99</v>
      </c>
      <c r="D1788" t="s">
        <v>140</v>
      </c>
      <c r="E1788" s="2">
        <v>40.155555555555559</v>
      </c>
      <c r="F1788" s="2">
        <v>3.382527124396717</v>
      </c>
      <c r="G1788">
        <v>27</v>
      </c>
      <c r="H1788" t="s">
        <v>19</v>
      </c>
      <c r="M1788" s="2">
        <v>46.920609804348992</v>
      </c>
      <c r="N1788" s="2">
        <v>33.390501306762133</v>
      </c>
      <c r="O1788" s="2">
        <v>13.53010849758687</v>
      </c>
      <c r="P1788" s="2">
        <v>11.871465942114931</v>
      </c>
      <c r="R1788" t="str">
        <f t="shared" si="81"/>
        <v>no</v>
      </c>
      <c r="S1788" t="str">
        <f t="shared" si="82"/>
        <v>no</v>
      </c>
      <c r="T17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8" s="2" t="b">
        <f t="shared" si="83"/>
        <v>1</v>
      </c>
      <c r="V1788" s="2">
        <f>IF(Table4[[#This Row],[linear?]],Table4[[#This Row],[av]],10^(Table4[[#This Row],[av]]/10))</f>
        <v>40.155555555555559</v>
      </c>
      <c r="W1788" s="2">
        <f>IF(Table4[[#This Row],[linear?]],Table4[[#This Row],[av]],10^(Table4[[#This Row],[av]]/10))</f>
        <v>40.155555555555559</v>
      </c>
      <c r="X1788" s="2">
        <f>Table4[[#This Row],[av_lin]]-2*Table4[[#This Row],[std_lin]]</f>
        <v>-40.155555555555559</v>
      </c>
      <c r="Y1788" s="2">
        <f>Table4[[#This Row],[av_lin]]+2*Table4[[#This Row],[std_lin]]</f>
        <v>120.46666666666667</v>
      </c>
    </row>
    <row r="1789" spans="1:25" x14ac:dyDescent="0.35">
      <c r="A1789" s="1">
        <v>1201</v>
      </c>
      <c r="B1789" t="s">
        <v>829</v>
      </c>
      <c r="C1789" t="s">
        <v>99</v>
      </c>
      <c r="D1789" t="s">
        <v>141</v>
      </c>
      <c r="E1789" s="2">
        <v>43.011111111111113</v>
      </c>
      <c r="F1789" s="2">
        <v>4.5201477437077484</v>
      </c>
      <c r="G1789">
        <v>27</v>
      </c>
      <c r="H1789" t="s">
        <v>19</v>
      </c>
      <c r="M1789" s="2">
        <v>52.051406598526611</v>
      </c>
      <c r="N1789" s="2">
        <v>33.970815623695607</v>
      </c>
      <c r="O1789" s="2">
        <v>18.080590974831001</v>
      </c>
      <c r="P1789" s="2">
        <v>9.5154215193484628</v>
      </c>
      <c r="R1789" t="str">
        <f t="shared" si="81"/>
        <v>no</v>
      </c>
      <c r="S1789" t="str">
        <f t="shared" si="82"/>
        <v>no</v>
      </c>
      <c r="T17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9" s="2" t="b">
        <f t="shared" si="83"/>
        <v>1</v>
      </c>
      <c r="V1789" s="2">
        <f>IF(Table4[[#This Row],[linear?]],Table4[[#This Row],[av]],10^(Table4[[#This Row],[av]]/10))</f>
        <v>43.011111111111113</v>
      </c>
      <c r="W1789" s="2">
        <f>IF(Table4[[#This Row],[linear?]],Table4[[#This Row],[av]],10^(Table4[[#This Row],[av]]/10))</f>
        <v>43.011111111111113</v>
      </c>
      <c r="X1789" s="2">
        <f>Table4[[#This Row],[av_lin]]-2*Table4[[#This Row],[std_lin]]</f>
        <v>-43.011111111111113</v>
      </c>
      <c r="Y1789" s="2">
        <f>Table4[[#This Row],[av_lin]]+2*Table4[[#This Row],[std_lin]]</f>
        <v>129.03333333333333</v>
      </c>
    </row>
    <row r="1790" spans="1:25" x14ac:dyDescent="0.35">
      <c r="A1790" s="1">
        <v>1202</v>
      </c>
      <c r="B1790" t="s">
        <v>829</v>
      </c>
      <c r="C1790" t="s">
        <v>142</v>
      </c>
      <c r="D1790" t="s">
        <v>143</v>
      </c>
      <c r="G1790">
        <v>27</v>
      </c>
      <c r="H1790" t="s">
        <v>19</v>
      </c>
      <c r="R1790" t="str">
        <f t="shared" si="81"/>
        <v>no</v>
      </c>
      <c r="S1790" t="str">
        <f t="shared" si="82"/>
        <v>no</v>
      </c>
      <c r="T17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0" s="2" t="b">
        <f t="shared" si="83"/>
        <v>1</v>
      </c>
      <c r="V1790" s="2">
        <f>IF(Table4[[#This Row],[linear?]],Table4[[#This Row],[av]],10^(Table4[[#This Row],[av]]/10))</f>
        <v>0</v>
      </c>
      <c r="W1790" s="2">
        <f>IF(Table4[[#This Row],[linear?]],Table4[[#This Row],[av]],10^(Table4[[#This Row],[av]]/10))</f>
        <v>0</v>
      </c>
      <c r="X1790" s="2">
        <f>Table4[[#This Row],[av_lin]]-2*Table4[[#This Row],[std_lin]]</f>
        <v>0</v>
      </c>
      <c r="Y1790" s="2">
        <f>Table4[[#This Row],[av_lin]]+2*Table4[[#This Row],[std_lin]]</f>
        <v>0</v>
      </c>
    </row>
    <row r="1791" spans="1:25" x14ac:dyDescent="0.35">
      <c r="A1791" s="1">
        <v>1203</v>
      </c>
      <c r="B1791" t="s">
        <v>829</v>
      </c>
      <c r="C1791" t="s">
        <v>142</v>
      </c>
      <c r="D1791" t="s">
        <v>144</v>
      </c>
      <c r="E1791" s="2">
        <v>0</v>
      </c>
      <c r="F1791" s="2">
        <v>0</v>
      </c>
      <c r="G1791">
        <v>27</v>
      </c>
      <c r="H1791" t="s">
        <v>19</v>
      </c>
      <c r="M1791" s="2">
        <v>0</v>
      </c>
      <c r="N1791" s="2">
        <v>0</v>
      </c>
      <c r="O1791" s="2">
        <v>0</v>
      </c>
      <c r="R1791" t="str">
        <f t="shared" si="81"/>
        <v>no</v>
      </c>
      <c r="S1791" t="str">
        <f t="shared" si="82"/>
        <v>no</v>
      </c>
      <c r="T17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1" s="2" t="b">
        <f t="shared" si="83"/>
        <v>1</v>
      </c>
      <c r="V1791" s="2">
        <f>IF(Table4[[#This Row],[linear?]],Table4[[#This Row],[av]],10^(Table4[[#This Row],[av]]/10))</f>
        <v>0</v>
      </c>
      <c r="W1791" s="2">
        <f>IF(Table4[[#This Row],[linear?]],Table4[[#This Row],[av]],10^(Table4[[#This Row],[av]]/10))</f>
        <v>0</v>
      </c>
      <c r="X1791" s="2">
        <f>Table4[[#This Row],[av_lin]]-2*Table4[[#This Row],[std_lin]]</f>
        <v>0</v>
      </c>
      <c r="Y1791" s="2">
        <f>Table4[[#This Row],[av_lin]]+2*Table4[[#This Row],[std_lin]]</f>
        <v>0</v>
      </c>
    </row>
    <row r="1792" spans="1:25" x14ac:dyDescent="0.35">
      <c r="A1792" s="1">
        <v>1204</v>
      </c>
      <c r="B1792" t="s">
        <v>829</v>
      </c>
      <c r="C1792" t="s">
        <v>142</v>
      </c>
      <c r="D1792" t="s">
        <v>145</v>
      </c>
      <c r="G1792">
        <v>27</v>
      </c>
      <c r="H1792" t="s">
        <v>19</v>
      </c>
      <c r="R1792" t="str">
        <f t="shared" si="81"/>
        <v>no</v>
      </c>
      <c r="S1792" t="str">
        <f t="shared" si="82"/>
        <v>no</v>
      </c>
      <c r="T17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2" s="2" t="b">
        <f t="shared" si="83"/>
        <v>1</v>
      </c>
      <c r="V1792" s="2">
        <f>IF(Table4[[#This Row],[linear?]],Table4[[#This Row],[av]],10^(Table4[[#This Row],[av]]/10))</f>
        <v>0</v>
      </c>
      <c r="W1792" s="2">
        <f>IF(Table4[[#This Row],[linear?]],Table4[[#This Row],[av]],10^(Table4[[#This Row],[av]]/10))</f>
        <v>0</v>
      </c>
      <c r="X1792" s="2">
        <f>Table4[[#This Row],[av_lin]]-2*Table4[[#This Row],[std_lin]]</f>
        <v>0</v>
      </c>
      <c r="Y1792" s="2">
        <f>Table4[[#This Row],[av_lin]]+2*Table4[[#This Row],[std_lin]]</f>
        <v>0</v>
      </c>
    </row>
    <row r="1793" spans="1:25" x14ac:dyDescent="0.35">
      <c r="A1793" s="1">
        <v>1205</v>
      </c>
      <c r="B1793" t="s">
        <v>829</v>
      </c>
      <c r="C1793" t="s">
        <v>142</v>
      </c>
      <c r="D1793" t="s">
        <v>146</v>
      </c>
      <c r="G1793">
        <v>27</v>
      </c>
      <c r="H1793" t="s">
        <v>19</v>
      </c>
      <c r="R1793" t="str">
        <f t="shared" si="81"/>
        <v>no</v>
      </c>
      <c r="S1793" t="str">
        <f t="shared" si="82"/>
        <v>no</v>
      </c>
      <c r="T17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3" s="2" t="b">
        <f t="shared" si="83"/>
        <v>1</v>
      </c>
      <c r="V1793" s="2">
        <f>IF(Table4[[#This Row],[linear?]],Table4[[#This Row],[av]],10^(Table4[[#This Row],[av]]/10))</f>
        <v>0</v>
      </c>
      <c r="W1793" s="2">
        <f>IF(Table4[[#This Row],[linear?]],Table4[[#This Row],[av]],10^(Table4[[#This Row],[av]]/10))</f>
        <v>0</v>
      </c>
      <c r="X1793" s="2">
        <f>Table4[[#This Row],[av_lin]]-2*Table4[[#This Row],[std_lin]]</f>
        <v>0</v>
      </c>
      <c r="Y1793" s="2">
        <f>Table4[[#This Row],[av_lin]]+2*Table4[[#This Row],[std_lin]]</f>
        <v>0</v>
      </c>
    </row>
    <row r="1794" spans="1:25" x14ac:dyDescent="0.35">
      <c r="A1794" s="1">
        <v>1206</v>
      </c>
      <c r="B1794" t="s">
        <v>829</v>
      </c>
      <c r="C1794" t="s">
        <v>142</v>
      </c>
      <c r="D1794" t="s">
        <v>147</v>
      </c>
      <c r="E1794" s="2">
        <v>0</v>
      </c>
      <c r="F1794" s="2">
        <v>0</v>
      </c>
      <c r="G1794">
        <v>27</v>
      </c>
      <c r="H1794" t="s">
        <v>19</v>
      </c>
      <c r="M1794" s="2">
        <v>0</v>
      </c>
      <c r="N1794" s="2">
        <v>0</v>
      </c>
      <c r="O1794" s="2">
        <v>0</v>
      </c>
      <c r="R1794" t="str">
        <f t="shared" ref="R1794:R1857" si="84">IF(H1794="yes","yes","no")</f>
        <v>no</v>
      </c>
      <c r="S1794" t="str">
        <f t="shared" ref="S1794:S1857" si="85">IF(I1794,"yes","no")</f>
        <v>no</v>
      </c>
      <c r="T17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4" s="2" t="b">
        <f t="shared" ref="U1794:U1857" si="86">NOT(ISNUMBER(SEARCH("RFIC*POWER", D1794)))</f>
        <v>1</v>
      </c>
      <c r="V1794" s="2">
        <f>IF(Table4[[#This Row],[linear?]],Table4[[#This Row],[av]],10^(Table4[[#This Row],[av]]/10))</f>
        <v>0</v>
      </c>
      <c r="W1794" s="2">
        <f>IF(Table4[[#This Row],[linear?]],Table4[[#This Row],[av]],10^(Table4[[#This Row],[av]]/10))</f>
        <v>0</v>
      </c>
      <c r="X1794" s="2">
        <f>Table4[[#This Row],[av_lin]]-2*Table4[[#This Row],[std_lin]]</f>
        <v>0</v>
      </c>
      <c r="Y1794" s="2">
        <f>Table4[[#This Row],[av_lin]]+2*Table4[[#This Row],[std_lin]]</f>
        <v>0</v>
      </c>
    </row>
    <row r="1795" spans="1:25" x14ac:dyDescent="0.35">
      <c r="A1795" s="1">
        <v>1207</v>
      </c>
      <c r="B1795" t="s">
        <v>829</v>
      </c>
      <c r="C1795" t="s">
        <v>142</v>
      </c>
      <c r="D1795" t="s">
        <v>148</v>
      </c>
      <c r="G1795">
        <v>27</v>
      </c>
      <c r="H1795" t="s">
        <v>19</v>
      </c>
      <c r="R1795" t="str">
        <f t="shared" si="84"/>
        <v>no</v>
      </c>
      <c r="S1795" t="str">
        <f t="shared" si="85"/>
        <v>no</v>
      </c>
      <c r="T17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5" s="2" t="b">
        <f t="shared" si="86"/>
        <v>1</v>
      </c>
      <c r="V1795" s="2">
        <f>IF(Table4[[#This Row],[linear?]],Table4[[#This Row],[av]],10^(Table4[[#This Row],[av]]/10))</f>
        <v>0</v>
      </c>
      <c r="W1795" s="2">
        <f>IF(Table4[[#This Row],[linear?]],Table4[[#This Row],[av]],10^(Table4[[#This Row],[av]]/10))</f>
        <v>0</v>
      </c>
      <c r="X1795" s="2">
        <f>Table4[[#This Row],[av_lin]]-2*Table4[[#This Row],[std_lin]]</f>
        <v>0</v>
      </c>
      <c r="Y1795" s="2">
        <f>Table4[[#This Row],[av_lin]]+2*Table4[[#This Row],[std_lin]]</f>
        <v>0</v>
      </c>
    </row>
    <row r="1796" spans="1:25" x14ac:dyDescent="0.35">
      <c r="A1796" s="1">
        <v>1208</v>
      </c>
      <c r="B1796" t="s">
        <v>829</v>
      </c>
      <c r="C1796" t="s">
        <v>142</v>
      </c>
      <c r="D1796" t="s">
        <v>149</v>
      </c>
      <c r="G1796">
        <v>27</v>
      </c>
      <c r="H1796" t="s">
        <v>19</v>
      </c>
      <c r="R1796" t="str">
        <f t="shared" si="84"/>
        <v>no</v>
      </c>
      <c r="S1796" t="str">
        <f t="shared" si="85"/>
        <v>no</v>
      </c>
      <c r="T17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6" s="2" t="b">
        <f t="shared" si="86"/>
        <v>1</v>
      </c>
      <c r="V1796" s="2">
        <f>IF(Table4[[#This Row],[linear?]],Table4[[#This Row],[av]],10^(Table4[[#This Row],[av]]/10))</f>
        <v>0</v>
      </c>
      <c r="W1796" s="2">
        <f>IF(Table4[[#This Row],[linear?]],Table4[[#This Row],[av]],10^(Table4[[#This Row],[av]]/10))</f>
        <v>0</v>
      </c>
      <c r="X1796" s="2">
        <f>Table4[[#This Row],[av_lin]]-2*Table4[[#This Row],[std_lin]]</f>
        <v>0</v>
      </c>
      <c r="Y1796" s="2">
        <f>Table4[[#This Row],[av_lin]]+2*Table4[[#This Row],[std_lin]]</f>
        <v>0</v>
      </c>
    </row>
    <row r="1797" spans="1:25" x14ac:dyDescent="0.35">
      <c r="A1797" s="1">
        <v>1209</v>
      </c>
      <c r="B1797" t="s">
        <v>829</v>
      </c>
      <c r="C1797" t="s">
        <v>142</v>
      </c>
      <c r="D1797" t="s">
        <v>150</v>
      </c>
      <c r="E1797" s="2">
        <v>0</v>
      </c>
      <c r="F1797" s="2">
        <v>0</v>
      </c>
      <c r="G1797">
        <v>27</v>
      </c>
      <c r="H1797" t="s">
        <v>19</v>
      </c>
      <c r="M1797" s="2">
        <v>0</v>
      </c>
      <c r="N1797" s="2">
        <v>0</v>
      </c>
      <c r="O1797" s="2">
        <v>0</v>
      </c>
      <c r="R1797" t="str">
        <f t="shared" si="84"/>
        <v>no</v>
      </c>
      <c r="S1797" t="str">
        <f t="shared" si="85"/>
        <v>no</v>
      </c>
      <c r="T17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7" s="2" t="b">
        <f t="shared" si="86"/>
        <v>1</v>
      </c>
      <c r="V1797" s="2">
        <f>IF(Table4[[#This Row],[linear?]],Table4[[#This Row],[av]],10^(Table4[[#This Row],[av]]/10))</f>
        <v>0</v>
      </c>
      <c r="W1797" s="2">
        <f>IF(Table4[[#This Row],[linear?]],Table4[[#This Row],[av]],10^(Table4[[#This Row],[av]]/10))</f>
        <v>0</v>
      </c>
      <c r="X1797" s="2">
        <f>Table4[[#This Row],[av_lin]]-2*Table4[[#This Row],[std_lin]]</f>
        <v>0</v>
      </c>
      <c r="Y1797" s="2">
        <f>Table4[[#This Row],[av_lin]]+2*Table4[[#This Row],[std_lin]]</f>
        <v>0</v>
      </c>
    </row>
    <row r="1798" spans="1:25" x14ac:dyDescent="0.35">
      <c r="A1798" s="1">
        <v>1210</v>
      </c>
      <c r="B1798" t="s">
        <v>829</v>
      </c>
      <c r="C1798" t="s">
        <v>142</v>
      </c>
      <c r="D1798" t="s">
        <v>151</v>
      </c>
      <c r="G1798">
        <v>27</v>
      </c>
      <c r="H1798" t="s">
        <v>19</v>
      </c>
      <c r="R1798" t="str">
        <f t="shared" si="84"/>
        <v>no</v>
      </c>
      <c r="S1798" t="str">
        <f t="shared" si="85"/>
        <v>no</v>
      </c>
      <c r="T17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8" s="2" t="b">
        <f t="shared" si="86"/>
        <v>1</v>
      </c>
      <c r="V1798" s="2">
        <f>IF(Table4[[#This Row],[linear?]],Table4[[#This Row],[av]],10^(Table4[[#This Row],[av]]/10))</f>
        <v>0</v>
      </c>
      <c r="W1798" s="2">
        <f>IF(Table4[[#This Row],[linear?]],Table4[[#This Row],[av]],10^(Table4[[#This Row],[av]]/10))</f>
        <v>0</v>
      </c>
      <c r="X1798" s="2">
        <f>Table4[[#This Row],[av_lin]]-2*Table4[[#This Row],[std_lin]]</f>
        <v>0</v>
      </c>
      <c r="Y1798" s="2">
        <f>Table4[[#This Row],[av_lin]]+2*Table4[[#This Row],[std_lin]]</f>
        <v>0</v>
      </c>
    </row>
    <row r="1799" spans="1:25" x14ac:dyDescent="0.35">
      <c r="A1799" s="1">
        <v>1211</v>
      </c>
      <c r="B1799" t="s">
        <v>829</v>
      </c>
      <c r="C1799" t="s">
        <v>142</v>
      </c>
      <c r="D1799" t="s">
        <v>152</v>
      </c>
      <c r="G1799">
        <v>27</v>
      </c>
      <c r="H1799" t="s">
        <v>19</v>
      </c>
      <c r="R1799" t="str">
        <f t="shared" si="84"/>
        <v>no</v>
      </c>
      <c r="S1799" t="str">
        <f t="shared" si="85"/>
        <v>no</v>
      </c>
      <c r="T17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9" s="2" t="b">
        <f t="shared" si="86"/>
        <v>1</v>
      </c>
      <c r="V1799" s="2">
        <f>IF(Table4[[#This Row],[linear?]],Table4[[#This Row],[av]],10^(Table4[[#This Row],[av]]/10))</f>
        <v>0</v>
      </c>
      <c r="W1799" s="2">
        <f>IF(Table4[[#This Row],[linear?]],Table4[[#This Row],[av]],10^(Table4[[#This Row],[av]]/10))</f>
        <v>0</v>
      </c>
      <c r="X1799" s="2">
        <f>Table4[[#This Row],[av_lin]]-2*Table4[[#This Row],[std_lin]]</f>
        <v>0</v>
      </c>
      <c r="Y1799" s="2">
        <f>Table4[[#This Row],[av_lin]]+2*Table4[[#This Row],[std_lin]]</f>
        <v>0</v>
      </c>
    </row>
    <row r="1800" spans="1:25" x14ac:dyDescent="0.35">
      <c r="A1800" s="1">
        <v>1212</v>
      </c>
      <c r="B1800" t="s">
        <v>829</v>
      </c>
      <c r="C1800" t="s">
        <v>142</v>
      </c>
      <c r="D1800" t="s">
        <v>153</v>
      </c>
      <c r="E1800" s="2">
        <v>0</v>
      </c>
      <c r="F1800" s="2">
        <v>0</v>
      </c>
      <c r="G1800">
        <v>27</v>
      </c>
      <c r="H1800" t="s">
        <v>19</v>
      </c>
      <c r="M1800" s="2">
        <v>0</v>
      </c>
      <c r="N1800" s="2">
        <v>0</v>
      </c>
      <c r="O1800" s="2">
        <v>0</v>
      </c>
      <c r="R1800" t="str">
        <f t="shared" si="84"/>
        <v>no</v>
      </c>
      <c r="S1800" t="str">
        <f t="shared" si="85"/>
        <v>no</v>
      </c>
      <c r="T18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0" s="2" t="b">
        <f t="shared" si="86"/>
        <v>1</v>
      </c>
      <c r="V1800" s="2">
        <f>IF(Table4[[#This Row],[linear?]],Table4[[#This Row],[av]],10^(Table4[[#This Row],[av]]/10))</f>
        <v>0</v>
      </c>
      <c r="W1800" s="2">
        <f>IF(Table4[[#This Row],[linear?]],Table4[[#This Row],[av]],10^(Table4[[#This Row],[av]]/10))</f>
        <v>0</v>
      </c>
      <c r="X1800" s="2">
        <f>Table4[[#This Row],[av_lin]]-2*Table4[[#This Row],[std_lin]]</f>
        <v>0</v>
      </c>
      <c r="Y1800" s="2">
        <f>Table4[[#This Row],[av_lin]]+2*Table4[[#This Row],[std_lin]]</f>
        <v>0</v>
      </c>
    </row>
    <row r="1801" spans="1:25" x14ac:dyDescent="0.35">
      <c r="A1801" s="1">
        <v>1213</v>
      </c>
      <c r="B1801" t="s">
        <v>829</v>
      </c>
      <c r="C1801" t="s">
        <v>142</v>
      </c>
      <c r="D1801" t="s">
        <v>154</v>
      </c>
      <c r="G1801">
        <v>27</v>
      </c>
      <c r="H1801" t="s">
        <v>19</v>
      </c>
      <c r="R1801" t="str">
        <f t="shared" si="84"/>
        <v>no</v>
      </c>
      <c r="S1801" t="str">
        <f t="shared" si="85"/>
        <v>no</v>
      </c>
      <c r="T18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1" s="2" t="b">
        <f t="shared" si="86"/>
        <v>1</v>
      </c>
      <c r="V1801" s="2">
        <f>IF(Table4[[#This Row],[linear?]],Table4[[#This Row],[av]],10^(Table4[[#This Row],[av]]/10))</f>
        <v>0</v>
      </c>
      <c r="W1801" s="2">
        <f>IF(Table4[[#This Row],[linear?]],Table4[[#This Row],[av]],10^(Table4[[#This Row],[av]]/10))</f>
        <v>0</v>
      </c>
      <c r="X1801" s="2">
        <f>Table4[[#This Row],[av_lin]]-2*Table4[[#This Row],[std_lin]]</f>
        <v>0</v>
      </c>
      <c r="Y1801" s="2">
        <f>Table4[[#This Row],[av_lin]]+2*Table4[[#This Row],[std_lin]]</f>
        <v>0</v>
      </c>
    </row>
    <row r="1802" spans="1:25" x14ac:dyDescent="0.35">
      <c r="A1802" s="1">
        <v>1214</v>
      </c>
      <c r="B1802" t="s">
        <v>829</v>
      </c>
      <c r="C1802" t="s">
        <v>142</v>
      </c>
      <c r="D1802" t="s">
        <v>155</v>
      </c>
      <c r="G1802">
        <v>27</v>
      </c>
      <c r="H1802" t="s">
        <v>19</v>
      </c>
      <c r="R1802" t="str">
        <f t="shared" si="84"/>
        <v>no</v>
      </c>
      <c r="S1802" t="str">
        <f t="shared" si="85"/>
        <v>no</v>
      </c>
      <c r="T18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2" s="2" t="b">
        <f t="shared" si="86"/>
        <v>1</v>
      </c>
      <c r="V1802" s="2">
        <f>IF(Table4[[#This Row],[linear?]],Table4[[#This Row],[av]],10^(Table4[[#This Row],[av]]/10))</f>
        <v>0</v>
      </c>
      <c r="W1802" s="2">
        <f>IF(Table4[[#This Row],[linear?]],Table4[[#This Row],[av]],10^(Table4[[#This Row],[av]]/10))</f>
        <v>0</v>
      </c>
      <c r="X1802" s="2">
        <f>Table4[[#This Row],[av_lin]]-2*Table4[[#This Row],[std_lin]]</f>
        <v>0</v>
      </c>
      <c r="Y1802" s="2">
        <f>Table4[[#This Row],[av_lin]]+2*Table4[[#This Row],[std_lin]]</f>
        <v>0</v>
      </c>
    </row>
    <row r="1803" spans="1:25" x14ac:dyDescent="0.35">
      <c r="A1803" s="1">
        <v>1215</v>
      </c>
      <c r="B1803" t="s">
        <v>829</v>
      </c>
      <c r="C1803" t="s">
        <v>142</v>
      </c>
      <c r="D1803" t="s">
        <v>156</v>
      </c>
      <c r="E1803" s="2">
        <v>0</v>
      </c>
      <c r="F1803" s="2">
        <v>0</v>
      </c>
      <c r="G1803">
        <v>27</v>
      </c>
      <c r="H1803" t="s">
        <v>19</v>
      </c>
      <c r="M1803" s="2">
        <v>0</v>
      </c>
      <c r="N1803" s="2">
        <v>0</v>
      </c>
      <c r="O1803" s="2">
        <v>0</v>
      </c>
      <c r="R1803" t="str">
        <f t="shared" si="84"/>
        <v>no</v>
      </c>
      <c r="S1803" t="str">
        <f t="shared" si="85"/>
        <v>no</v>
      </c>
      <c r="T18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3" s="2" t="b">
        <f t="shared" si="86"/>
        <v>1</v>
      </c>
      <c r="V1803" s="2">
        <f>IF(Table4[[#This Row],[linear?]],Table4[[#This Row],[av]],10^(Table4[[#This Row],[av]]/10))</f>
        <v>0</v>
      </c>
      <c r="W1803" s="2">
        <f>IF(Table4[[#This Row],[linear?]],Table4[[#This Row],[av]],10^(Table4[[#This Row],[av]]/10))</f>
        <v>0</v>
      </c>
      <c r="X1803" s="2">
        <f>Table4[[#This Row],[av_lin]]-2*Table4[[#This Row],[std_lin]]</f>
        <v>0</v>
      </c>
      <c r="Y1803" s="2">
        <f>Table4[[#This Row],[av_lin]]+2*Table4[[#This Row],[std_lin]]</f>
        <v>0</v>
      </c>
    </row>
    <row r="1804" spans="1:25" x14ac:dyDescent="0.35">
      <c r="A1804" s="1">
        <v>1216</v>
      </c>
      <c r="B1804" t="s">
        <v>829</v>
      </c>
      <c r="C1804" t="s">
        <v>142</v>
      </c>
      <c r="D1804" t="s">
        <v>157</v>
      </c>
      <c r="G1804">
        <v>27</v>
      </c>
      <c r="H1804" t="s">
        <v>19</v>
      </c>
      <c r="R1804" t="str">
        <f t="shared" si="84"/>
        <v>no</v>
      </c>
      <c r="S1804" t="str">
        <f t="shared" si="85"/>
        <v>no</v>
      </c>
      <c r="T18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4" s="2" t="b">
        <f t="shared" si="86"/>
        <v>1</v>
      </c>
      <c r="V1804" s="2">
        <f>IF(Table4[[#This Row],[linear?]],Table4[[#This Row],[av]],10^(Table4[[#This Row],[av]]/10))</f>
        <v>0</v>
      </c>
      <c r="W1804" s="2">
        <f>IF(Table4[[#This Row],[linear?]],Table4[[#This Row],[av]],10^(Table4[[#This Row],[av]]/10))</f>
        <v>0</v>
      </c>
      <c r="X1804" s="2">
        <f>Table4[[#This Row],[av_lin]]-2*Table4[[#This Row],[std_lin]]</f>
        <v>0</v>
      </c>
      <c r="Y1804" s="2">
        <f>Table4[[#This Row],[av_lin]]+2*Table4[[#This Row],[std_lin]]</f>
        <v>0</v>
      </c>
    </row>
    <row r="1805" spans="1:25" x14ac:dyDescent="0.35">
      <c r="A1805" s="1">
        <v>1217</v>
      </c>
      <c r="B1805" t="s">
        <v>829</v>
      </c>
      <c r="C1805" t="s">
        <v>142</v>
      </c>
      <c r="D1805" t="s">
        <v>158</v>
      </c>
      <c r="G1805">
        <v>27</v>
      </c>
      <c r="H1805" t="s">
        <v>19</v>
      </c>
      <c r="R1805" t="str">
        <f t="shared" si="84"/>
        <v>no</v>
      </c>
      <c r="S1805" t="str">
        <f t="shared" si="85"/>
        <v>no</v>
      </c>
      <c r="T18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5" s="2" t="b">
        <f t="shared" si="86"/>
        <v>1</v>
      </c>
      <c r="V1805" s="2">
        <f>IF(Table4[[#This Row],[linear?]],Table4[[#This Row],[av]],10^(Table4[[#This Row],[av]]/10))</f>
        <v>0</v>
      </c>
      <c r="W1805" s="2">
        <f>IF(Table4[[#This Row],[linear?]],Table4[[#This Row],[av]],10^(Table4[[#This Row],[av]]/10))</f>
        <v>0</v>
      </c>
      <c r="X1805" s="2">
        <f>Table4[[#This Row],[av_lin]]-2*Table4[[#This Row],[std_lin]]</f>
        <v>0</v>
      </c>
      <c r="Y1805" s="2">
        <f>Table4[[#This Row],[av_lin]]+2*Table4[[#This Row],[std_lin]]</f>
        <v>0</v>
      </c>
    </row>
    <row r="1806" spans="1:25" x14ac:dyDescent="0.35">
      <c r="A1806" s="1">
        <v>1218</v>
      </c>
      <c r="B1806" t="s">
        <v>829</v>
      </c>
      <c r="C1806" t="s">
        <v>142</v>
      </c>
      <c r="D1806" t="s">
        <v>159</v>
      </c>
      <c r="E1806" s="2">
        <v>0</v>
      </c>
      <c r="F1806" s="2">
        <v>0</v>
      </c>
      <c r="G1806">
        <v>27</v>
      </c>
      <c r="H1806" t="s">
        <v>19</v>
      </c>
      <c r="M1806" s="2">
        <v>0</v>
      </c>
      <c r="N1806" s="2">
        <v>0</v>
      </c>
      <c r="O1806" s="2">
        <v>0</v>
      </c>
      <c r="R1806" t="str">
        <f t="shared" si="84"/>
        <v>no</v>
      </c>
      <c r="S1806" t="str">
        <f t="shared" si="85"/>
        <v>no</v>
      </c>
      <c r="T18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6" s="2" t="b">
        <f t="shared" si="86"/>
        <v>1</v>
      </c>
      <c r="V1806" s="2">
        <f>IF(Table4[[#This Row],[linear?]],Table4[[#This Row],[av]],10^(Table4[[#This Row],[av]]/10))</f>
        <v>0</v>
      </c>
      <c r="W1806" s="2">
        <f>IF(Table4[[#This Row],[linear?]],Table4[[#This Row],[av]],10^(Table4[[#This Row],[av]]/10))</f>
        <v>0</v>
      </c>
      <c r="X1806" s="2">
        <f>Table4[[#This Row],[av_lin]]-2*Table4[[#This Row],[std_lin]]</f>
        <v>0</v>
      </c>
      <c r="Y1806" s="2">
        <f>Table4[[#This Row],[av_lin]]+2*Table4[[#This Row],[std_lin]]</f>
        <v>0</v>
      </c>
    </row>
    <row r="1807" spans="1:25" x14ac:dyDescent="0.35">
      <c r="A1807" s="1">
        <v>1219</v>
      </c>
      <c r="B1807" t="s">
        <v>829</v>
      </c>
      <c r="C1807" t="s">
        <v>142</v>
      </c>
      <c r="D1807" t="s">
        <v>160</v>
      </c>
      <c r="G1807">
        <v>27</v>
      </c>
      <c r="H1807" t="s">
        <v>19</v>
      </c>
      <c r="R1807" t="str">
        <f t="shared" si="84"/>
        <v>no</v>
      </c>
      <c r="S1807" t="str">
        <f t="shared" si="85"/>
        <v>no</v>
      </c>
      <c r="T18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7" s="2" t="b">
        <f t="shared" si="86"/>
        <v>1</v>
      </c>
      <c r="V1807" s="2">
        <f>IF(Table4[[#This Row],[linear?]],Table4[[#This Row],[av]],10^(Table4[[#This Row],[av]]/10))</f>
        <v>0</v>
      </c>
      <c r="W1807" s="2">
        <f>IF(Table4[[#This Row],[linear?]],Table4[[#This Row],[av]],10^(Table4[[#This Row],[av]]/10))</f>
        <v>0</v>
      </c>
      <c r="X1807" s="2">
        <f>Table4[[#This Row],[av_lin]]-2*Table4[[#This Row],[std_lin]]</f>
        <v>0</v>
      </c>
      <c r="Y1807" s="2">
        <f>Table4[[#This Row],[av_lin]]+2*Table4[[#This Row],[std_lin]]</f>
        <v>0</v>
      </c>
    </row>
    <row r="1808" spans="1:25" x14ac:dyDescent="0.35">
      <c r="A1808" s="1">
        <v>1220</v>
      </c>
      <c r="B1808" t="s">
        <v>829</v>
      </c>
      <c r="C1808" t="s">
        <v>142</v>
      </c>
      <c r="D1808" t="s">
        <v>161</v>
      </c>
      <c r="G1808">
        <v>27</v>
      </c>
      <c r="H1808" t="s">
        <v>19</v>
      </c>
      <c r="R1808" t="str">
        <f t="shared" si="84"/>
        <v>no</v>
      </c>
      <c r="S1808" t="str">
        <f t="shared" si="85"/>
        <v>no</v>
      </c>
      <c r="T18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8" s="2" t="b">
        <f t="shared" si="86"/>
        <v>1</v>
      </c>
      <c r="V1808" s="2">
        <f>IF(Table4[[#This Row],[linear?]],Table4[[#This Row],[av]],10^(Table4[[#This Row],[av]]/10))</f>
        <v>0</v>
      </c>
      <c r="W1808" s="2">
        <f>IF(Table4[[#This Row],[linear?]],Table4[[#This Row],[av]],10^(Table4[[#This Row],[av]]/10))</f>
        <v>0</v>
      </c>
      <c r="X1808" s="2">
        <f>Table4[[#This Row],[av_lin]]-2*Table4[[#This Row],[std_lin]]</f>
        <v>0</v>
      </c>
      <c r="Y1808" s="2">
        <f>Table4[[#This Row],[av_lin]]+2*Table4[[#This Row],[std_lin]]</f>
        <v>0</v>
      </c>
    </row>
    <row r="1809" spans="1:25" x14ac:dyDescent="0.35">
      <c r="A1809" s="1">
        <v>1221</v>
      </c>
      <c r="B1809" t="s">
        <v>829</v>
      </c>
      <c r="C1809" t="s">
        <v>142</v>
      </c>
      <c r="D1809" t="s">
        <v>162</v>
      </c>
      <c r="E1809" s="2">
        <v>0</v>
      </c>
      <c r="F1809" s="2">
        <v>0</v>
      </c>
      <c r="G1809">
        <v>27</v>
      </c>
      <c r="H1809" t="s">
        <v>19</v>
      </c>
      <c r="M1809" s="2">
        <v>0</v>
      </c>
      <c r="N1809" s="2">
        <v>0</v>
      </c>
      <c r="O1809" s="2">
        <v>0</v>
      </c>
      <c r="R1809" t="str">
        <f t="shared" si="84"/>
        <v>no</v>
      </c>
      <c r="S1809" t="str">
        <f t="shared" si="85"/>
        <v>no</v>
      </c>
      <c r="T18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9" s="2" t="b">
        <f t="shared" si="86"/>
        <v>1</v>
      </c>
      <c r="V1809" s="2">
        <f>IF(Table4[[#This Row],[linear?]],Table4[[#This Row],[av]],10^(Table4[[#This Row],[av]]/10))</f>
        <v>0</v>
      </c>
      <c r="W1809" s="2">
        <f>IF(Table4[[#This Row],[linear?]],Table4[[#This Row],[av]],10^(Table4[[#This Row],[av]]/10))</f>
        <v>0</v>
      </c>
      <c r="X1809" s="2">
        <f>Table4[[#This Row],[av_lin]]-2*Table4[[#This Row],[std_lin]]</f>
        <v>0</v>
      </c>
      <c r="Y1809" s="2">
        <f>Table4[[#This Row],[av_lin]]+2*Table4[[#This Row],[std_lin]]</f>
        <v>0</v>
      </c>
    </row>
    <row r="1810" spans="1:25" x14ac:dyDescent="0.35">
      <c r="A1810" s="1">
        <v>1222</v>
      </c>
      <c r="B1810" t="s">
        <v>829</v>
      </c>
      <c r="C1810" t="s">
        <v>142</v>
      </c>
      <c r="D1810" t="s">
        <v>163</v>
      </c>
      <c r="G1810">
        <v>27</v>
      </c>
      <c r="H1810" t="s">
        <v>19</v>
      </c>
      <c r="R1810" t="str">
        <f t="shared" si="84"/>
        <v>no</v>
      </c>
      <c r="S1810" t="str">
        <f t="shared" si="85"/>
        <v>no</v>
      </c>
      <c r="T18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0" s="2" t="b">
        <f t="shared" si="86"/>
        <v>1</v>
      </c>
      <c r="V1810" s="2">
        <f>IF(Table4[[#This Row],[linear?]],Table4[[#This Row],[av]],10^(Table4[[#This Row],[av]]/10))</f>
        <v>0</v>
      </c>
      <c r="W1810" s="2">
        <f>IF(Table4[[#This Row],[linear?]],Table4[[#This Row],[av]],10^(Table4[[#This Row],[av]]/10))</f>
        <v>0</v>
      </c>
      <c r="X1810" s="2">
        <f>Table4[[#This Row],[av_lin]]-2*Table4[[#This Row],[std_lin]]</f>
        <v>0</v>
      </c>
      <c r="Y1810" s="2">
        <f>Table4[[#This Row],[av_lin]]+2*Table4[[#This Row],[std_lin]]</f>
        <v>0</v>
      </c>
    </row>
    <row r="1811" spans="1:25" x14ac:dyDescent="0.35">
      <c r="A1811" s="1">
        <v>1223</v>
      </c>
      <c r="B1811" t="s">
        <v>829</v>
      </c>
      <c r="C1811" t="s">
        <v>142</v>
      </c>
      <c r="D1811" t="s">
        <v>164</v>
      </c>
      <c r="G1811">
        <v>27</v>
      </c>
      <c r="H1811" t="s">
        <v>19</v>
      </c>
      <c r="R1811" t="str">
        <f t="shared" si="84"/>
        <v>no</v>
      </c>
      <c r="S1811" t="str">
        <f t="shared" si="85"/>
        <v>no</v>
      </c>
      <c r="T18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1" s="2" t="b">
        <f t="shared" si="86"/>
        <v>1</v>
      </c>
      <c r="V1811" s="2">
        <f>IF(Table4[[#This Row],[linear?]],Table4[[#This Row],[av]],10^(Table4[[#This Row],[av]]/10))</f>
        <v>0</v>
      </c>
      <c r="W1811" s="2">
        <f>IF(Table4[[#This Row],[linear?]],Table4[[#This Row],[av]],10^(Table4[[#This Row],[av]]/10))</f>
        <v>0</v>
      </c>
      <c r="X1811" s="2">
        <f>Table4[[#This Row],[av_lin]]-2*Table4[[#This Row],[std_lin]]</f>
        <v>0</v>
      </c>
      <c r="Y1811" s="2">
        <f>Table4[[#This Row],[av_lin]]+2*Table4[[#This Row],[std_lin]]</f>
        <v>0</v>
      </c>
    </row>
    <row r="1812" spans="1:25" x14ac:dyDescent="0.35">
      <c r="A1812" s="1">
        <v>1224</v>
      </c>
      <c r="B1812" t="s">
        <v>829</v>
      </c>
      <c r="C1812" t="s">
        <v>142</v>
      </c>
      <c r="D1812" t="s">
        <v>165</v>
      </c>
      <c r="E1812" s="2">
        <v>0</v>
      </c>
      <c r="F1812" s="2">
        <v>0</v>
      </c>
      <c r="G1812">
        <v>27</v>
      </c>
      <c r="H1812" t="s">
        <v>19</v>
      </c>
      <c r="M1812" s="2">
        <v>0</v>
      </c>
      <c r="N1812" s="2">
        <v>0</v>
      </c>
      <c r="O1812" s="2">
        <v>0</v>
      </c>
      <c r="R1812" t="str">
        <f t="shared" si="84"/>
        <v>no</v>
      </c>
      <c r="S1812" t="str">
        <f t="shared" si="85"/>
        <v>no</v>
      </c>
      <c r="T18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2" s="2" t="b">
        <f t="shared" si="86"/>
        <v>1</v>
      </c>
      <c r="V1812" s="2">
        <f>IF(Table4[[#This Row],[linear?]],Table4[[#This Row],[av]],10^(Table4[[#This Row],[av]]/10))</f>
        <v>0</v>
      </c>
      <c r="W1812" s="2">
        <f>IF(Table4[[#This Row],[linear?]],Table4[[#This Row],[av]],10^(Table4[[#This Row],[av]]/10))</f>
        <v>0</v>
      </c>
      <c r="X1812" s="2">
        <f>Table4[[#This Row],[av_lin]]-2*Table4[[#This Row],[std_lin]]</f>
        <v>0</v>
      </c>
      <c r="Y1812" s="2">
        <f>Table4[[#This Row],[av_lin]]+2*Table4[[#This Row],[std_lin]]</f>
        <v>0</v>
      </c>
    </row>
    <row r="1813" spans="1:25" x14ac:dyDescent="0.35">
      <c r="A1813" s="1">
        <v>1225</v>
      </c>
      <c r="B1813" t="s">
        <v>829</v>
      </c>
      <c r="C1813" t="s">
        <v>142</v>
      </c>
      <c r="D1813" t="s">
        <v>166</v>
      </c>
      <c r="G1813">
        <v>27</v>
      </c>
      <c r="H1813" t="s">
        <v>19</v>
      </c>
      <c r="R1813" t="str">
        <f t="shared" si="84"/>
        <v>no</v>
      </c>
      <c r="S1813" t="str">
        <f t="shared" si="85"/>
        <v>no</v>
      </c>
      <c r="T18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3" s="2" t="b">
        <f t="shared" si="86"/>
        <v>1</v>
      </c>
      <c r="V1813" s="2">
        <f>IF(Table4[[#This Row],[linear?]],Table4[[#This Row],[av]],10^(Table4[[#This Row],[av]]/10))</f>
        <v>0</v>
      </c>
      <c r="W1813" s="2">
        <f>IF(Table4[[#This Row],[linear?]],Table4[[#This Row],[av]],10^(Table4[[#This Row],[av]]/10))</f>
        <v>0</v>
      </c>
      <c r="X1813" s="2">
        <f>Table4[[#This Row],[av_lin]]-2*Table4[[#This Row],[std_lin]]</f>
        <v>0</v>
      </c>
      <c r="Y1813" s="2">
        <f>Table4[[#This Row],[av_lin]]+2*Table4[[#This Row],[std_lin]]</f>
        <v>0</v>
      </c>
    </row>
    <row r="1814" spans="1:25" x14ac:dyDescent="0.35">
      <c r="A1814" s="1">
        <v>1226</v>
      </c>
      <c r="B1814" t="s">
        <v>829</v>
      </c>
      <c r="C1814" t="s">
        <v>142</v>
      </c>
      <c r="D1814" t="s">
        <v>167</v>
      </c>
      <c r="G1814">
        <v>27</v>
      </c>
      <c r="H1814" t="s">
        <v>19</v>
      </c>
      <c r="R1814" t="str">
        <f t="shared" si="84"/>
        <v>no</v>
      </c>
      <c r="S1814" t="str">
        <f t="shared" si="85"/>
        <v>no</v>
      </c>
      <c r="T18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4" s="2" t="b">
        <f t="shared" si="86"/>
        <v>1</v>
      </c>
      <c r="V1814" s="2">
        <f>IF(Table4[[#This Row],[linear?]],Table4[[#This Row],[av]],10^(Table4[[#This Row],[av]]/10))</f>
        <v>0</v>
      </c>
      <c r="W1814" s="2">
        <f>IF(Table4[[#This Row],[linear?]],Table4[[#This Row],[av]],10^(Table4[[#This Row],[av]]/10))</f>
        <v>0</v>
      </c>
      <c r="X1814" s="2">
        <f>Table4[[#This Row],[av_lin]]-2*Table4[[#This Row],[std_lin]]</f>
        <v>0</v>
      </c>
      <c r="Y1814" s="2">
        <f>Table4[[#This Row],[av_lin]]+2*Table4[[#This Row],[std_lin]]</f>
        <v>0</v>
      </c>
    </row>
    <row r="1815" spans="1:25" x14ac:dyDescent="0.35">
      <c r="A1815" s="1">
        <v>1227</v>
      </c>
      <c r="B1815" t="s">
        <v>829</v>
      </c>
      <c r="C1815" t="s">
        <v>142</v>
      </c>
      <c r="D1815" t="s">
        <v>168</v>
      </c>
      <c r="E1815" s="2">
        <v>0</v>
      </c>
      <c r="F1815" s="2">
        <v>0</v>
      </c>
      <c r="G1815">
        <v>27</v>
      </c>
      <c r="H1815" t="s">
        <v>19</v>
      </c>
      <c r="M1815" s="2">
        <v>0</v>
      </c>
      <c r="N1815" s="2">
        <v>0</v>
      </c>
      <c r="O1815" s="2">
        <v>0</v>
      </c>
      <c r="R1815" t="str">
        <f t="shared" si="84"/>
        <v>no</v>
      </c>
      <c r="S1815" t="str">
        <f t="shared" si="85"/>
        <v>no</v>
      </c>
      <c r="T18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5" s="2" t="b">
        <f t="shared" si="86"/>
        <v>1</v>
      </c>
      <c r="V1815" s="2">
        <f>IF(Table4[[#This Row],[linear?]],Table4[[#This Row],[av]],10^(Table4[[#This Row],[av]]/10))</f>
        <v>0</v>
      </c>
      <c r="W1815" s="2">
        <f>IF(Table4[[#This Row],[linear?]],Table4[[#This Row],[av]],10^(Table4[[#This Row],[av]]/10))</f>
        <v>0</v>
      </c>
      <c r="X1815" s="2">
        <f>Table4[[#This Row],[av_lin]]-2*Table4[[#This Row],[std_lin]]</f>
        <v>0</v>
      </c>
      <c r="Y1815" s="2">
        <f>Table4[[#This Row],[av_lin]]+2*Table4[[#This Row],[std_lin]]</f>
        <v>0</v>
      </c>
    </row>
    <row r="1816" spans="1:25" x14ac:dyDescent="0.35">
      <c r="A1816" s="1">
        <v>1228</v>
      </c>
      <c r="B1816" t="s">
        <v>829</v>
      </c>
      <c r="C1816" t="s">
        <v>142</v>
      </c>
      <c r="D1816" t="s">
        <v>169</v>
      </c>
      <c r="G1816">
        <v>27</v>
      </c>
      <c r="H1816" t="s">
        <v>19</v>
      </c>
      <c r="R1816" t="str">
        <f t="shared" si="84"/>
        <v>no</v>
      </c>
      <c r="S1816" t="str">
        <f t="shared" si="85"/>
        <v>no</v>
      </c>
      <c r="T18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6" s="2" t="b">
        <f t="shared" si="86"/>
        <v>1</v>
      </c>
      <c r="V1816" s="2">
        <f>IF(Table4[[#This Row],[linear?]],Table4[[#This Row],[av]],10^(Table4[[#This Row],[av]]/10))</f>
        <v>0</v>
      </c>
      <c r="W1816" s="2">
        <f>IF(Table4[[#This Row],[linear?]],Table4[[#This Row],[av]],10^(Table4[[#This Row],[av]]/10))</f>
        <v>0</v>
      </c>
      <c r="X1816" s="2">
        <f>Table4[[#This Row],[av_lin]]-2*Table4[[#This Row],[std_lin]]</f>
        <v>0</v>
      </c>
      <c r="Y1816" s="2">
        <f>Table4[[#This Row],[av_lin]]+2*Table4[[#This Row],[std_lin]]</f>
        <v>0</v>
      </c>
    </row>
    <row r="1817" spans="1:25" x14ac:dyDescent="0.35">
      <c r="A1817" s="1">
        <v>1229</v>
      </c>
      <c r="B1817" t="s">
        <v>829</v>
      </c>
      <c r="C1817" t="s">
        <v>142</v>
      </c>
      <c r="D1817" t="s">
        <v>170</v>
      </c>
      <c r="G1817">
        <v>27</v>
      </c>
      <c r="H1817" t="s">
        <v>19</v>
      </c>
      <c r="R1817" t="str">
        <f t="shared" si="84"/>
        <v>no</v>
      </c>
      <c r="S1817" t="str">
        <f t="shared" si="85"/>
        <v>no</v>
      </c>
      <c r="T18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7" s="2" t="b">
        <f t="shared" si="86"/>
        <v>1</v>
      </c>
      <c r="V1817" s="2">
        <f>IF(Table4[[#This Row],[linear?]],Table4[[#This Row],[av]],10^(Table4[[#This Row],[av]]/10))</f>
        <v>0</v>
      </c>
      <c r="W1817" s="2">
        <f>IF(Table4[[#This Row],[linear?]],Table4[[#This Row],[av]],10^(Table4[[#This Row],[av]]/10))</f>
        <v>0</v>
      </c>
      <c r="X1817" s="2">
        <f>Table4[[#This Row],[av_lin]]-2*Table4[[#This Row],[std_lin]]</f>
        <v>0</v>
      </c>
      <c r="Y1817" s="2">
        <f>Table4[[#This Row],[av_lin]]+2*Table4[[#This Row],[std_lin]]</f>
        <v>0</v>
      </c>
    </row>
    <row r="1818" spans="1:25" x14ac:dyDescent="0.35">
      <c r="A1818" s="1">
        <v>1230</v>
      </c>
      <c r="B1818" t="s">
        <v>829</v>
      </c>
      <c r="C1818" t="s">
        <v>142</v>
      </c>
      <c r="D1818" t="s">
        <v>171</v>
      </c>
      <c r="E1818" s="2">
        <v>0</v>
      </c>
      <c r="F1818" s="2">
        <v>0</v>
      </c>
      <c r="G1818">
        <v>27</v>
      </c>
      <c r="H1818" t="s">
        <v>19</v>
      </c>
      <c r="M1818" s="2">
        <v>0</v>
      </c>
      <c r="N1818" s="2">
        <v>0</v>
      </c>
      <c r="O1818" s="2">
        <v>0</v>
      </c>
      <c r="R1818" t="str">
        <f t="shared" si="84"/>
        <v>no</v>
      </c>
      <c r="S1818" t="str">
        <f t="shared" si="85"/>
        <v>no</v>
      </c>
      <c r="T18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8" s="2" t="b">
        <f t="shared" si="86"/>
        <v>1</v>
      </c>
      <c r="V1818" s="2">
        <f>IF(Table4[[#This Row],[linear?]],Table4[[#This Row],[av]],10^(Table4[[#This Row],[av]]/10))</f>
        <v>0</v>
      </c>
      <c r="W1818" s="2">
        <f>IF(Table4[[#This Row],[linear?]],Table4[[#This Row],[av]],10^(Table4[[#This Row],[av]]/10))</f>
        <v>0</v>
      </c>
      <c r="X1818" s="2">
        <f>Table4[[#This Row],[av_lin]]-2*Table4[[#This Row],[std_lin]]</f>
        <v>0</v>
      </c>
      <c r="Y1818" s="2">
        <f>Table4[[#This Row],[av_lin]]+2*Table4[[#This Row],[std_lin]]</f>
        <v>0</v>
      </c>
    </row>
    <row r="1819" spans="1:25" x14ac:dyDescent="0.35">
      <c r="A1819" s="1">
        <v>1231</v>
      </c>
      <c r="B1819" t="s">
        <v>829</v>
      </c>
      <c r="C1819" t="s">
        <v>142</v>
      </c>
      <c r="D1819" t="s">
        <v>172</v>
      </c>
      <c r="G1819">
        <v>27</v>
      </c>
      <c r="H1819" t="s">
        <v>19</v>
      </c>
      <c r="R1819" t="str">
        <f t="shared" si="84"/>
        <v>no</v>
      </c>
      <c r="S1819" t="str">
        <f t="shared" si="85"/>
        <v>no</v>
      </c>
      <c r="T18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9" s="2" t="b">
        <f t="shared" si="86"/>
        <v>1</v>
      </c>
      <c r="V1819" s="2">
        <f>IF(Table4[[#This Row],[linear?]],Table4[[#This Row],[av]],10^(Table4[[#This Row],[av]]/10))</f>
        <v>0</v>
      </c>
      <c r="W1819" s="2">
        <f>IF(Table4[[#This Row],[linear?]],Table4[[#This Row],[av]],10^(Table4[[#This Row],[av]]/10))</f>
        <v>0</v>
      </c>
      <c r="X1819" s="2">
        <f>Table4[[#This Row],[av_lin]]-2*Table4[[#This Row],[std_lin]]</f>
        <v>0</v>
      </c>
      <c r="Y1819" s="2">
        <f>Table4[[#This Row],[av_lin]]+2*Table4[[#This Row],[std_lin]]</f>
        <v>0</v>
      </c>
    </row>
    <row r="1820" spans="1:25" x14ac:dyDescent="0.35">
      <c r="A1820" s="1">
        <v>1232</v>
      </c>
      <c r="B1820" t="s">
        <v>829</v>
      </c>
      <c r="C1820" t="s">
        <v>142</v>
      </c>
      <c r="D1820" t="s">
        <v>173</v>
      </c>
      <c r="G1820">
        <v>27</v>
      </c>
      <c r="H1820" t="s">
        <v>19</v>
      </c>
      <c r="R1820" t="str">
        <f t="shared" si="84"/>
        <v>no</v>
      </c>
      <c r="S1820" t="str">
        <f t="shared" si="85"/>
        <v>no</v>
      </c>
      <c r="T18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0" s="2" t="b">
        <f t="shared" si="86"/>
        <v>1</v>
      </c>
      <c r="V1820" s="2">
        <f>IF(Table4[[#This Row],[linear?]],Table4[[#This Row],[av]],10^(Table4[[#This Row],[av]]/10))</f>
        <v>0</v>
      </c>
      <c r="W1820" s="2">
        <f>IF(Table4[[#This Row],[linear?]],Table4[[#This Row],[av]],10^(Table4[[#This Row],[av]]/10))</f>
        <v>0</v>
      </c>
      <c r="X1820" s="2">
        <f>Table4[[#This Row],[av_lin]]-2*Table4[[#This Row],[std_lin]]</f>
        <v>0</v>
      </c>
      <c r="Y1820" s="2">
        <f>Table4[[#This Row],[av_lin]]+2*Table4[[#This Row],[std_lin]]</f>
        <v>0</v>
      </c>
    </row>
    <row r="1821" spans="1:25" x14ac:dyDescent="0.35">
      <c r="A1821" s="1">
        <v>1233</v>
      </c>
      <c r="B1821" t="s">
        <v>829</v>
      </c>
      <c r="C1821" t="s">
        <v>142</v>
      </c>
      <c r="D1821" t="s">
        <v>174</v>
      </c>
      <c r="E1821" s="2">
        <v>0</v>
      </c>
      <c r="F1821" s="2">
        <v>0</v>
      </c>
      <c r="G1821">
        <v>27</v>
      </c>
      <c r="H1821" t="s">
        <v>19</v>
      </c>
      <c r="M1821" s="2">
        <v>0</v>
      </c>
      <c r="N1821" s="2">
        <v>0</v>
      </c>
      <c r="O1821" s="2">
        <v>0</v>
      </c>
      <c r="R1821" t="str">
        <f t="shared" si="84"/>
        <v>no</v>
      </c>
      <c r="S1821" t="str">
        <f t="shared" si="85"/>
        <v>no</v>
      </c>
      <c r="T18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1" s="2" t="b">
        <f t="shared" si="86"/>
        <v>1</v>
      </c>
      <c r="V1821" s="2">
        <f>IF(Table4[[#This Row],[linear?]],Table4[[#This Row],[av]],10^(Table4[[#This Row],[av]]/10))</f>
        <v>0</v>
      </c>
      <c r="W1821" s="2">
        <f>IF(Table4[[#This Row],[linear?]],Table4[[#This Row],[av]],10^(Table4[[#This Row],[av]]/10))</f>
        <v>0</v>
      </c>
      <c r="X1821" s="2">
        <f>Table4[[#This Row],[av_lin]]-2*Table4[[#This Row],[std_lin]]</f>
        <v>0</v>
      </c>
      <c r="Y1821" s="2">
        <f>Table4[[#This Row],[av_lin]]+2*Table4[[#This Row],[std_lin]]</f>
        <v>0</v>
      </c>
    </row>
    <row r="1822" spans="1:25" x14ac:dyDescent="0.35">
      <c r="A1822" s="1">
        <v>1234</v>
      </c>
      <c r="B1822" t="s">
        <v>829</v>
      </c>
      <c r="C1822" t="s">
        <v>142</v>
      </c>
      <c r="D1822" t="s">
        <v>175</v>
      </c>
      <c r="G1822">
        <v>27</v>
      </c>
      <c r="H1822" t="s">
        <v>19</v>
      </c>
      <c r="R1822" t="str">
        <f t="shared" si="84"/>
        <v>no</v>
      </c>
      <c r="S1822" t="str">
        <f t="shared" si="85"/>
        <v>no</v>
      </c>
      <c r="T18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2" s="2" t="b">
        <f t="shared" si="86"/>
        <v>1</v>
      </c>
      <c r="V1822" s="2">
        <f>IF(Table4[[#This Row],[linear?]],Table4[[#This Row],[av]],10^(Table4[[#This Row],[av]]/10))</f>
        <v>0</v>
      </c>
      <c r="W1822" s="2">
        <f>IF(Table4[[#This Row],[linear?]],Table4[[#This Row],[av]],10^(Table4[[#This Row],[av]]/10))</f>
        <v>0</v>
      </c>
      <c r="X1822" s="2">
        <f>Table4[[#This Row],[av_lin]]-2*Table4[[#This Row],[std_lin]]</f>
        <v>0</v>
      </c>
      <c r="Y1822" s="2">
        <f>Table4[[#This Row],[av_lin]]+2*Table4[[#This Row],[std_lin]]</f>
        <v>0</v>
      </c>
    </row>
    <row r="1823" spans="1:25" x14ac:dyDescent="0.35">
      <c r="A1823" s="1">
        <v>1235</v>
      </c>
      <c r="B1823" t="s">
        <v>829</v>
      </c>
      <c r="C1823" t="s">
        <v>142</v>
      </c>
      <c r="D1823" t="s">
        <v>176</v>
      </c>
      <c r="G1823">
        <v>27</v>
      </c>
      <c r="H1823" t="s">
        <v>19</v>
      </c>
      <c r="R1823" t="str">
        <f t="shared" si="84"/>
        <v>no</v>
      </c>
      <c r="S1823" t="str">
        <f t="shared" si="85"/>
        <v>no</v>
      </c>
      <c r="T18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3" s="2" t="b">
        <f t="shared" si="86"/>
        <v>1</v>
      </c>
      <c r="V1823" s="2">
        <f>IF(Table4[[#This Row],[linear?]],Table4[[#This Row],[av]],10^(Table4[[#This Row],[av]]/10))</f>
        <v>0</v>
      </c>
      <c r="W1823" s="2">
        <f>IF(Table4[[#This Row],[linear?]],Table4[[#This Row],[av]],10^(Table4[[#This Row],[av]]/10))</f>
        <v>0</v>
      </c>
      <c r="X1823" s="2">
        <f>Table4[[#This Row],[av_lin]]-2*Table4[[#This Row],[std_lin]]</f>
        <v>0</v>
      </c>
      <c r="Y1823" s="2">
        <f>Table4[[#This Row],[av_lin]]+2*Table4[[#This Row],[std_lin]]</f>
        <v>0</v>
      </c>
    </row>
    <row r="1824" spans="1:25" x14ac:dyDescent="0.35">
      <c r="A1824" s="1">
        <v>1236</v>
      </c>
      <c r="B1824" t="s">
        <v>829</v>
      </c>
      <c r="C1824" t="s">
        <v>142</v>
      </c>
      <c r="D1824" t="s">
        <v>177</v>
      </c>
      <c r="E1824" s="2">
        <v>0</v>
      </c>
      <c r="F1824" s="2">
        <v>0</v>
      </c>
      <c r="G1824">
        <v>27</v>
      </c>
      <c r="H1824" t="s">
        <v>19</v>
      </c>
      <c r="M1824" s="2">
        <v>0</v>
      </c>
      <c r="N1824" s="2">
        <v>0</v>
      </c>
      <c r="O1824" s="2">
        <v>0</v>
      </c>
      <c r="R1824" t="str">
        <f t="shared" si="84"/>
        <v>no</v>
      </c>
      <c r="S1824" t="str">
        <f t="shared" si="85"/>
        <v>no</v>
      </c>
      <c r="T18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4" s="2" t="b">
        <f t="shared" si="86"/>
        <v>1</v>
      </c>
      <c r="V1824" s="2">
        <f>IF(Table4[[#This Row],[linear?]],Table4[[#This Row],[av]],10^(Table4[[#This Row],[av]]/10))</f>
        <v>0</v>
      </c>
      <c r="W1824" s="2">
        <f>IF(Table4[[#This Row],[linear?]],Table4[[#This Row],[av]],10^(Table4[[#This Row],[av]]/10))</f>
        <v>0</v>
      </c>
      <c r="X1824" s="2">
        <f>Table4[[#This Row],[av_lin]]-2*Table4[[#This Row],[std_lin]]</f>
        <v>0</v>
      </c>
      <c r="Y1824" s="2">
        <f>Table4[[#This Row],[av_lin]]+2*Table4[[#This Row],[std_lin]]</f>
        <v>0</v>
      </c>
    </row>
    <row r="1825" spans="1:25" x14ac:dyDescent="0.35">
      <c r="A1825" s="1">
        <v>1237</v>
      </c>
      <c r="B1825" t="s">
        <v>829</v>
      </c>
      <c r="C1825" t="s">
        <v>142</v>
      </c>
      <c r="D1825" t="s">
        <v>178</v>
      </c>
      <c r="G1825">
        <v>27</v>
      </c>
      <c r="H1825" t="s">
        <v>19</v>
      </c>
      <c r="R1825" t="str">
        <f t="shared" si="84"/>
        <v>no</v>
      </c>
      <c r="S1825" t="str">
        <f t="shared" si="85"/>
        <v>no</v>
      </c>
      <c r="T18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5" s="2" t="b">
        <f t="shared" si="86"/>
        <v>1</v>
      </c>
      <c r="V1825" s="2">
        <f>IF(Table4[[#This Row],[linear?]],Table4[[#This Row],[av]],10^(Table4[[#This Row],[av]]/10))</f>
        <v>0</v>
      </c>
      <c r="W1825" s="2">
        <f>IF(Table4[[#This Row],[linear?]],Table4[[#This Row],[av]],10^(Table4[[#This Row],[av]]/10))</f>
        <v>0</v>
      </c>
      <c r="X1825" s="2">
        <f>Table4[[#This Row],[av_lin]]-2*Table4[[#This Row],[std_lin]]</f>
        <v>0</v>
      </c>
      <c r="Y1825" s="2">
        <f>Table4[[#This Row],[av_lin]]+2*Table4[[#This Row],[std_lin]]</f>
        <v>0</v>
      </c>
    </row>
    <row r="1826" spans="1:25" x14ac:dyDescent="0.35">
      <c r="A1826" s="1">
        <v>1238</v>
      </c>
      <c r="B1826" t="s">
        <v>829</v>
      </c>
      <c r="C1826" t="s">
        <v>142</v>
      </c>
      <c r="D1826" t="s">
        <v>179</v>
      </c>
      <c r="G1826">
        <v>27</v>
      </c>
      <c r="H1826" t="s">
        <v>19</v>
      </c>
      <c r="R1826" t="str">
        <f t="shared" si="84"/>
        <v>no</v>
      </c>
      <c r="S1826" t="str">
        <f t="shared" si="85"/>
        <v>no</v>
      </c>
      <c r="T18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6" s="2" t="b">
        <f t="shared" si="86"/>
        <v>1</v>
      </c>
      <c r="V1826" s="2">
        <f>IF(Table4[[#This Row],[linear?]],Table4[[#This Row],[av]],10^(Table4[[#This Row],[av]]/10))</f>
        <v>0</v>
      </c>
      <c r="W1826" s="2">
        <f>IF(Table4[[#This Row],[linear?]],Table4[[#This Row],[av]],10^(Table4[[#This Row],[av]]/10))</f>
        <v>0</v>
      </c>
      <c r="X1826" s="2">
        <f>Table4[[#This Row],[av_lin]]-2*Table4[[#This Row],[std_lin]]</f>
        <v>0</v>
      </c>
      <c r="Y1826" s="2">
        <f>Table4[[#This Row],[av_lin]]+2*Table4[[#This Row],[std_lin]]</f>
        <v>0</v>
      </c>
    </row>
    <row r="1827" spans="1:25" x14ac:dyDescent="0.35">
      <c r="A1827" s="1">
        <v>1239</v>
      </c>
      <c r="B1827" t="s">
        <v>829</v>
      </c>
      <c r="C1827" t="s">
        <v>142</v>
      </c>
      <c r="D1827" t="s">
        <v>180</v>
      </c>
      <c r="E1827" s="2">
        <v>0</v>
      </c>
      <c r="F1827" s="2">
        <v>0</v>
      </c>
      <c r="G1827">
        <v>27</v>
      </c>
      <c r="H1827" t="s">
        <v>19</v>
      </c>
      <c r="M1827" s="2">
        <v>0</v>
      </c>
      <c r="N1827" s="2">
        <v>0</v>
      </c>
      <c r="O1827" s="2">
        <v>0</v>
      </c>
      <c r="R1827" t="str">
        <f t="shared" si="84"/>
        <v>no</v>
      </c>
      <c r="S1827" t="str">
        <f t="shared" si="85"/>
        <v>no</v>
      </c>
      <c r="T18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7" s="2" t="b">
        <f t="shared" si="86"/>
        <v>1</v>
      </c>
      <c r="V1827" s="2">
        <f>IF(Table4[[#This Row],[linear?]],Table4[[#This Row],[av]],10^(Table4[[#This Row],[av]]/10))</f>
        <v>0</v>
      </c>
      <c r="W1827" s="2">
        <f>IF(Table4[[#This Row],[linear?]],Table4[[#This Row],[av]],10^(Table4[[#This Row],[av]]/10))</f>
        <v>0</v>
      </c>
      <c r="X1827" s="2">
        <f>Table4[[#This Row],[av_lin]]-2*Table4[[#This Row],[std_lin]]</f>
        <v>0</v>
      </c>
      <c r="Y1827" s="2">
        <f>Table4[[#This Row],[av_lin]]+2*Table4[[#This Row],[std_lin]]</f>
        <v>0</v>
      </c>
    </row>
    <row r="1828" spans="1:25" x14ac:dyDescent="0.35">
      <c r="A1828" s="1">
        <v>1240</v>
      </c>
      <c r="B1828" t="s">
        <v>829</v>
      </c>
      <c r="C1828" t="s">
        <v>142</v>
      </c>
      <c r="D1828" t="s">
        <v>181</v>
      </c>
      <c r="G1828">
        <v>27</v>
      </c>
      <c r="H1828" t="s">
        <v>19</v>
      </c>
      <c r="R1828" t="str">
        <f t="shared" si="84"/>
        <v>no</v>
      </c>
      <c r="S1828" t="str">
        <f t="shared" si="85"/>
        <v>no</v>
      </c>
      <c r="T18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8" s="2" t="b">
        <f t="shared" si="86"/>
        <v>1</v>
      </c>
      <c r="V1828" s="2">
        <f>IF(Table4[[#This Row],[linear?]],Table4[[#This Row],[av]],10^(Table4[[#This Row],[av]]/10))</f>
        <v>0</v>
      </c>
      <c r="W1828" s="2">
        <f>IF(Table4[[#This Row],[linear?]],Table4[[#This Row],[av]],10^(Table4[[#This Row],[av]]/10))</f>
        <v>0</v>
      </c>
      <c r="X1828" s="2">
        <f>Table4[[#This Row],[av_lin]]-2*Table4[[#This Row],[std_lin]]</f>
        <v>0</v>
      </c>
      <c r="Y1828" s="2">
        <f>Table4[[#This Row],[av_lin]]+2*Table4[[#This Row],[std_lin]]</f>
        <v>0</v>
      </c>
    </row>
    <row r="1829" spans="1:25" x14ac:dyDescent="0.35">
      <c r="A1829" s="1">
        <v>1241</v>
      </c>
      <c r="B1829" t="s">
        <v>829</v>
      </c>
      <c r="C1829" t="s">
        <v>142</v>
      </c>
      <c r="D1829" t="s">
        <v>182</v>
      </c>
      <c r="G1829">
        <v>27</v>
      </c>
      <c r="H1829" t="s">
        <v>19</v>
      </c>
      <c r="R1829" t="str">
        <f t="shared" si="84"/>
        <v>no</v>
      </c>
      <c r="S1829" t="str">
        <f t="shared" si="85"/>
        <v>no</v>
      </c>
      <c r="T18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9" s="2" t="b">
        <f t="shared" si="86"/>
        <v>1</v>
      </c>
      <c r="V1829" s="2">
        <f>IF(Table4[[#This Row],[linear?]],Table4[[#This Row],[av]],10^(Table4[[#This Row],[av]]/10))</f>
        <v>0</v>
      </c>
      <c r="W1829" s="2">
        <f>IF(Table4[[#This Row],[linear?]],Table4[[#This Row],[av]],10^(Table4[[#This Row],[av]]/10))</f>
        <v>0</v>
      </c>
      <c r="X1829" s="2">
        <f>Table4[[#This Row],[av_lin]]-2*Table4[[#This Row],[std_lin]]</f>
        <v>0</v>
      </c>
      <c r="Y1829" s="2">
        <f>Table4[[#This Row],[av_lin]]+2*Table4[[#This Row],[std_lin]]</f>
        <v>0</v>
      </c>
    </row>
    <row r="1830" spans="1:25" x14ac:dyDescent="0.35">
      <c r="A1830" s="1">
        <v>1242</v>
      </c>
      <c r="B1830" t="s">
        <v>829</v>
      </c>
      <c r="C1830" t="s">
        <v>142</v>
      </c>
      <c r="D1830" t="s">
        <v>183</v>
      </c>
      <c r="E1830" s="2">
        <v>0</v>
      </c>
      <c r="F1830" s="2">
        <v>0</v>
      </c>
      <c r="G1830">
        <v>27</v>
      </c>
      <c r="H1830" t="s">
        <v>19</v>
      </c>
      <c r="M1830" s="2">
        <v>0</v>
      </c>
      <c r="N1830" s="2">
        <v>0</v>
      </c>
      <c r="O1830" s="2">
        <v>0</v>
      </c>
      <c r="R1830" t="str">
        <f t="shared" si="84"/>
        <v>no</v>
      </c>
      <c r="S1830" t="str">
        <f t="shared" si="85"/>
        <v>no</v>
      </c>
      <c r="T18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0" s="2" t="b">
        <f t="shared" si="86"/>
        <v>1</v>
      </c>
      <c r="V1830" s="2">
        <f>IF(Table4[[#This Row],[linear?]],Table4[[#This Row],[av]],10^(Table4[[#This Row],[av]]/10))</f>
        <v>0</v>
      </c>
      <c r="W1830" s="2">
        <f>IF(Table4[[#This Row],[linear?]],Table4[[#This Row],[av]],10^(Table4[[#This Row],[av]]/10))</f>
        <v>0</v>
      </c>
      <c r="X1830" s="2">
        <f>Table4[[#This Row],[av_lin]]-2*Table4[[#This Row],[std_lin]]</f>
        <v>0</v>
      </c>
      <c r="Y1830" s="2">
        <f>Table4[[#This Row],[av_lin]]+2*Table4[[#This Row],[std_lin]]</f>
        <v>0</v>
      </c>
    </row>
    <row r="1831" spans="1:25" x14ac:dyDescent="0.35">
      <c r="A1831" s="1">
        <v>1243</v>
      </c>
      <c r="B1831" t="s">
        <v>829</v>
      </c>
      <c r="C1831" t="s">
        <v>142</v>
      </c>
      <c r="D1831" t="s">
        <v>184</v>
      </c>
      <c r="G1831">
        <v>27</v>
      </c>
      <c r="H1831" t="s">
        <v>19</v>
      </c>
      <c r="R1831" t="str">
        <f t="shared" si="84"/>
        <v>no</v>
      </c>
      <c r="S1831" t="str">
        <f t="shared" si="85"/>
        <v>no</v>
      </c>
      <c r="T18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1" s="2" t="b">
        <f t="shared" si="86"/>
        <v>1</v>
      </c>
      <c r="V1831" s="2">
        <f>IF(Table4[[#This Row],[linear?]],Table4[[#This Row],[av]],10^(Table4[[#This Row],[av]]/10))</f>
        <v>0</v>
      </c>
      <c r="W1831" s="2">
        <f>IF(Table4[[#This Row],[linear?]],Table4[[#This Row],[av]],10^(Table4[[#This Row],[av]]/10))</f>
        <v>0</v>
      </c>
      <c r="X1831" s="2">
        <f>Table4[[#This Row],[av_lin]]-2*Table4[[#This Row],[std_lin]]</f>
        <v>0</v>
      </c>
      <c r="Y1831" s="2">
        <f>Table4[[#This Row],[av_lin]]+2*Table4[[#This Row],[std_lin]]</f>
        <v>0</v>
      </c>
    </row>
    <row r="1832" spans="1:25" x14ac:dyDescent="0.35">
      <c r="A1832" s="1">
        <v>1244</v>
      </c>
      <c r="B1832" t="s">
        <v>829</v>
      </c>
      <c r="C1832" t="s">
        <v>142</v>
      </c>
      <c r="D1832" t="s">
        <v>185</v>
      </c>
      <c r="G1832">
        <v>27</v>
      </c>
      <c r="H1832" t="s">
        <v>19</v>
      </c>
      <c r="R1832" t="str">
        <f t="shared" si="84"/>
        <v>no</v>
      </c>
      <c r="S1832" t="str">
        <f t="shared" si="85"/>
        <v>no</v>
      </c>
      <c r="T18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2" s="2" t="b">
        <f t="shared" si="86"/>
        <v>1</v>
      </c>
      <c r="V1832" s="2">
        <f>IF(Table4[[#This Row],[linear?]],Table4[[#This Row],[av]],10^(Table4[[#This Row],[av]]/10))</f>
        <v>0</v>
      </c>
      <c r="W1832" s="2">
        <f>IF(Table4[[#This Row],[linear?]],Table4[[#This Row],[av]],10^(Table4[[#This Row],[av]]/10))</f>
        <v>0</v>
      </c>
      <c r="X1832" s="2">
        <f>Table4[[#This Row],[av_lin]]-2*Table4[[#This Row],[std_lin]]</f>
        <v>0</v>
      </c>
      <c r="Y1832" s="2">
        <f>Table4[[#This Row],[av_lin]]+2*Table4[[#This Row],[std_lin]]</f>
        <v>0</v>
      </c>
    </row>
    <row r="1833" spans="1:25" x14ac:dyDescent="0.35">
      <c r="A1833" s="1">
        <v>1245</v>
      </c>
      <c r="B1833" t="s">
        <v>829</v>
      </c>
      <c r="C1833" t="s">
        <v>142</v>
      </c>
      <c r="D1833" t="s">
        <v>186</v>
      </c>
      <c r="E1833" s="2">
        <v>0</v>
      </c>
      <c r="F1833" s="2">
        <v>0</v>
      </c>
      <c r="G1833">
        <v>27</v>
      </c>
      <c r="H1833" t="s">
        <v>19</v>
      </c>
      <c r="M1833" s="2">
        <v>0</v>
      </c>
      <c r="N1833" s="2">
        <v>0</v>
      </c>
      <c r="O1833" s="2">
        <v>0</v>
      </c>
      <c r="R1833" t="str">
        <f t="shared" si="84"/>
        <v>no</v>
      </c>
      <c r="S1833" t="str">
        <f t="shared" si="85"/>
        <v>no</v>
      </c>
      <c r="T18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3" s="2" t="b">
        <f t="shared" si="86"/>
        <v>1</v>
      </c>
      <c r="V1833" s="2">
        <f>IF(Table4[[#This Row],[linear?]],Table4[[#This Row],[av]],10^(Table4[[#This Row],[av]]/10))</f>
        <v>0</v>
      </c>
      <c r="W1833" s="2">
        <f>IF(Table4[[#This Row],[linear?]],Table4[[#This Row],[av]],10^(Table4[[#This Row],[av]]/10))</f>
        <v>0</v>
      </c>
      <c r="X1833" s="2">
        <f>Table4[[#This Row],[av_lin]]-2*Table4[[#This Row],[std_lin]]</f>
        <v>0</v>
      </c>
      <c r="Y1833" s="2">
        <f>Table4[[#This Row],[av_lin]]+2*Table4[[#This Row],[std_lin]]</f>
        <v>0</v>
      </c>
    </row>
    <row r="1834" spans="1:25" x14ac:dyDescent="0.35">
      <c r="A1834" s="1">
        <v>1246</v>
      </c>
      <c r="B1834" t="s">
        <v>829</v>
      </c>
      <c r="C1834" t="s">
        <v>142</v>
      </c>
      <c r="D1834" t="s">
        <v>187</v>
      </c>
      <c r="G1834">
        <v>27</v>
      </c>
      <c r="H1834" t="s">
        <v>19</v>
      </c>
      <c r="R1834" t="str">
        <f t="shared" si="84"/>
        <v>no</v>
      </c>
      <c r="S1834" t="str">
        <f t="shared" si="85"/>
        <v>no</v>
      </c>
      <c r="T18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4" s="2" t="b">
        <f t="shared" si="86"/>
        <v>1</v>
      </c>
      <c r="V1834" s="2">
        <f>IF(Table4[[#This Row],[linear?]],Table4[[#This Row],[av]],10^(Table4[[#This Row],[av]]/10))</f>
        <v>0</v>
      </c>
      <c r="W1834" s="2">
        <f>IF(Table4[[#This Row],[linear?]],Table4[[#This Row],[av]],10^(Table4[[#This Row],[av]]/10))</f>
        <v>0</v>
      </c>
      <c r="X1834" s="2">
        <f>Table4[[#This Row],[av_lin]]-2*Table4[[#This Row],[std_lin]]</f>
        <v>0</v>
      </c>
      <c r="Y1834" s="2">
        <f>Table4[[#This Row],[av_lin]]+2*Table4[[#This Row],[std_lin]]</f>
        <v>0</v>
      </c>
    </row>
    <row r="1835" spans="1:25" x14ac:dyDescent="0.35">
      <c r="A1835" s="1">
        <v>1247</v>
      </c>
      <c r="B1835" t="s">
        <v>829</v>
      </c>
      <c r="C1835" t="s">
        <v>142</v>
      </c>
      <c r="D1835" t="s">
        <v>188</v>
      </c>
      <c r="G1835">
        <v>27</v>
      </c>
      <c r="H1835" t="s">
        <v>19</v>
      </c>
      <c r="R1835" t="str">
        <f t="shared" si="84"/>
        <v>no</v>
      </c>
      <c r="S1835" t="str">
        <f t="shared" si="85"/>
        <v>no</v>
      </c>
      <c r="T18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5" s="2" t="b">
        <f t="shared" si="86"/>
        <v>1</v>
      </c>
      <c r="V1835" s="2">
        <f>IF(Table4[[#This Row],[linear?]],Table4[[#This Row],[av]],10^(Table4[[#This Row],[av]]/10))</f>
        <v>0</v>
      </c>
      <c r="W1835" s="2">
        <f>IF(Table4[[#This Row],[linear?]],Table4[[#This Row],[av]],10^(Table4[[#This Row],[av]]/10))</f>
        <v>0</v>
      </c>
      <c r="X1835" s="2">
        <f>Table4[[#This Row],[av_lin]]-2*Table4[[#This Row],[std_lin]]</f>
        <v>0</v>
      </c>
      <c r="Y1835" s="2">
        <f>Table4[[#This Row],[av_lin]]+2*Table4[[#This Row],[std_lin]]</f>
        <v>0</v>
      </c>
    </row>
    <row r="1836" spans="1:25" x14ac:dyDescent="0.35">
      <c r="A1836" s="1">
        <v>1248</v>
      </c>
      <c r="B1836" t="s">
        <v>829</v>
      </c>
      <c r="C1836" t="s">
        <v>142</v>
      </c>
      <c r="D1836" t="s">
        <v>189</v>
      </c>
      <c r="E1836" s="2">
        <v>0</v>
      </c>
      <c r="F1836" s="2">
        <v>0</v>
      </c>
      <c r="G1836">
        <v>27</v>
      </c>
      <c r="H1836" t="s">
        <v>19</v>
      </c>
      <c r="M1836" s="2">
        <v>0</v>
      </c>
      <c r="N1836" s="2">
        <v>0</v>
      </c>
      <c r="O1836" s="2">
        <v>0</v>
      </c>
      <c r="R1836" t="str">
        <f t="shared" si="84"/>
        <v>no</v>
      </c>
      <c r="S1836" t="str">
        <f t="shared" si="85"/>
        <v>no</v>
      </c>
      <c r="T18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6" s="2" t="b">
        <f t="shared" si="86"/>
        <v>1</v>
      </c>
      <c r="V1836" s="2">
        <f>IF(Table4[[#This Row],[linear?]],Table4[[#This Row],[av]],10^(Table4[[#This Row],[av]]/10))</f>
        <v>0</v>
      </c>
      <c r="W1836" s="2">
        <f>IF(Table4[[#This Row],[linear?]],Table4[[#This Row],[av]],10^(Table4[[#This Row],[av]]/10))</f>
        <v>0</v>
      </c>
      <c r="X1836" s="2">
        <f>Table4[[#This Row],[av_lin]]-2*Table4[[#This Row],[std_lin]]</f>
        <v>0</v>
      </c>
      <c r="Y1836" s="2">
        <f>Table4[[#This Row],[av_lin]]+2*Table4[[#This Row],[std_lin]]</f>
        <v>0</v>
      </c>
    </row>
    <row r="1837" spans="1:25" x14ac:dyDescent="0.35">
      <c r="A1837" s="1">
        <v>1249</v>
      </c>
      <c r="B1837" t="s">
        <v>829</v>
      </c>
      <c r="C1837" t="s">
        <v>142</v>
      </c>
      <c r="D1837" t="s">
        <v>190</v>
      </c>
      <c r="G1837">
        <v>27</v>
      </c>
      <c r="H1837" t="s">
        <v>19</v>
      </c>
      <c r="R1837" t="str">
        <f t="shared" si="84"/>
        <v>no</v>
      </c>
      <c r="S1837" t="str">
        <f t="shared" si="85"/>
        <v>no</v>
      </c>
      <c r="T18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7" s="2" t="b">
        <f t="shared" si="86"/>
        <v>1</v>
      </c>
      <c r="V1837" s="2">
        <f>IF(Table4[[#This Row],[linear?]],Table4[[#This Row],[av]],10^(Table4[[#This Row],[av]]/10))</f>
        <v>0</v>
      </c>
      <c r="W1837" s="2">
        <f>IF(Table4[[#This Row],[linear?]],Table4[[#This Row],[av]],10^(Table4[[#This Row],[av]]/10))</f>
        <v>0</v>
      </c>
      <c r="X1837" s="2">
        <f>Table4[[#This Row],[av_lin]]-2*Table4[[#This Row],[std_lin]]</f>
        <v>0</v>
      </c>
      <c r="Y1837" s="2">
        <f>Table4[[#This Row],[av_lin]]+2*Table4[[#This Row],[std_lin]]</f>
        <v>0</v>
      </c>
    </row>
    <row r="1838" spans="1:25" x14ac:dyDescent="0.35">
      <c r="A1838" s="1">
        <v>1250</v>
      </c>
      <c r="B1838" t="s">
        <v>829</v>
      </c>
      <c r="C1838" t="s">
        <v>142</v>
      </c>
      <c r="D1838" t="s">
        <v>191</v>
      </c>
      <c r="G1838">
        <v>27</v>
      </c>
      <c r="H1838" t="s">
        <v>19</v>
      </c>
      <c r="R1838" t="str">
        <f t="shared" si="84"/>
        <v>no</v>
      </c>
      <c r="S1838" t="str">
        <f t="shared" si="85"/>
        <v>no</v>
      </c>
      <c r="T18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8" s="2" t="b">
        <f t="shared" si="86"/>
        <v>1</v>
      </c>
      <c r="V1838" s="2">
        <f>IF(Table4[[#This Row],[linear?]],Table4[[#This Row],[av]],10^(Table4[[#This Row],[av]]/10))</f>
        <v>0</v>
      </c>
      <c r="W1838" s="2">
        <f>IF(Table4[[#This Row],[linear?]],Table4[[#This Row],[av]],10^(Table4[[#This Row],[av]]/10))</f>
        <v>0</v>
      </c>
      <c r="X1838" s="2">
        <f>Table4[[#This Row],[av_lin]]-2*Table4[[#This Row],[std_lin]]</f>
        <v>0</v>
      </c>
      <c r="Y1838" s="2">
        <f>Table4[[#This Row],[av_lin]]+2*Table4[[#This Row],[std_lin]]</f>
        <v>0</v>
      </c>
    </row>
    <row r="1839" spans="1:25" x14ac:dyDescent="0.35">
      <c r="A1839" s="1">
        <v>1251</v>
      </c>
      <c r="B1839" t="s">
        <v>829</v>
      </c>
      <c r="C1839" t="s">
        <v>142</v>
      </c>
      <c r="D1839" t="s">
        <v>192</v>
      </c>
      <c r="E1839" s="2">
        <v>0</v>
      </c>
      <c r="F1839" s="2">
        <v>0</v>
      </c>
      <c r="G1839">
        <v>27</v>
      </c>
      <c r="H1839" t="s">
        <v>19</v>
      </c>
      <c r="M1839" s="2">
        <v>0</v>
      </c>
      <c r="N1839" s="2">
        <v>0</v>
      </c>
      <c r="O1839" s="2">
        <v>0</v>
      </c>
      <c r="R1839" t="str">
        <f t="shared" si="84"/>
        <v>no</v>
      </c>
      <c r="S1839" t="str">
        <f t="shared" si="85"/>
        <v>no</v>
      </c>
      <c r="T18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9" s="2" t="b">
        <f t="shared" si="86"/>
        <v>1</v>
      </c>
      <c r="V1839" s="2">
        <f>IF(Table4[[#This Row],[linear?]],Table4[[#This Row],[av]],10^(Table4[[#This Row],[av]]/10))</f>
        <v>0</v>
      </c>
      <c r="W1839" s="2">
        <f>IF(Table4[[#This Row],[linear?]],Table4[[#This Row],[av]],10^(Table4[[#This Row],[av]]/10))</f>
        <v>0</v>
      </c>
      <c r="X1839" s="2">
        <f>Table4[[#This Row],[av_lin]]-2*Table4[[#This Row],[std_lin]]</f>
        <v>0</v>
      </c>
      <c r="Y1839" s="2">
        <f>Table4[[#This Row],[av_lin]]+2*Table4[[#This Row],[std_lin]]</f>
        <v>0</v>
      </c>
    </row>
    <row r="1840" spans="1:25" x14ac:dyDescent="0.35">
      <c r="A1840" s="1">
        <v>1252</v>
      </c>
      <c r="B1840" t="s">
        <v>829</v>
      </c>
      <c r="C1840" t="s">
        <v>142</v>
      </c>
      <c r="D1840" t="s">
        <v>193</v>
      </c>
      <c r="G1840">
        <v>27</v>
      </c>
      <c r="H1840" t="s">
        <v>19</v>
      </c>
      <c r="R1840" t="str">
        <f t="shared" si="84"/>
        <v>no</v>
      </c>
      <c r="S1840" t="str">
        <f t="shared" si="85"/>
        <v>no</v>
      </c>
      <c r="T18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0" s="2" t="b">
        <f t="shared" si="86"/>
        <v>1</v>
      </c>
      <c r="V1840" s="2">
        <f>IF(Table4[[#This Row],[linear?]],Table4[[#This Row],[av]],10^(Table4[[#This Row],[av]]/10))</f>
        <v>0</v>
      </c>
      <c r="W1840" s="2">
        <f>IF(Table4[[#This Row],[linear?]],Table4[[#This Row],[av]],10^(Table4[[#This Row],[av]]/10))</f>
        <v>0</v>
      </c>
      <c r="X1840" s="2">
        <f>Table4[[#This Row],[av_lin]]-2*Table4[[#This Row],[std_lin]]</f>
        <v>0</v>
      </c>
      <c r="Y1840" s="2">
        <f>Table4[[#This Row],[av_lin]]+2*Table4[[#This Row],[std_lin]]</f>
        <v>0</v>
      </c>
    </row>
    <row r="1841" spans="1:25" x14ac:dyDescent="0.35">
      <c r="A1841" s="1">
        <v>1253</v>
      </c>
      <c r="B1841" t="s">
        <v>829</v>
      </c>
      <c r="C1841" t="s">
        <v>142</v>
      </c>
      <c r="D1841" t="s">
        <v>194</v>
      </c>
      <c r="G1841">
        <v>27</v>
      </c>
      <c r="H1841" t="s">
        <v>19</v>
      </c>
      <c r="R1841" t="str">
        <f t="shared" si="84"/>
        <v>no</v>
      </c>
      <c r="S1841" t="str">
        <f t="shared" si="85"/>
        <v>no</v>
      </c>
      <c r="T18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1" s="2" t="b">
        <f t="shared" si="86"/>
        <v>1</v>
      </c>
      <c r="V1841" s="2">
        <f>IF(Table4[[#This Row],[linear?]],Table4[[#This Row],[av]],10^(Table4[[#This Row],[av]]/10))</f>
        <v>0</v>
      </c>
      <c r="W1841" s="2">
        <f>IF(Table4[[#This Row],[linear?]],Table4[[#This Row],[av]],10^(Table4[[#This Row],[av]]/10))</f>
        <v>0</v>
      </c>
      <c r="X1841" s="2">
        <f>Table4[[#This Row],[av_lin]]-2*Table4[[#This Row],[std_lin]]</f>
        <v>0</v>
      </c>
      <c r="Y1841" s="2">
        <f>Table4[[#This Row],[av_lin]]+2*Table4[[#This Row],[std_lin]]</f>
        <v>0</v>
      </c>
    </row>
    <row r="1842" spans="1:25" x14ac:dyDescent="0.35">
      <c r="A1842" s="1">
        <v>1254</v>
      </c>
      <c r="B1842" t="s">
        <v>829</v>
      </c>
      <c r="C1842" t="s">
        <v>142</v>
      </c>
      <c r="D1842" t="s">
        <v>195</v>
      </c>
      <c r="E1842" s="2">
        <v>0</v>
      </c>
      <c r="F1842" s="2">
        <v>0</v>
      </c>
      <c r="G1842">
        <v>27</v>
      </c>
      <c r="H1842" t="s">
        <v>19</v>
      </c>
      <c r="M1842" s="2">
        <v>0</v>
      </c>
      <c r="N1842" s="2">
        <v>0</v>
      </c>
      <c r="O1842" s="2">
        <v>0</v>
      </c>
      <c r="R1842" t="str">
        <f t="shared" si="84"/>
        <v>no</v>
      </c>
      <c r="S1842" t="str">
        <f t="shared" si="85"/>
        <v>no</v>
      </c>
      <c r="T18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2" s="2" t="b">
        <f t="shared" si="86"/>
        <v>1</v>
      </c>
      <c r="V1842" s="2">
        <f>IF(Table4[[#This Row],[linear?]],Table4[[#This Row],[av]],10^(Table4[[#This Row],[av]]/10))</f>
        <v>0</v>
      </c>
      <c r="W1842" s="2">
        <f>IF(Table4[[#This Row],[linear?]],Table4[[#This Row],[av]],10^(Table4[[#This Row],[av]]/10))</f>
        <v>0</v>
      </c>
      <c r="X1842" s="2">
        <f>Table4[[#This Row],[av_lin]]-2*Table4[[#This Row],[std_lin]]</f>
        <v>0</v>
      </c>
      <c r="Y1842" s="2">
        <f>Table4[[#This Row],[av_lin]]+2*Table4[[#This Row],[std_lin]]</f>
        <v>0</v>
      </c>
    </row>
    <row r="1843" spans="1:25" x14ac:dyDescent="0.35">
      <c r="A1843" s="1">
        <v>1255</v>
      </c>
      <c r="B1843" t="s">
        <v>829</v>
      </c>
      <c r="C1843" t="s">
        <v>142</v>
      </c>
      <c r="D1843" t="s">
        <v>196</v>
      </c>
      <c r="G1843">
        <v>27</v>
      </c>
      <c r="H1843" t="s">
        <v>19</v>
      </c>
      <c r="R1843" t="str">
        <f t="shared" si="84"/>
        <v>no</v>
      </c>
      <c r="S1843" t="str">
        <f t="shared" si="85"/>
        <v>no</v>
      </c>
      <c r="T18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3" s="2" t="b">
        <f t="shared" si="86"/>
        <v>1</v>
      </c>
      <c r="V1843" s="2">
        <f>IF(Table4[[#This Row],[linear?]],Table4[[#This Row],[av]],10^(Table4[[#This Row],[av]]/10))</f>
        <v>0</v>
      </c>
      <c r="W1843" s="2">
        <f>IF(Table4[[#This Row],[linear?]],Table4[[#This Row],[av]],10^(Table4[[#This Row],[av]]/10))</f>
        <v>0</v>
      </c>
      <c r="X1843" s="2">
        <f>Table4[[#This Row],[av_lin]]-2*Table4[[#This Row],[std_lin]]</f>
        <v>0</v>
      </c>
      <c r="Y1843" s="2">
        <f>Table4[[#This Row],[av_lin]]+2*Table4[[#This Row],[std_lin]]</f>
        <v>0</v>
      </c>
    </row>
    <row r="1844" spans="1:25" x14ac:dyDescent="0.35">
      <c r="A1844" s="1">
        <v>1256</v>
      </c>
      <c r="B1844" t="s">
        <v>829</v>
      </c>
      <c r="C1844" t="s">
        <v>142</v>
      </c>
      <c r="D1844" t="s">
        <v>197</v>
      </c>
      <c r="G1844">
        <v>27</v>
      </c>
      <c r="H1844" t="s">
        <v>19</v>
      </c>
      <c r="R1844" t="str">
        <f t="shared" si="84"/>
        <v>no</v>
      </c>
      <c r="S1844" t="str">
        <f t="shared" si="85"/>
        <v>no</v>
      </c>
      <c r="T18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4" s="2" t="b">
        <f t="shared" si="86"/>
        <v>1</v>
      </c>
      <c r="V1844" s="2">
        <f>IF(Table4[[#This Row],[linear?]],Table4[[#This Row],[av]],10^(Table4[[#This Row],[av]]/10))</f>
        <v>0</v>
      </c>
      <c r="W1844" s="2">
        <f>IF(Table4[[#This Row],[linear?]],Table4[[#This Row],[av]],10^(Table4[[#This Row],[av]]/10))</f>
        <v>0</v>
      </c>
      <c r="X1844" s="2">
        <f>Table4[[#This Row],[av_lin]]-2*Table4[[#This Row],[std_lin]]</f>
        <v>0</v>
      </c>
      <c r="Y1844" s="2">
        <f>Table4[[#This Row],[av_lin]]+2*Table4[[#This Row],[std_lin]]</f>
        <v>0</v>
      </c>
    </row>
    <row r="1845" spans="1:25" x14ac:dyDescent="0.35">
      <c r="A1845" s="1">
        <v>1257</v>
      </c>
      <c r="B1845" t="s">
        <v>829</v>
      </c>
      <c r="C1845" t="s">
        <v>142</v>
      </c>
      <c r="D1845" t="s">
        <v>198</v>
      </c>
      <c r="E1845" s="2">
        <v>0</v>
      </c>
      <c r="F1845" s="2">
        <v>0</v>
      </c>
      <c r="G1845">
        <v>27</v>
      </c>
      <c r="H1845" t="s">
        <v>19</v>
      </c>
      <c r="M1845" s="2">
        <v>0</v>
      </c>
      <c r="N1845" s="2">
        <v>0</v>
      </c>
      <c r="O1845" s="2">
        <v>0</v>
      </c>
      <c r="R1845" t="str">
        <f t="shared" si="84"/>
        <v>no</v>
      </c>
      <c r="S1845" t="str">
        <f t="shared" si="85"/>
        <v>no</v>
      </c>
      <c r="T18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5" s="2" t="b">
        <f t="shared" si="86"/>
        <v>1</v>
      </c>
      <c r="V1845" s="2">
        <f>IF(Table4[[#This Row],[linear?]],Table4[[#This Row],[av]],10^(Table4[[#This Row],[av]]/10))</f>
        <v>0</v>
      </c>
      <c r="W1845" s="2">
        <f>IF(Table4[[#This Row],[linear?]],Table4[[#This Row],[av]],10^(Table4[[#This Row],[av]]/10))</f>
        <v>0</v>
      </c>
      <c r="X1845" s="2">
        <f>Table4[[#This Row],[av_lin]]-2*Table4[[#This Row],[std_lin]]</f>
        <v>0</v>
      </c>
      <c r="Y1845" s="2">
        <f>Table4[[#This Row],[av_lin]]+2*Table4[[#This Row],[std_lin]]</f>
        <v>0</v>
      </c>
    </row>
    <row r="1846" spans="1:25" x14ac:dyDescent="0.35">
      <c r="A1846" s="1">
        <v>1258</v>
      </c>
      <c r="B1846" t="s">
        <v>829</v>
      </c>
      <c r="C1846" t="s">
        <v>142</v>
      </c>
      <c r="D1846" t="s">
        <v>199</v>
      </c>
      <c r="G1846">
        <v>27</v>
      </c>
      <c r="H1846" t="s">
        <v>19</v>
      </c>
      <c r="R1846" t="str">
        <f t="shared" si="84"/>
        <v>no</v>
      </c>
      <c r="S1846" t="str">
        <f t="shared" si="85"/>
        <v>no</v>
      </c>
      <c r="T18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6" s="2" t="b">
        <f t="shared" si="86"/>
        <v>1</v>
      </c>
      <c r="V1846" s="2">
        <f>IF(Table4[[#This Row],[linear?]],Table4[[#This Row],[av]],10^(Table4[[#This Row],[av]]/10))</f>
        <v>0</v>
      </c>
      <c r="W1846" s="2">
        <f>IF(Table4[[#This Row],[linear?]],Table4[[#This Row],[av]],10^(Table4[[#This Row],[av]]/10))</f>
        <v>0</v>
      </c>
      <c r="X1846" s="2">
        <f>Table4[[#This Row],[av_lin]]-2*Table4[[#This Row],[std_lin]]</f>
        <v>0</v>
      </c>
      <c r="Y1846" s="2">
        <f>Table4[[#This Row],[av_lin]]+2*Table4[[#This Row],[std_lin]]</f>
        <v>0</v>
      </c>
    </row>
    <row r="1847" spans="1:25" x14ac:dyDescent="0.35">
      <c r="A1847" s="1">
        <v>1259</v>
      </c>
      <c r="B1847" t="s">
        <v>829</v>
      </c>
      <c r="C1847" t="s">
        <v>142</v>
      </c>
      <c r="D1847" t="s">
        <v>200</v>
      </c>
      <c r="G1847">
        <v>27</v>
      </c>
      <c r="H1847" t="s">
        <v>19</v>
      </c>
      <c r="R1847" t="str">
        <f t="shared" si="84"/>
        <v>no</v>
      </c>
      <c r="S1847" t="str">
        <f t="shared" si="85"/>
        <v>no</v>
      </c>
      <c r="T18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7" s="2" t="b">
        <f t="shared" si="86"/>
        <v>1</v>
      </c>
      <c r="V1847" s="2">
        <f>IF(Table4[[#This Row],[linear?]],Table4[[#This Row],[av]],10^(Table4[[#This Row],[av]]/10))</f>
        <v>0</v>
      </c>
      <c r="W1847" s="2">
        <f>IF(Table4[[#This Row],[linear?]],Table4[[#This Row],[av]],10^(Table4[[#This Row],[av]]/10))</f>
        <v>0</v>
      </c>
      <c r="X1847" s="2">
        <f>Table4[[#This Row],[av_lin]]-2*Table4[[#This Row],[std_lin]]</f>
        <v>0</v>
      </c>
      <c r="Y1847" s="2">
        <f>Table4[[#This Row],[av_lin]]+2*Table4[[#This Row],[std_lin]]</f>
        <v>0</v>
      </c>
    </row>
    <row r="1848" spans="1:25" x14ac:dyDescent="0.35">
      <c r="A1848" s="1">
        <v>1260</v>
      </c>
      <c r="B1848" t="s">
        <v>829</v>
      </c>
      <c r="C1848" t="s">
        <v>142</v>
      </c>
      <c r="D1848" t="s">
        <v>201</v>
      </c>
      <c r="E1848" s="2">
        <v>0</v>
      </c>
      <c r="F1848" s="2">
        <v>0</v>
      </c>
      <c r="G1848">
        <v>27</v>
      </c>
      <c r="H1848" t="s">
        <v>19</v>
      </c>
      <c r="M1848" s="2">
        <v>0</v>
      </c>
      <c r="N1848" s="2">
        <v>0</v>
      </c>
      <c r="O1848" s="2">
        <v>0</v>
      </c>
      <c r="R1848" t="str">
        <f t="shared" si="84"/>
        <v>no</v>
      </c>
      <c r="S1848" t="str">
        <f t="shared" si="85"/>
        <v>no</v>
      </c>
      <c r="T18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8" s="2" t="b">
        <f t="shared" si="86"/>
        <v>1</v>
      </c>
      <c r="V1848" s="2">
        <f>IF(Table4[[#This Row],[linear?]],Table4[[#This Row],[av]],10^(Table4[[#This Row],[av]]/10))</f>
        <v>0</v>
      </c>
      <c r="W1848" s="2">
        <f>IF(Table4[[#This Row],[linear?]],Table4[[#This Row],[av]],10^(Table4[[#This Row],[av]]/10))</f>
        <v>0</v>
      </c>
      <c r="X1848" s="2">
        <f>Table4[[#This Row],[av_lin]]-2*Table4[[#This Row],[std_lin]]</f>
        <v>0</v>
      </c>
      <c r="Y1848" s="2">
        <f>Table4[[#This Row],[av_lin]]+2*Table4[[#This Row],[std_lin]]</f>
        <v>0</v>
      </c>
    </row>
    <row r="1849" spans="1:25" x14ac:dyDescent="0.35">
      <c r="A1849" s="1">
        <v>1261</v>
      </c>
      <c r="B1849" t="s">
        <v>829</v>
      </c>
      <c r="C1849" t="s">
        <v>142</v>
      </c>
      <c r="D1849" t="s">
        <v>202</v>
      </c>
      <c r="G1849">
        <v>27</v>
      </c>
      <c r="H1849" t="s">
        <v>19</v>
      </c>
      <c r="R1849" t="str">
        <f t="shared" si="84"/>
        <v>no</v>
      </c>
      <c r="S1849" t="str">
        <f t="shared" si="85"/>
        <v>no</v>
      </c>
      <c r="T18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9" s="2" t="b">
        <f t="shared" si="86"/>
        <v>1</v>
      </c>
      <c r="V1849" s="2">
        <f>IF(Table4[[#This Row],[linear?]],Table4[[#This Row],[av]],10^(Table4[[#This Row],[av]]/10))</f>
        <v>0</v>
      </c>
      <c r="W1849" s="2">
        <f>IF(Table4[[#This Row],[linear?]],Table4[[#This Row],[av]],10^(Table4[[#This Row],[av]]/10))</f>
        <v>0</v>
      </c>
      <c r="X1849" s="2">
        <f>Table4[[#This Row],[av_lin]]-2*Table4[[#This Row],[std_lin]]</f>
        <v>0</v>
      </c>
      <c r="Y1849" s="2">
        <f>Table4[[#This Row],[av_lin]]+2*Table4[[#This Row],[std_lin]]</f>
        <v>0</v>
      </c>
    </row>
    <row r="1850" spans="1:25" x14ac:dyDescent="0.35">
      <c r="A1850" s="1">
        <v>1262</v>
      </c>
      <c r="B1850" t="s">
        <v>829</v>
      </c>
      <c r="C1850" t="s">
        <v>142</v>
      </c>
      <c r="D1850" t="s">
        <v>203</v>
      </c>
      <c r="G1850">
        <v>27</v>
      </c>
      <c r="H1850" t="s">
        <v>19</v>
      </c>
      <c r="R1850" t="str">
        <f t="shared" si="84"/>
        <v>no</v>
      </c>
      <c r="S1850" t="str">
        <f t="shared" si="85"/>
        <v>no</v>
      </c>
      <c r="T18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0" s="2" t="b">
        <f t="shared" si="86"/>
        <v>1</v>
      </c>
      <c r="V1850" s="2">
        <f>IF(Table4[[#This Row],[linear?]],Table4[[#This Row],[av]],10^(Table4[[#This Row],[av]]/10))</f>
        <v>0</v>
      </c>
      <c r="W1850" s="2">
        <f>IF(Table4[[#This Row],[linear?]],Table4[[#This Row],[av]],10^(Table4[[#This Row],[av]]/10))</f>
        <v>0</v>
      </c>
      <c r="X1850" s="2">
        <f>Table4[[#This Row],[av_lin]]-2*Table4[[#This Row],[std_lin]]</f>
        <v>0</v>
      </c>
      <c r="Y1850" s="2">
        <f>Table4[[#This Row],[av_lin]]+2*Table4[[#This Row],[std_lin]]</f>
        <v>0</v>
      </c>
    </row>
    <row r="1851" spans="1:25" x14ac:dyDescent="0.35">
      <c r="A1851" s="1">
        <v>1263</v>
      </c>
      <c r="B1851" t="s">
        <v>829</v>
      </c>
      <c r="C1851" t="s">
        <v>142</v>
      </c>
      <c r="D1851" t="s">
        <v>204</v>
      </c>
      <c r="E1851" s="2">
        <v>0</v>
      </c>
      <c r="F1851" s="2">
        <v>0</v>
      </c>
      <c r="G1851">
        <v>27</v>
      </c>
      <c r="H1851" t="s">
        <v>19</v>
      </c>
      <c r="M1851" s="2">
        <v>0</v>
      </c>
      <c r="N1851" s="2">
        <v>0</v>
      </c>
      <c r="O1851" s="2">
        <v>0</v>
      </c>
      <c r="R1851" t="str">
        <f t="shared" si="84"/>
        <v>no</v>
      </c>
      <c r="S1851" t="str">
        <f t="shared" si="85"/>
        <v>no</v>
      </c>
      <c r="T18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1" s="2" t="b">
        <f t="shared" si="86"/>
        <v>1</v>
      </c>
      <c r="V1851" s="2">
        <f>IF(Table4[[#This Row],[linear?]],Table4[[#This Row],[av]],10^(Table4[[#This Row],[av]]/10))</f>
        <v>0</v>
      </c>
      <c r="W1851" s="2">
        <f>IF(Table4[[#This Row],[linear?]],Table4[[#This Row],[av]],10^(Table4[[#This Row],[av]]/10))</f>
        <v>0</v>
      </c>
      <c r="X1851" s="2">
        <f>Table4[[#This Row],[av_lin]]-2*Table4[[#This Row],[std_lin]]</f>
        <v>0</v>
      </c>
      <c r="Y1851" s="2">
        <f>Table4[[#This Row],[av_lin]]+2*Table4[[#This Row],[std_lin]]</f>
        <v>0</v>
      </c>
    </row>
    <row r="1852" spans="1:25" x14ac:dyDescent="0.35">
      <c r="A1852" s="1">
        <v>1264</v>
      </c>
      <c r="B1852" t="s">
        <v>829</v>
      </c>
      <c r="C1852" t="s">
        <v>142</v>
      </c>
      <c r="D1852" t="s">
        <v>205</v>
      </c>
      <c r="G1852">
        <v>27</v>
      </c>
      <c r="H1852" t="s">
        <v>19</v>
      </c>
      <c r="R1852" t="str">
        <f t="shared" si="84"/>
        <v>no</v>
      </c>
      <c r="S1852" t="str">
        <f t="shared" si="85"/>
        <v>no</v>
      </c>
      <c r="T18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2" s="2" t="b">
        <f t="shared" si="86"/>
        <v>1</v>
      </c>
      <c r="V1852" s="2">
        <f>IF(Table4[[#This Row],[linear?]],Table4[[#This Row],[av]],10^(Table4[[#This Row],[av]]/10))</f>
        <v>0</v>
      </c>
      <c r="W1852" s="2">
        <f>IF(Table4[[#This Row],[linear?]],Table4[[#This Row],[av]],10^(Table4[[#This Row],[av]]/10))</f>
        <v>0</v>
      </c>
      <c r="X1852" s="2">
        <f>Table4[[#This Row],[av_lin]]-2*Table4[[#This Row],[std_lin]]</f>
        <v>0</v>
      </c>
      <c r="Y1852" s="2">
        <f>Table4[[#This Row],[av_lin]]+2*Table4[[#This Row],[std_lin]]</f>
        <v>0</v>
      </c>
    </row>
    <row r="1853" spans="1:25" x14ac:dyDescent="0.35">
      <c r="A1853" s="1">
        <v>1265</v>
      </c>
      <c r="B1853" t="s">
        <v>829</v>
      </c>
      <c r="C1853" t="s">
        <v>142</v>
      </c>
      <c r="D1853" t="s">
        <v>206</v>
      </c>
      <c r="G1853">
        <v>27</v>
      </c>
      <c r="H1853" t="s">
        <v>19</v>
      </c>
      <c r="R1853" t="str">
        <f t="shared" si="84"/>
        <v>no</v>
      </c>
      <c r="S1853" t="str">
        <f t="shared" si="85"/>
        <v>no</v>
      </c>
      <c r="T18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3" s="2" t="b">
        <f t="shared" si="86"/>
        <v>1</v>
      </c>
      <c r="V1853" s="2">
        <f>IF(Table4[[#This Row],[linear?]],Table4[[#This Row],[av]],10^(Table4[[#This Row],[av]]/10))</f>
        <v>0</v>
      </c>
      <c r="W1853" s="2">
        <f>IF(Table4[[#This Row],[linear?]],Table4[[#This Row],[av]],10^(Table4[[#This Row],[av]]/10))</f>
        <v>0</v>
      </c>
      <c r="X1853" s="2">
        <f>Table4[[#This Row],[av_lin]]-2*Table4[[#This Row],[std_lin]]</f>
        <v>0</v>
      </c>
      <c r="Y1853" s="2">
        <f>Table4[[#This Row],[av_lin]]+2*Table4[[#This Row],[std_lin]]</f>
        <v>0</v>
      </c>
    </row>
    <row r="1854" spans="1:25" x14ac:dyDescent="0.35">
      <c r="A1854" s="1">
        <v>1266</v>
      </c>
      <c r="B1854" t="s">
        <v>829</v>
      </c>
      <c r="C1854" t="s">
        <v>142</v>
      </c>
      <c r="D1854" t="s">
        <v>207</v>
      </c>
      <c r="E1854" s="2">
        <v>0</v>
      </c>
      <c r="F1854" s="2">
        <v>0</v>
      </c>
      <c r="G1854">
        <v>27</v>
      </c>
      <c r="H1854" t="s">
        <v>19</v>
      </c>
      <c r="M1854" s="2">
        <v>0</v>
      </c>
      <c r="N1854" s="2">
        <v>0</v>
      </c>
      <c r="O1854" s="2">
        <v>0</v>
      </c>
      <c r="R1854" t="str">
        <f t="shared" si="84"/>
        <v>no</v>
      </c>
      <c r="S1854" t="str">
        <f t="shared" si="85"/>
        <v>no</v>
      </c>
      <c r="T18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4" s="2" t="b">
        <f t="shared" si="86"/>
        <v>1</v>
      </c>
      <c r="V1854" s="2">
        <f>IF(Table4[[#This Row],[linear?]],Table4[[#This Row],[av]],10^(Table4[[#This Row],[av]]/10))</f>
        <v>0</v>
      </c>
      <c r="W1854" s="2">
        <f>IF(Table4[[#This Row],[linear?]],Table4[[#This Row],[av]],10^(Table4[[#This Row],[av]]/10))</f>
        <v>0</v>
      </c>
      <c r="X1854" s="2">
        <f>Table4[[#This Row],[av_lin]]-2*Table4[[#This Row],[std_lin]]</f>
        <v>0</v>
      </c>
      <c r="Y1854" s="2">
        <f>Table4[[#This Row],[av_lin]]+2*Table4[[#This Row],[std_lin]]</f>
        <v>0</v>
      </c>
    </row>
    <row r="1855" spans="1:25" x14ac:dyDescent="0.35">
      <c r="A1855" s="1">
        <v>1267</v>
      </c>
      <c r="B1855" t="s">
        <v>829</v>
      </c>
      <c r="C1855" t="s">
        <v>142</v>
      </c>
      <c r="D1855" t="s">
        <v>208</v>
      </c>
      <c r="G1855">
        <v>27</v>
      </c>
      <c r="H1855" t="s">
        <v>19</v>
      </c>
      <c r="R1855" t="str">
        <f t="shared" si="84"/>
        <v>no</v>
      </c>
      <c r="S1855" t="str">
        <f t="shared" si="85"/>
        <v>no</v>
      </c>
      <c r="T18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5" s="2" t="b">
        <f t="shared" si="86"/>
        <v>1</v>
      </c>
      <c r="V1855" s="2">
        <f>IF(Table4[[#This Row],[linear?]],Table4[[#This Row],[av]],10^(Table4[[#This Row],[av]]/10))</f>
        <v>0</v>
      </c>
      <c r="W1855" s="2">
        <f>IF(Table4[[#This Row],[linear?]],Table4[[#This Row],[av]],10^(Table4[[#This Row],[av]]/10))</f>
        <v>0</v>
      </c>
      <c r="X1855" s="2">
        <f>Table4[[#This Row],[av_lin]]-2*Table4[[#This Row],[std_lin]]</f>
        <v>0</v>
      </c>
      <c r="Y1855" s="2">
        <f>Table4[[#This Row],[av_lin]]+2*Table4[[#This Row],[std_lin]]</f>
        <v>0</v>
      </c>
    </row>
    <row r="1856" spans="1:25" x14ac:dyDescent="0.35">
      <c r="A1856" s="1">
        <v>1268</v>
      </c>
      <c r="B1856" t="s">
        <v>829</v>
      </c>
      <c r="C1856" t="s">
        <v>142</v>
      </c>
      <c r="D1856" t="s">
        <v>209</v>
      </c>
      <c r="G1856">
        <v>27</v>
      </c>
      <c r="H1856" t="s">
        <v>19</v>
      </c>
      <c r="R1856" t="str">
        <f t="shared" si="84"/>
        <v>no</v>
      </c>
      <c r="S1856" t="str">
        <f t="shared" si="85"/>
        <v>no</v>
      </c>
      <c r="T18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6" s="2" t="b">
        <f t="shared" si="86"/>
        <v>1</v>
      </c>
      <c r="V1856" s="2">
        <f>IF(Table4[[#This Row],[linear?]],Table4[[#This Row],[av]],10^(Table4[[#This Row],[av]]/10))</f>
        <v>0</v>
      </c>
      <c r="W1856" s="2">
        <f>IF(Table4[[#This Row],[linear?]],Table4[[#This Row],[av]],10^(Table4[[#This Row],[av]]/10))</f>
        <v>0</v>
      </c>
      <c r="X1856" s="2">
        <f>Table4[[#This Row],[av_lin]]-2*Table4[[#This Row],[std_lin]]</f>
        <v>0</v>
      </c>
      <c r="Y1856" s="2">
        <f>Table4[[#This Row],[av_lin]]+2*Table4[[#This Row],[std_lin]]</f>
        <v>0</v>
      </c>
    </row>
    <row r="1857" spans="1:25" x14ac:dyDescent="0.35">
      <c r="A1857" s="1">
        <v>1269</v>
      </c>
      <c r="B1857" t="s">
        <v>829</v>
      </c>
      <c r="C1857" t="s">
        <v>142</v>
      </c>
      <c r="D1857" t="s">
        <v>210</v>
      </c>
      <c r="E1857" s="2">
        <v>0</v>
      </c>
      <c r="F1857" s="2">
        <v>0</v>
      </c>
      <c r="G1857">
        <v>27</v>
      </c>
      <c r="H1857" t="s">
        <v>19</v>
      </c>
      <c r="M1857" s="2">
        <v>0</v>
      </c>
      <c r="N1857" s="2">
        <v>0</v>
      </c>
      <c r="O1857" s="2">
        <v>0</v>
      </c>
      <c r="R1857" t="str">
        <f t="shared" si="84"/>
        <v>no</v>
      </c>
      <c r="S1857" t="str">
        <f t="shared" si="85"/>
        <v>no</v>
      </c>
      <c r="T18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7" s="2" t="b">
        <f t="shared" si="86"/>
        <v>1</v>
      </c>
      <c r="V1857" s="2">
        <f>IF(Table4[[#This Row],[linear?]],Table4[[#This Row],[av]],10^(Table4[[#This Row],[av]]/10))</f>
        <v>0</v>
      </c>
      <c r="W1857" s="2">
        <f>IF(Table4[[#This Row],[linear?]],Table4[[#This Row],[av]],10^(Table4[[#This Row],[av]]/10))</f>
        <v>0</v>
      </c>
      <c r="X1857" s="2">
        <f>Table4[[#This Row],[av_lin]]-2*Table4[[#This Row],[std_lin]]</f>
        <v>0</v>
      </c>
      <c r="Y1857" s="2">
        <f>Table4[[#This Row],[av_lin]]+2*Table4[[#This Row],[std_lin]]</f>
        <v>0</v>
      </c>
    </row>
    <row r="1858" spans="1:25" x14ac:dyDescent="0.35">
      <c r="A1858" s="1">
        <v>1270</v>
      </c>
      <c r="B1858" t="s">
        <v>829</v>
      </c>
      <c r="C1858" t="s">
        <v>142</v>
      </c>
      <c r="D1858" t="s">
        <v>211</v>
      </c>
      <c r="G1858">
        <v>27</v>
      </c>
      <c r="H1858" t="s">
        <v>19</v>
      </c>
      <c r="R1858" t="str">
        <f t="shared" ref="R1858:R1921" si="87">IF(H1858="yes","yes","no")</f>
        <v>no</v>
      </c>
      <c r="S1858" t="str">
        <f t="shared" ref="S1858:S1921" si="88">IF(I1858,"yes","no")</f>
        <v>no</v>
      </c>
      <c r="T18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8" s="2" t="b">
        <f t="shared" ref="U1858:U1921" si="89">NOT(ISNUMBER(SEARCH("RFIC*POWER", D1858)))</f>
        <v>1</v>
      </c>
      <c r="V1858" s="2">
        <f>IF(Table4[[#This Row],[linear?]],Table4[[#This Row],[av]],10^(Table4[[#This Row],[av]]/10))</f>
        <v>0</v>
      </c>
      <c r="W1858" s="2">
        <f>IF(Table4[[#This Row],[linear?]],Table4[[#This Row],[av]],10^(Table4[[#This Row],[av]]/10))</f>
        <v>0</v>
      </c>
      <c r="X1858" s="2">
        <f>Table4[[#This Row],[av_lin]]-2*Table4[[#This Row],[std_lin]]</f>
        <v>0</v>
      </c>
      <c r="Y1858" s="2">
        <f>Table4[[#This Row],[av_lin]]+2*Table4[[#This Row],[std_lin]]</f>
        <v>0</v>
      </c>
    </row>
    <row r="1859" spans="1:25" x14ac:dyDescent="0.35">
      <c r="A1859" s="1">
        <v>1271</v>
      </c>
      <c r="B1859" t="s">
        <v>829</v>
      </c>
      <c r="C1859" t="s">
        <v>142</v>
      </c>
      <c r="D1859" t="s">
        <v>212</v>
      </c>
      <c r="G1859">
        <v>27</v>
      </c>
      <c r="H1859" t="s">
        <v>19</v>
      </c>
      <c r="R1859" t="str">
        <f t="shared" si="87"/>
        <v>no</v>
      </c>
      <c r="S1859" t="str">
        <f t="shared" si="88"/>
        <v>no</v>
      </c>
      <c r="T18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9" s="2" t="b">
        <f t="shared" si="89"/>
        <v>1</v>
      </c>
      <c r="V1859" s="2">
        <f>IF(Table4[[#This Row],[linear?]],Table4[[#This Row],[av]],10^(Table4[[#This Row],[av]]/10))</f>
        <v>0</v>
      </c>
      <c r="W1859" s="2">
        <f>IF(Table4[[#This Row],[linear?]],Table4[[#This Row],[av]],10^(Table4[[#This Row],[av]]/10))</f>
        <v>0</v>
      </c>
      <c r="X1859" s="2">
        <f>Table4[[#This Row],[av_lin]]-2*Table4[[#This Row],[std_lin]]</f>
        <v>0</v>
      </c>
      <c r="Y1859" s="2">
        <f>Table4[[#This Row],[av_lin]]+2*Table4[[#This Row],[std_lin]]</f>
        <v>0</v>
      </c>
    </row>
    <row r="1860" spans="1:25" x14ac:dyDescent="0.35">
      <c r="A1860" s="1">
        <v>1272</v>
      </c>
      <c r="B1860" t="s">
        <v>829</v>
      </c>
      <c r="C1860" t="s">
        <v>142</v>
      </c>
      <c r="D1860" t="s">
        <v>213</v>
      </c>
      <c r="E1860" s="2">
        <v>0</v>
      </c>
      <c r="F1860" s="2">
        <v>0</v>
      </c>
      <c r="G1860">
        <v>27</v>
      </c>
      <c r="H1860" t="s">
        <v>19</v>
      </c>
      <c r="M1860" s="2">
        <v>0</v>
      </c>
      <c r="N1860" s="2">
        <v>0</v>
      </c>
      <c r="O1860" s="2">
        <v>0</v>
      </c>
      <c r="R1860" t="str">
        <f t="shared" si="87"/>
        <v>no</v>
      </c>
      <c r="S1860" t="str">
        <f t="shared" si="88"/>
        <v>no</v>
      </c>
      <c r="T18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0" s="2" t="b">
        <f t="shared" si="89"/>
        <v>1</v>
      </c>
      <c r="V1860" s="2">
        <f>IF(Table4[[#This Row],[linear?]],Table4[[#This Row],[av]],10^(Table4[[#This Row],[av]]/10))</f>
        <v>0</v>
      </c>
      <c r="W1860" s="2">
        <f>IF(Table4[[#This Row],[linear?]],Table4[[#This Row],[av]],10^(Table4[[#This Row],[av]]/10))</f>
        <v>0</v>
      </c>
      <c r="X1860" s="2">
        <f>Table4[[#This Row],[av_lin]]-2*Table4[[#This Row],[std_lin]]</f>
        <v>0</v>
      </c>
      <c r="Y1860" s="2">
        <f>Table4[[#This Row],[av_lin]]+2*Table4[[#This Row],[std_lin]]</f>
        <v>0</v>
      </c>
    </row>
    <row r="1861" spans="1:25" x14ac:dyDescent="0.35">
      <c r="A1861" s="1">
        <v>1273</v>
      </c>
      <c r="B1861" t="s">
        <v>829</v>
      </c>
      <c r="C1861" t="s">
        <v>142</v>
      </c>
      <c r="D1861" t="s">
        <v>214</v>
      </c>
      <c r="G1861">
        <v>27</v>
      </c>
      <c r="H1861" t="s">
        <v>19</v>
      </c>
      <c r="R1861" t="str">
        <f t="shared" si="87"/>
        <v>no</v>
      </c>
      <c r="S1861" t="str">
        <f t="shared" si="88"/>
        <v>no</v>
      </c>
      <c r="T18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1" s="2" t="b">
        <f t="shared" si="89"/>
        <v>1</v>
      </c>
      <c r="V1861" s="2">
        <f>IF(Table4[[#This Row],[linear?]],Table4[[#This Row],[av]],10^(Table4[[#This Row],[av]]/10))</f>
        <v>0</v>
      </c>
      <c r="W1861" s="2">
        <f>IF(Table4[[#This Row],[linear?]],Table4[[#This Row],[av]],10^(Table4[[#This Row],[av]]/10))</f>
        <v>0</v>
      </c>
      <c r="X1861" s="2">
        <f>Table4[[#This Row],[av_lin]]-2*Table4[[#This Row],[std_lin]]</f>
        <v>0</v>
      </c>
      <c r="Y1861" s="2">
        <f>Table4[[#This Row],[av_lin]]+2*Table4[[#This Row],[std_lin]]</f>
        <v>0</v>
      </c>
    </row>
    <row r="1862" spans="1:25" x14ac:dyDescent="0.35">
      <c r="A1862" s="1">
        <v>1274</v>
      </c>
      <c r="B1862" t="s">
        <v>829</v>
      </c>
      <c r="C1862" t="s">
        <v>142</v>
      </c>
      <c r="D1862" t="s">
        <v>215</v>
      </c>
      <c r="G1862">
        <v>27</v>
      </c>
      <c r="H1862" t="s">
        <v>19</v>
      </c>
      <c r="R1862" t="str">
        <f t="shared" si="87"/>
        <v>no</v>
      </c>
      <c r="S1862" t="str">
        <f t="shared" si="88"/>
        <v>no</v>
      </c>
      <c r="T18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2" s="2" t="b">
        <f t="shared" si="89"/>
        <v>1</v>
      </c>
      <c r="V1862" s="2">
        <f>IF(Table4[[#This Row],[linear?]],Table4[[#This Row],[av]],10^(Table4[[#This Row],[av]]/10))</f>
        <v>0</v>
      </c>
      <c r="W1862" s="2">
        <f>IF(Table4[[#This Row],[linear?]],Table4[[#This Row],[av]],10^(Table4[[#This Row],[av]]/10))</f>
        <v>0</v>
      </c>
      <c r="X1862" s="2">
        <f>Table4[[#This Row],[av_lin]]-2*Table4[[#This Row],[std_lin]]</f>
        <v>0</v>
      </c>
      <c r="Y1862" s="2">
        <f>Table4[[#This Row],[av_lin]]+2*Table4[[#This Row],[std_lin]]</f>
        <v>0</v>
      </c>
    </row>
    <row r="1863" spans="1:25" x14ac:dyDescent="0.35">
      <c r="A1863" s="1">
        <v>1275</v>
      </c>
      <c r="B1863" t="s">
        <v>829</v>
      </c>
      <c r="C1863" t="s">
        <v>142</v>
      </c>
      <c r="D1863" t="s">
        <v>216</v>
      </c>
      <c r="E1863" s="2">
        <v>0</v>
      </c>
      <c r="F1863" s="2">
        <v>0</v>
      </c>
      <c r="G1863">
        <v>27</v>
      </c>
      <c r="H1863" t="s">
        <v>19</v>
      </c>
      <c r="M1863" s="2">
        <v>0</v>
      </c>
      <c r="N1863" s="2">
        <v>0</v>
      </c>
      <c r="O1863" s="2">
        <v>0</v>
      </c>
      <c r="R1863" t="str">
        <f t="shared" si="87"/>
        <v>no</v>
      </c>
      <c r="S1863" t="str">
        <f t="shared" si="88"/>
        <v>no</v>
      </c>
      <c r="T18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3" s="2" t="b">
        <f t="shared" si="89"/>
        <v>1</v>
      </c>
      <c r="V1863" s="2">
        <f>IF(Table4[[#This Row],[linear?]],Table4[[#This Row],[av]],10^(Table4[[#This Row],[av]]/10))</f>
        <v>0</v>
      </c>
      <c r="W1863" s="2">
        <f>IF(Table4[[#This Row],[linear?]],Table4[[#This Row],[av]],10^(Table4[[#This Row],[av]]/10))</f>
        <v>0</v>
      </c>
      <c r="X1863" s="2">
        <f>Table4[[#This Row],[av_lin]]-2*Table4[[#This Row],[std_lin]]</f>
        <v>0</v>
      </c>
      <c r="Y1863" s="2">
        <f>Table4[[#This Row],[av_lin]]+2*Table4[[#This Row],[std_lin]]</f>
        <v>0</v>
      </c>
    </row>
    <row r="1864" spans="1:25" x14ac:dyDescent="0.35">
      <c r="A1864" s="1">
        <v>1276</v>
      </c>
      <c r="B1864" t="s">
        <v>829</v>
      </c>
      <c r="C1864" t="s">
        <v>142</v>
      </c>
      <c r="D1864" t="s">
        <v>217</v>
      </c>
      <c r="G1864">
        <v>27</v>
      </c>
      <c r="H1864" t="s">
        <v>19</v>
      </c>
      <c r="R1864" t="str">
        <f t="shared" si="87"/>
        <v>no</v>
      </c>
      <c r="S1864" t="str">
        <f t="shared" si="88"/>
        <v>no</v>
      </c>
      <c r="T18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4" s="2" t="b">
        <f t="shared" si="89"/>
        <v>1</v>
      </c>
      <c r="V1864" s="2">
        <f>IF(Table4[[#This Row],[linear?]],Table4[[#This Row],[av]],10^(Table4[[#This Row],[av]]/10))</f>
        <v>0</v>
      </c>
      <c r="W1864" s="2">
        <f>IF(Table4[[#This Row],[linear?]],Table4[[#This Row],[av]],10^(Table4[[#This Row],[av]]/10))</f>
        <v>0</v>
      </c>
      <c r="X1864" s="2">
        <f>Table4[[#This Row],[av_lin]]-2*Table4[[#This Row],[std_lin]]</f>
        <v>0</v>
      </c>
      <c r="Y1864" s="2">
        <f>Table4[[#This Row],[av_lin]]+2*Table4[[#This Row],[std_lin]]</f>
        <v>0</v>
      </c>
    </row>
    <row r="1865" spans="1:25" x14ac:dyDescent="0.35">
      <c r="A1865" s="1">
        <v>1277</v>
      </c>
      <c r="B1865" t="s">
        <v>829</v>
      </c>
      <c r="C1865" t="s">
        <v>142</v>
      </c>
      <c r="D1865" t="s">
        <v>218</v>
      </c>
      <c r="G1865">
        <v>27</v>
      </c>
      <c r="H1865" t="s">
        <v>19</v>
      </c>
      <c r="R1865" t="str">
        <f t="shared" si="87"/>
        <v>no</v>
      </c>
      <c r="S1865" t="str">
        <f t="shared" si="88"/>
        <v>no</v>
      </c>
      <c r="T18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5" s="2" t="b">
        <f t="shared" si="89"/>
        <v>1</v>
      </c>
      <c r="V1865" s="2">
        <f>IF(Table4[[#This Row],[linear?]],Table4[[#This Row],[av]],10^(Table4[[#This Row],[av]]/10))</f>
        <v>0</v>
      </c>
      <c r="W1865" s="2">
        <f>IF(Table4[[#This Row],[linear?]],Table4[[#This Row],[av]],10^(Table4[[#This Row],[av]]/10))</f>
        <v>0</v>
      </c>
      <c r="X1865" s="2">
        <f>Table4[[#This Row],[av_lin]]-2*Table4[[#This Row],[std_lin]]</f>
        <v>0</v>
      </c>
      <c r="Y1865" s="2">
        <f>Table4[[#This Row],[av_lin]]+2*Table4[[#This Row],[std_lin]]</f>
        <v>0</v>
      </c>
    </row>
    <row r="1866" spans="1:25" x14ac:dyDescent="0.35">
      <c r="A1866" s="1">
        <v>1278</v>
      </c>
      <c r="B1866" t="s">
        <v>829</v>
      </c>
      <c r="C1866" t="s">
        <v>142</v>
      </c>
      <c r="D1866" t="s">
        <v>219</v>
      </c>
      <c r="E1866" s="2">
        <v>0</v>
      </c>
      <c r="F1866" s="2">
        <v>0</v>
      </c>
      <c r="G1866">
        <v>27</v>
      </c>
      <c r="H1866" t="s">
        <v>19</v>
      </c>
      <c r="M1866" s="2">
        <v>0</v>
      </c>
      <c r="N1866" s="2">
        <v>0</v>
      </c>
      <c r="O1866" s="2">
        <v>0</v>
      </c>
      <c r="R1866" t="str">
        <f t="shared" si="87"/>
        <v>no</v>
      </c>
      <c r="S1866" t="str">
        <f t="shared" si="88"/>
        <v>no</v>
      </c>
      <c r="T18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6" s="2" t="b">
        <f t="shared" si="89"/>
        <v>1</v>
      </c>
      <c r="V1866" s="2">
        <f>IF(Table4[[#This Row],[linear?]],Table4[[#This Row],[av]],10^(Table4[[#This Row],[av]]/10))</f>
        <v>0</v>
      </c>
      <c r="W1866" s="2">
        <f>IF(Table4[[#This Row],[linear?]],Table4[[#This Row],[av]],10^(Table4[[#This Row],[av]]/10))</f>
        <v>0</v>
      </c>
      <c r="X1866" s="2">
        <f>Table4[[#This Row],[av_lin]]-2*Table4[[#This Row],[std_lin]]</f>
        <v>0</v>
      </c>
      <c r="Y1866" s="2">
        <f>Table4[[#This Row],[av_lin]]+2*Table4[[#This Row],[std_lin]]</f>
        <v>0</v>
      </c>
    </row>
    <row r="1867" spans="1:25" x14ac:dyDescent="0.35">
      <c r="A1867" s="1">
        <v>1279</v>
      </c>
      <c r="B1867" t="s">
        <v>829</v>
      </c>
      <c r="C1867" t="s">
        <v>142</v>
      </c>
      <c r="D1867" t="s">
        <v>220</v>
      </c>
      <c r="G1867">
        <v>27</v>
      </c>
      <c r="H1867" t="s">
        <v>19</v>
      </c>
      <c r="R1867" t="str">
        <f t="shared" si="87"/>
        <v>no</v>
      </c>
      <c r="S1867" t="str">
        <f t="shared" si="88"/>
        <v>no</v>
      </c>
      <c r="T18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7" s="2" t="b">
        <f t="shared" si="89"/>
        <v>1</v>
      </c>
      <c r="V1867" s="2">
        <f>IF(Table4[[#This Row],[linear?]],Table4[[#This Row],[av]],10^(Table4[[#This Row],[av]]/10))</f>
        <v>0</v>
      </c>
      <c r="W1867" s="2">
        <f>IF(Table4[[#This Row],[linear?]],Table4[[#This Row],[av]],10^(Table4[[#This Row],[av]]/10))</f>
        <v>0</v>
      </c>
      <c r="X1867" s="2">
        <f>Table4[[#This Row],[av_lin]]-2*Table4[[#This Row],[std_lin]]</f>
        <v>0</v>
      </c>
      <c r="Y1867" s="2">
        <f>Table4[[#This Row],[av_lin]]+2*Table4[[#This Row],[std_lin]]</f>
        <v>0</v>
      </c>
    </row>
    <row r="1868" spans="1:25" x14ac:dyDescent="0.35">
      <c r="A1868" s="1">
        <v>1280</v>
      </c>
      <c r="B1868" t="s">
        <v>829</v>
      </c>
      <c r="C1868" t="s">
        <v>142</v>
      </c>
      <c r="D1868" t="s">
        <v>221</v>
      </c>
      <c r="G1868">
        <v>27</v>
      </c>
      <c r="H1868" t="s">
        <v>19</v>
      </c>
      <c r="R1868" t="str">
        <f t="shared" si="87"/>
        <v>no</v>
      </c>
      <c r="S1868" t="str">
        <f t="shared" si="88"/>
        <v>no</v>
      </c>
      <c r="T18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8" s="2" t="b">
        <f t="shared" si="89"/>
        <v>1</v>
      </c>
      <c r="V1868" s="2">
        <f>IF(Table4[[#This Row],[linear?]],Table4[[#This Row],[av]],10^(Table4[[#This Row],[av]]/10))</f>
        <v>0</v>
      </c>
      <c r="W1868" s="2">
        <f>IF(Table4[[#This Row],[linear?]],Table4[[#This Row],[av]],10^(Table4[[#This Row],[av]]/10))</f>
        <v>0</v>
      </c>
      <c r="X1868" s="2">
        <f>Table4[[#This Row],[av_lin]]-2*Table4[[#This Row],[std_lin]]</f>
        <v>0</v>
      </c>
      <c r="Y1868" s="2">
        <f>Table4[[#This Row],[av_lin]]+2*Table4[[#This Row],[std_lin]]</f>
        <v>0</v>
      </c>
    </row>
    <row r="1869" spans="1:25" x14ac:dyDescent="0.35">
      <c r="A1869" s="1">
        <v>1281</v>
      </c>
      <c r="B1869" t="s">
        <v>829</v>
      </c>
      <c r="C1869" t="s">
        <v>142</v>
      </c>
      <c r="D1869" t="s">
        <v>222</v>
      </c>
      <c r="E1869" s="2">
        <v>0</v>
      </c>
      <c r="F1869" s="2">
        <v>0</v>
      </c>
      <c r="G1869">
        <v>27</v>
      </c>
      <c r="H1869" t="s">
        <v>19</v>
      </c>
      <c r="M1869" s="2">
        <v>0</v>
      </c>
      <c r="N1869" s="2">
        <v>0</v>
      </c>
      <c r="O1869" s="2">
        <v>0</v>
      </c>
      <c r="R1869" t="str">
        <f t="shared" si="87"/>
        <v>no</v>
      </c>
      <c r="S1869" t="str">
        <f t="shared" si="88"/>
        <v>no</v>
      </c>
      <c r="T18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9" s="2" t="b">
        <f t="shared" si="89"/>
        <v>1</v>
      </c>
      <c r="V1869" s="2">
        <f>IF(Table4[[#This Row],[linear?]],Table4[[#This Row],[av]],10^(Table4[[#This Row],[av]]/10))</f>
        <v>0</v>
      </c>
      <c r="W1869" s="2">
        <f>IF(Table4[[#This Row],[linear?]],Table4[[#This Row],[av]],10^(Table4[[#This Row],[av]]/10))</f>
        <v>0</v>
      </c>
      <c r="X1869" s="2">
        <f>Table4[[#This Row],[av_lin]]-2*Table4[[#This Row],[std_lin]]</f>
        <v>0</v>
      </c>
      <c r="Y1869" s="2">
        <f>Table4[[#This Row],[av_lin]]+2*Table4[[#This Row],[std_lin]]</f>
        <v>0</v>
      </c>
    </row>
    <row r="1870" spans="1:25" x14ac:dyDescent="0.35">
      <c r="A1870" s="1">
        <v>1282</v>
      </c>
      <c r="B1870" t="s">
        <v>829</v>
      </c>
      <c r="C1870" t="s">
        <v>142</v>
      </c>
      <c r="D1870" t="s">
        <v>223</v>
      </c>
      <c r="G1870">
        <v>27</v>
      </c>
      <c r="H1870" t="s">
        <v>19</v>
      </c>
      <c r="R1870" t="str">
        <f t="shared" si="87"/>
        <v>no</v>
      </c>
      <c r="S1870" t="str">
        <f t="shared" si="88"/>
        <v>no</v>
      </c>
      <c r="T18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0" s="2" t="b">
        <f t="shared" si="89"/>
        <v>1</v>
      </c>
      <c r="V1870" s="2">
        <f>IF(Table4[[#This Row],[linear?]],Table4[[#This Row],[av]],10^(Table4[[#This Row],[av]]/10))</f>
        <v>0</v>
      </c>
      <c r="W1870" s="2">
        <f>IF(Table4[[#This Row],[linear?]],Table4[[#This Row],[av]],10^(Table4[[#This Row],[av]]/10))</f>
        <v>0</v>
      </c>
      <c r="X1870" s="2">
        <f>Table4[[#This Row],[av_lin]]-2*Table4[[#This Row],[std_lin]]</f>
        <v>0</v>
      </c>
      <c r="Y1870" s="2">
        <f>Table4[[#This Row],[av_lin]]+2*Table4[[#This Row],[std_lin]]</f>
        <v>0</v>
      </c>
    </row>
    <row r="1871" spans="1:25" x14ac:dyDescent="0.35">
      <c r="A1871" s="1">
        <v>1283</v>
      </c>
      <c r="B1871" t="s">
        <v>829</v>
      </c>
      <c r="C1871" t="s">
        <v>142</v>
      </c>
      <c r="D1871" t="s">
        <v>224</v>
      </c>
      <c r="G1871">
        <v>27</v>
      </c>
      <c r="H1871" t="s">
        <v>19</v>
      </c>
      <c r="R1871" t="str">
        <f t="shared" si="87"/>
        <v>no</v>
      </c>
      <c r="S1871" t="str">
        <f t="shared" si="88"/>
        <v>no</v>
      </c>
      <c r="T18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1" s="2" t="b">
        <f t="shared" si="89"/>
        <v>1</v>
      </c>
      <c r="V1871" s="2">
        <f>IF(Table4[[#This Row],[linear?]],Table4[[#This Row],[av]],10^(Table4[[#This Row],[av]]/10))</f>
        <v>0</v>
      </c>
      <c r="W1871" s="2">
        <f>IF(Table4[[#This Row],[linear?]],Table4[[#This Row],[av]],10^(Table4[[#This Row],[av]]/10))</f>
        <v>0</v>
      </c>
      <c r="X1871" s="2">
        <f>Table4[[#This Row],[av_lin]]-2*Table4[[#This Row],[std_lin]]</f>
        <v>0</v>
      </c>
      <c r="Y1871" s="2">
        <f>Table4[[#This Row],[av_lin]]+2*Table4[[#This Row],[std_lin]]</f>
        <v>0</v>
      </c>
    </row>
    <row r="1872" spans="1:25" x14ac:dyDescent="0.35">
      <c r="A1872" s="1">
        <v>1284</v>
      </c>
      <c r="B1872" t="s">
        <v>829</v>
      </c>
      <c r="C1872" t="s">
        <v>142</v>
      </c>
      <c r="D1872" t="s">
        <v>225</v>
      </c>
      <c r="E1872" s="2">
        <v>0</v>
      </c>
      <c r="F1872" s="2">
        <v>0</v>
      </c>
      <c r="G1872">
        <v>27</v>
      </c>
      <c r="H1872" t="s">
        <v>19</v>
      </c>
      <c r="M1872" s="2">
        <v>0</v>
      </c>
      <c r="N1872" s="2">
        <v>0</v>
      </c>
      <c r="O1872" s="2">
        <v>0</v>
      </c>
      <c r="R1872" t="str">
        <f t="shared" si="87"/>
        <v>no</v>
      </c>
      <c r="S1872" t="str">
        <f t="shared" si="88"/>
        <v>no</v>
      </c>
      <c r="T18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2" s="2" t="b">
        <f t="shared" si="89"/>
        <v>1</v>
      </c>
      <c r="V1872" s="2">
        <f>IF(Table4[[#This Row],[linear?]],Table4[[#This Row],[av]],10^(Table4[[#This Row],[av]]/10))</f>
        <v>0</v>
      </c>
      <c r="W1872" s="2">
        <f>IF(Table4[[#This Row],[linear?]],Table4[[#This Row],[av]],10^(Table4[[#This Row],[av]]/10))</f>
        <v>0</v>
      </c>
      <c r="X1872" s="2">
        <f>Table4[[#This Row],[av_lin]]-2*Table4[[#This Row],[std_lin]]</f>
        <v>0</v>
      </c>
      <c r="Y1872" s="2">
        <f>Table4[[#This Row],[av_lin]]+2*Table4[[#This Row],[std_lin]]</f>
        <v>0</v>
      </c>
    </row>
    <row r="1873" spans="1:25" x14ac:dyDescent="0.35">
      <c r="A1873" s="1">
        <v>1285</v>
      </c>
      <c r="B1873" t="s">
        <v>829</v>
      </c>
      <c r="C1873" t="s">
        <v>142</v>
      </c>
      <c r="D1873" t="s">
        <v>226</v>
      </c>
      <c r="G1873">
        <v>27</v>
      </c>
      <c r="H1873" t="s">
        <v>19</v>
      </c>
      <c r="R1873" t="str">
        <f t="shared" si="87"/>
        <v>no</v>
      </c>
      <c r="S1873" t="str">
        <f t="shared" si="88"/>
        <v>no</v>
      </c>
      <c r="T18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3" s="2" t="b">
        <f t="shared" si="89"/>
        <v>1</v>
      </c>
      <c r="V1873" s="2">
        <f>IF(Table4[[#This Row],[linear?]],Table4[[#This Row],[av]],10^(Table4[[#This Row],[av]]/10))</f>
        <v>0</v>
      </c>
      <c r="W1873" s="2">
        <f>IF(Table4[[#This Row],[linear?]],Table4[[#This Row],[av]],10^(Table4[[#This Row],[av]]/10))</f>
        <v>0</v>
      </c>
      <c r="X1873" s="2">
        <f>Table4[[#This Row],[av_lin]]-2*Table4[[#This Row],[std_lin]]</f>
        <v>0</v>
      </c>
      <c r="Y1873" s="2">
        <f>Table4[[#This Row],[av_lin]]+2*Table4[[#This Row],[std_lin]]</f>
        <v>0</v>
      </c>
    </row>
    <row r="1874" spans="1:25" x14ac:dyDescent="0.35">
      <c r="A1874" s="1">
        <v>1286</v>
      </c>
      <c r="B1874" t="s">
        <v>829</v>
      </c>
      <c r="C1874" t="s">
        <v>142</v>
      </c>
      <c r="D1874" t="s">
        <v>227</v>
      </c>
      <c r="G1874">
        <v>27</v>
      </c>
      <c r="H1874" t="s">
        <v>19</v>
      </c>
      <c r="R1874" t="str">
        <f t="shared" si="87"/>
        <v>no</v>
      </c>
      <c r="S1874" t="str">
        <f t="shared" si="88"/>
        <v>no</v>
      </c>
      <c r="T18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4" s="2" t="b">
        <f t="shared" si="89"/>
        <v>1</v>
      </c>
      <c r="V1874" s="2">
        <f>IF(Table4[[#This Row],[linear?]],Table4[[#This Row],[av]],10^(Table4[[#This Row],[av]]/10))</f>
        <v>0</v>
      </c>
      <c r="W1874" s="2">
        <f>IF(Table4[[#This Row],[linear?]],Table4[[#This Row],[av]],10^(Table4[[#This Row],[av]]/10))</f>
        <v>0</v>
      </c>
      <c r="X1874" s="2">
        <f>Table4[[#This Row],[av_lin]]-2*Table4[[#This Row],[std_lin]]</f>
        <v>0</v>
      </c>
      <c r="Y1874" s="2">
        <f>Table4[[#This Row],[av_lin]]+2*Table4[[#This Row],[std_lin]]</f>
        <v>0</v>
      </c>
    </row>
    <row r="1875" spans="1:25" x14ac:dyDescent="0.35">
      <c r="A1875" s="1">
        <v>1287</v>
      </c>
      <c r="B1875" t="s">
        <v>829</v>
      </c>
      <c r="C1875" t="s">
        <v>142</v>
      </c>
      <c r="D1875" t="s">
        <v>228</v>
      </c>
      <c r="E1875" s="2">
        <v>0</v>
      </c>
      <c r="F1875" s="2">
        <v>0</v>
      </c>
      <c r="G1875">
        <v>27</v>
      </c>
      <c r="H1875" t="s">
        <v>19</v>
      </c>
      <c r="M1875" s="2">
        <v>0</v>
      </c>
      <c r="N1875" s="2">
        <v>0</v>
      </c>
      <c r="O1875" s="2">
        <v>0</v>
      </c>
      <c r="R1875" t="str">
        <f t="shared" si="87"/>
        <v>no</v>
      </c>
      <c r="S1875" t="str">
        <f t="shared" si="88"/>
        <v>no</v>
      </c>
      <c r="T18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5" s="2" t="b">
        <f t="shared" si="89"/>
        <v>1</v>
      </c>
      <c r="V1875" s="2">
        <f>IF(Table4[[#This Row],[linear?]],Table4[[#This Row],[av]],10^(Table4[[#This Row],[av]]/10))</f>
        <v>0</v>
      </c>
      <c r="W1875" s="2">
        <f>IF(Table4[[#This Row],[linear?]],Table4[[#This Row],[av]],10^(Table4[[#This Row],[av]]/10))</f>
        <v>0</v>
      </c>
      <c r="X1875" s="2">
        <f>Table4[[#This Row],[av_lin]]-2*Table4[[#This Row],[std_lin]]</f>
        <v>0</v>
      </c>
      <c r="Y1875" s="2">
        <f>Table4[[#This Row],[av_lin]]+2*Table4[[#This Row],[std_lin]]</f>
        <v>0</v>
      </c>
    </row>
    <row r="1876" spans="1:25" x14ac:dyDescent="0.35">
      <c r="A1876" s="1">
        <v>1288</v>
      </c>
      <c r="B1876" t="s">
        <v>829</v>
      </c>
      <c r="C1876" t="s">
        <v>142</v>
      </c>
      <c r="D1876" t="s">
        <v>229</v>
      </c>
      <c r="G1876">
        <v>27</v>
      </c>
      <c r="H1876" t="s">
        <v>19</v>
      </c>
      <c r="R1876" t="str">
        <f t="shared" si="87"/>
        <v>no</v>
      </c>
      <c r="S1876" t="str">
        <f t="shared" si="88"/>
        <v>no</v>
      </c>
      <c r="T18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6" s="2" t="b">
        <f t="shared" si="89"/>
        <v>1</v>
      </c>
      <c r="V1876" s="2">
        <f>IF(Table4[[#This Row],[linear?]],Table4[[#This Row],[av]],10^(Table4[[#This Row],[av]]/10))</f>
        <v>0</v>
      </c>
      <c r="W1876" s="2">
        <f>IF(Table4[[#This Row],[linear?]],Table4[[#This Row],[av]],10^(Table4[[#This Row],[av]]/10))</f>
        <v>0</v>
      </c>
      <c r="X1876" s="2">
        <f>Table4[[#This Row],[av_lin]]-2*Table4[[#This Row],[std_lin]]</f>
        <v>0</v>
      </c>
      <c r="Y1876" s="2">
        <f>Table4[[#This Row],[av_lin]]+2*Table4[[#This Row],[std_lin]]</f>
        <v>0</v>
      </c>
    </row>
    <row r="1877" spans="1:25" x14ac:dyDescent="0.35">
      <c r="A1877" s="1">
        <v>1289</v>
      </c>
      <c r="B1877" t="s">
        <v>829</v>
      </c>
      <c r="C1877" t="s">
        <v>142</v>
      </c>
      <c r="D1877" t="s">
        <v>230</v>
      </c>
      <c r="G1877">
        <v>27</v>
      </c>
      <c r="H1877" t="s">
        <v>19</v>
      </c>
      <c r="R1877" t="str">
        <f t="shared" si="87"/>
        <v>no</v>
      </c>
      <c r="S1877" t="str">
        <f t="shared" si="88"/>
        <v>no</v>
      </c>
      <c r="T18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7" s="2" t="b">
        <f t="shared" si="89"/>
        <v>1</v>
      </c>
      <c r="V1877" s="2">
        <f>IF(Table4[[#This Row],[linear?]],Table4[[#This Row],[av]],10^(Table4[[#This Row],[av]]/10))</f>
        <v>0</v>
      </c>
      <c r="W1877" s="2">
        <f>IF(Table4[[#This Row],[linear?]],Table4[[#This Row],[av]],10^(Table4[[#This Row],[av]]/10))</f>
        <v>0</v>
      </c>
      <c r="X1877" s="2">
        <f>Table4[[#This Row],[av_lin]]-2*Table4[[#This Row],[std_lin]]</f>
        <v>0</v>
      </c>
      <c r="Y1877" s="2">
        <f>Table4[[#This Row],[av_lin]]+2*Table4[[#This Row],[std_lin]]</f>
        <v>0</v>
      </c>
    </row>
    <row r="1878" spans="1:25" x14ac:dyDescent="0.35">
      <c r="A1878" s="1">
        <v>1290</v>
      </c>
      <c r="B1878" t="s">
        <v>829</v>
      </c>
      <c r="C1878" t="s">
        <v>142</v>
      </c>
      <c r="D1878" t="s">
        <v>231</v>
      </c>
      <c r="E1878" s="2">
        <v>0</v>
      </c>
      <c r="F1878" s="2">
        <v>0</v>
      </c>
      <c r="G1878">
        <v>27</v>
      </c>
      <c r="H1878" t="s">
        <v>19</v>
      </c>
      <c r="M1878" s="2">
        <v>0</v>
      </c>
      <c r="N1878" s="2">
        <v>0</v>
      </c>
      <c r="O1878" s="2">
        <v>0</v>
      </c>
      <c r="R1878" t="str">
        <f t="shared" si="87"/>
        <v>no</v>
      </c>
      <c r="S1878" t="str">
        <f t="shared" si="88"/>
        <v>no</v>
      </c>
      <c r="T18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8" s="2" t="b">
        <f t="shared" si="89"/>
        <v>1</v>
      </c>
      <c r="V1878" s="2">
        <f>IF(Table4[[#This Row],[linear?]],Table4[[#This Row],[av]],10^(Table4[[#This Row],[av]]/10))</f>
        <v>0</v>
      </c>
      <c r="W1878" s="2">
        <f>IF(Table4[[#This Row],[linear?]],Table4[[#This Row],[av]],10^(Table4[[#This Row],[av]]/10))</f>
        <v>0</v>
      </c>
      <c r="X1878" s="2">
        <f>Table4[[#This Row],[av_lin]]-2*Table4[[#This Row],[std_lin]]</f>
        <v>0</v>
      </c>
      <c r="Y1878" s="2">
        <f>Table4[[#This Row],[av_lin]]+2*Table4[[#This Row],[std_lin]]</f>
        <v>0</v>
      </c>
    </row>
    <row r="1879" spans="1:25" x14ac:dyDescent="0.35">
      <c r="A1879" s="1">
        <v>1291</v>
      </c>
      <c r="B1879" t="s">
        <v>829</v>
      </c>
      <c r="C1879" t="s">
        <v>142</v>
      </c>
      <c r="D1879" t="s">
        <v>232</v>
      </c>
      <c r="G1879">
        <v>27</v>
      </c>
      <c r="H1879" t="s">
        <v>19</v>
      </c>
      <c r="R1879" t="str">
        <f t="shared" si="87"/>
        <v>no</v>
      </c>
      <c r="S1879" t="str">
        <f t="shared" si="88"/>
        <v>no</v>
      </c>
      <c r="T18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9" s="2" t="b">
        <f t="shared" si="89"/>
        <v>1</v>
      </c>
      <c r="V1879" s="2">
        <f>IF(Table4[[#This Row],[linear?]],Table4[[#This Row],[av]],10^(Table4[[#This Row],[av]]/10))</f>
        <v>0</v>
      </c>
      <c r="W1879" s="2">
        <f>IF(Table4[[#This Row],[linear?]],Table4[[#This Row],[av]],10^(Table4[[#This Row],[av]]/10))</f>
        <v>0</v>
      </c>
      <c r="X1879" s="2">
        <f>Table4[[#This Row],[av_lin]]-2*Table4[[#This Row],[std_lin]]</f>
        <v>0</v>
      </c>
      <c r="Y1879" s="2">
        <f>Table4[[#This Row],[av_lin]]+2*Table4[[#This Row],[std_lin]]</f>
        <v>0</v>
      </c>
    </row>
    <row r="1880" spans="1:25" x14ac:dyDescent="0.35">
      <c r="A1880" s="1">
        <v>1292</v>
      </c>
      <c r="B1880" t="s">
        <v>829</v>
      </c>
      <c r="C1880" t="s">
        <v>142</v>
      </c>
      <c r="D1880" t="s">
        <v>233</v>
      </c>
      <c r="G1880">
        <v>27</v>
      </c>
      <c r="H1880" t="s">
        <v>19</v>
      </c>
      <c r="R1880" t="str">
        <f t="shared" si="87"/>
        <v>no</v>
      </c>
      <c r="S1880" t="str">
        <f t="shared" si="88"/>
        <v>no</v>
      </c>
      <c r="T18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0" s="2" t="b">
        <f t="shared" si="89"/>
        <v>1</v>
      </c>
      <c r="V1880" s="2">
        <f>IF(Table4[[#This Row],[linear?]],Table4[[#This Row],[av]],10^(Table4[[#This Row],[av]]/10))</f>
        <v>0</v>
      </c>
      <c r="W1880" s="2">
        <f>IF(Table4[[#This Row],[linear?]],Table4[[#This Row],[av]],10^(Table4[[#This Row],[av]]/10))</f>
        <v>0</v>
      </c>
      <c r="X1880" s="2">
        <f>Table4[[#This Row],[av_lin]]-2*Table4[[#This Row],[std_lin]]</f>
        <v>0</v>
      </c>
      <c r="Y1880" s="2">
        <f>Table4[[#This Row],[av_lin]]+2*Table4[[#This Row],[std_lin]]</f>
        <v>0</v>
      </c>
    </row>
    <row r="1881" spans="1:25" x14ac:dyDescent="0.35">
      <c r="A1881" s="1">
        <v>1293</v>
      </c>
      <c r="B1881" t="s">
        <v>829</v>
      </c>
      <c r="C1881" t="s">
        <v>142</v>
      </c>
      <c r="D1881" t="s">
        <v>234</v>
      </c>
      <c r="E1881" s="2">
        <v>0</v>
      </c>
      <c r="F1881" s="2">
        <v>0</v>
      </c>
      <c r="G1881">
        <v>27</v>
      </c>
      <c r="H1881" t="s">
        <v>19</v>
      </c>
      <c r="M1881" s="2">
        <v>0</v>
      </c>
      <c r="N1881" s="2">
        <v>0</v>
      </c>
      <c r="O1881" s="2">
        <v>0</v>
      </c>
      <c r="R1881" t="str">
        <f t="shared" si="87"/>
        <v>no</v>
      </c>
      <c r="S1881" t="str">
        <f t="shared" si="88"/>
        <v>no</v>
      </c>
      <c r="T18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1" s="2" t="b">
        <f t="shared" si="89"/>
        <v>1</v>
      </c>
      <c r="V1881" s="2">
        <f>IF(Table4[[#This Row],[linear?]],Table4[[#This Row],[av]],10^(Table4[[#This Row],[av]]/10))</f>
        <v>0</v>
      </c>
      <c r="W1881" s="2">
        <f>IF(Table4[[#This Row],[linear?]],Table4[[#This Row],[av]],10^(Table4[[#This Row],[av]]/10))</f>
        <v>0</v>
      </c>
      <c r="X1881" s="2">
        <f>Table4[[#This Row],[av_lin]]-2*Table4[[#This Row],[std_lin]]</f>
        <v>0</v>
      </c>
      <c r="Y1881" s="2">
        <f>Table4[[#This Row],[av_lin]]+2*Table4[[#This Row],[std_lin]]</f>
        <v>0</v>
      </c>
    </row>
    <row r="1882" spans="1:25" x14ac:dyDescent="0.35">
      <c r="A1882" s="1">
        <v>1294</v>
      </c>
      <c r="B1882" t="s">
        <v>829</v>
      </c>
      <c r="C1882" t="s">
        <v>142</v>
      </c>
      <c r="D1882" t="s">
        <v>235</v>
      </c>
      <c r="G1882">
        <v>27</v>
      </c>
      <c r="H1882" t="s">
        <v>19</v>
      </c>
      <c r="R1882" t="str">
        <f t="shared" si="87"/>
        <v>no</v>
      </c>
      <c r="S1882" t="str">
        <f t="shared" si="88"/>
        <v>no</v>
      </c>
      <c r="T18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2" s="2" t="b">
        <f t="shared" si="89"/>
        <v>1</v>
      </c>
      <c r="V1882" s="2">
        <f>IF(Table4[[#This Row],[linear?]],Table4[[#This Row],[av]],10^(Table4[[#This Row],[av]]/10))</f>
        <v>0</v>
      </c>
      <c r="W1882" s="2">
        <f>IF(Table4[[#This Row],[linear?]],Table4[[#This Row],[av]],10^(Table4[[#This Row],[av]]/10))</f>
        <v>0</v>
      </c>
      <c r="X1882" s="2">
        <f>Table4[[#This Row],[av_lin]]-2*Table4[[#This Row],[std_lin]]</f>
        <v>0</v>
      </c>
      <c r="Y1882" s="2">
        <f>Table4[[#This Row],[av_lin]]+2*Table4[[#This Row],[std_lin]]</f>
        <v>0</v>
      </c>
    </row>
    <row r="1883" spans="1:25" x14ac:dyDescent="0.35">
      <c r="A1883" s="1">
        <v>1295</v>
      </c>
      <c r="B1883" t="s">
        <v>829</v>
      </c>
      <c r="C1883" t="s">
        <v>142</v>
      </c>
      <c r="D1883" t="s">
        <v>236</v>
      </c>
      <c r="G1883">
        <v>27</v>
      </c>
      <c r="H1883" t="s">
        <v>19</v>
      </c>
      <c r="R1883" t="str">
        <f t="shared" si="87"/>
        <v>no</v>
      </c>
      <c r="S1883" t="str">
        <f t="shared" si="88"/>
        <v>no</v>
      </c>
      <c r="T18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3" s="2" t="b">
        <f t="shared" si="89"/>
        <v>1</v>
      </c>
      <c r="V1883" s="2">
        <f>IF(Table4[[#This Row],[linear?]],Table4[[#This Row],[av]],10^(Table4[[#This Row],[av]]/10))</f>
        <v>0</v>
      </c>
      <c r="W1883" s="2">
        <f>IF(Table4[[#This Row],[linear?]],Table4[[#This Row],[av]],10^(Table4[[#This Row],[av]]/10))</f>
        <v>0</v>
      </c>
      <c r="X1883" s="2">
        <f>Table4[[#This Row],[av_lin]]-2*Table4[[#This Row],[std_lin]]</f>
        <v>0</v>
      </c>
      <c r="Y1883" s="2">
        <f>Table4[[#This Row],[av_lin]]+2*Table4[[#This Row],[std_lin]]</f>
        <v>0</v>
      </c>
    </row>
    <row r="1884" spans="1:25" x14ac:dyDescent="0.35">
      <c r="A1884" s="1">
        <v>1296</v>
      </c>
      <c r="B1884" t="s">
        <v>829</v>
      </c>
      <c r="C1884" t="s">
        <v>142</v>
      </c>
      <c r="D1884" t="s">
        <v>237</v>
      </c>
      <c r="E1884" s="2">
        <v>0</v>
      </c>
      <c r="F1884" s="2">
        <v>0</v>
      </c>
      <c r="G1884">
        <v>27</v>
      </c>
      <c r="H1884" t="s">
        <v>19</v>
      </c>
      <c r="M1884" s="2">
        <v>0</v>
      </c>
      <c r="N1884" s="2">
        <v>0</v>
      </c>
      <c r="O1884" s="2">
        <v>0</v>
      </c>
      <c r="R1884" t="str">
        <f t="shared" si="87"/>
        <v>no</v>
      </c>
      <c r="S1884" t="str">
        <f t="shared" si="88"/>
        <v>no</v>
      </c>
      <c r="T18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4" s="2" t="b">
        <f t="shared" si="89"/>
        <v>1</v>
      </c>
      <c r="V1884" s="2">
        <f>IF(Table4[[#This Row],[linear?]],Table4[[#This Row],[av]],10^(Table4[[#This Row],[av]]/10))</f>
        <v>0</v>
      </c>
      <c r="W1884" s="2">
        <f>IF(Table4[[#This Row],[linear?]],Table4[[#This Row],[av]],10^(Table4[[#This Row],[av]]/10))</f>
        <v>0</v>
      </c>
      <c r="X1884" s="2">
        <f>Table4[[#This Row],[av_lin]]-2*Table4[[#This Row],[std_lin]]</f>
        <v>0</v>
      </c>
      <c r="Y1884" s="2">
        <f>Table4[[#This Row],[av_lin]]+2*Table4[[#This Row],[std_lin]]</f>
        <v>0</v>
      </c>
    </row>
    <row r="1885" spans="1:25" x14ac:dyDescent="0.35">
      <c r="A1885" s="1">
        <v>1297</v>
      </c>
      <c r="B1885" t="s">
        <v>829</v>
      </c>
      <c r="C1885" t="s">
        <v>142</v>
      </c>
      <c r="D1885" t="s">
        <v>238</v>
      </c>
      <c r="G1885">
        <v>27</v>
      </c>
      <c r="H1885" t="s">
        <v>19</v>
      </c>
      <c r="R1885" t="str">
        <f t="shared" si="87"/>
        <v>no</v>
      </c>
      <c r="S1885" t="str">
        <f t="shared" si="88"/>
        <v>no</v>
      </c>
      <c r="T18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5" s="2" t="b">
        <f t="shared" si="89"/>
        <v>1</v>
      </c>
      <c r="V1885" s="2">
        <f>IF(Table4[[#This Row],[linear?]],Table4[[#This Row],[av]],10^(Table4[[#This Row],[av]]/10))</f>
        <v>0</v>
      </c>
      <c r="W1885" s="2">
        <f>IF(Table4[[#This Row],[linear?]],Table4[[#This Row],[av]],10^(Table4[[#This Row],[av]]/10))</f>
        <v>0</v>
      </c>
      <c r="X1885" s="2">
        <f>Table4[[#This Row],[av_lin]]-2*Table4[[#This Row],[std_lin]]</f>
        <v>0</v>
      </c>
      <c r="Y1885" s="2">
        <f>Table4[[#This Row],[av_lin]]+2*Table4[[#This Row],[std_lin]]</f>
        <v>0</v>
      </c>
    </row>
    <row r="1886" spans="1:25" x14ac:dyDescent="0.35">
      <c r="A1886" s="1">
        <v>1298</v>
      </c>
      <c r="B1886" t="s">
        <v>829</v>
      </c>
      <c r="C1886" t="s">
        <v>142</v>
      </c>
      <c r="D1886" t="s">
        <v>239</v>
      </c>
      <c r="G1886">
        <v>27</v>
      </c>
      <c r="H1886" t="s">
        <v>19</v>
      </c>
      <c r="R1886" t="str">
        <f t="shared" si="87"/>
        <v>no</v>
      </c>
      <c r="S1886" t="str">
        <f t="shared" si="88"/>
        <v>no</v>
      </c>
      <c r="T18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6" s="2" t="b">
        <f t="shared" si="89"/>
        <v>1</v>
      </c>
      <c r="V1886" s="2">
        <f>IF(Table4[[#This Row],[linear?]],Table4[[#This Row],[av]],10^(Table4[[#This Row],[av]]/10))</f>
        <v>0</v>
      </c>
      <c r="W1886" s="2">
        <f>IF(Table4[[#This Row],[linear?]],Table4[[#This Row],[av]],10^(Table4[[#This Row],[av]]/10))</f>
        <v>0</v>
      </c>
      <c r="X1886" s="2">
        <f>Table4[[#This Row],[av_lin]]-2*Table4[[#This Row],[std_lin]]</f>
        <v>0</v>
      </c>
      <c r="Y1886" s="2">
        <f>Table4[[#This Row],[av_lin]]+2*Table4[[#This Row],[std_lin]]</f>
        <v>0</v>
      </c>
    </row>
    <row r="1887" spans="1:25" x14ac:dyDescent="0.35">
      <c r="A1887" s="1">
        <v>1299</v>
      </c>
      <c r="B1887" t="s">
        <v>829</v>
      </c>
      <c r="C1887" t="s">
        <v>142</v>
      </c>
      <c r="D1887" t="s">
        <v>240</v>
      </c>
      <c r="E1887" s="2">
        <v>0</v>
      </c>
      <c r="F1887" s="2">
        <v>0</v>
      </c>
      <c r="G1887">
        <v>27</v>
      </c>
      <c r="H1887" t="s">
        <v>19</v>
      </c>
      <c r="M1887" s="2">
        <v>0</v>
      </c>
      <c r="N1887" s="2">
        <v>0</v>
      </c>
      <c r="O1887" s="2">
        <v>0</v>
      </c>
      <c r="R1887" t="str">
        <f t="shared" si="87"/>
        <v>no</v>
      </c>
      <c r="S1887" t="str">
        <f t="shared" si="88"/>
        <v>no</v>
      </c>
      <c r="T18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7" s="2" t="b">
        <f t="shared" si="89"/>
        <v>1</v>
      </c>
      <c r="V1887" s="2">
        <f>IF(Table4[[#This Row],[linear?]],Table4[[#This Row],[av]],10^(Table4[[#This Row],[av]]/10))</f>
        <v>0</v>
      </c>
      <c r="W1887" s="2">
        <f>IF(Table4[[#This Row],[linear?]],Table4[[#This Row],[av]],10^(Table4[[#This Row],[av]]/10))</f>
        <v>0</v>
      </c>
      <c r="X1887" s="2">
        <f>Table4[[#This Row],[av_lin]]-2*Table4[[#This Row],[std_lin]]</f>
        <v>0</v>
      </c>
      <c r="Y1887" s="2">
        <f>Table4[[#This Row],[av_lin]]+2*Table4[[#This Row],[std_lin]]</f>
        <v>0</v>
      </c>
    </row>
    <row r="1888" spans="1:25" x14ac:dyDescent="0.35">
      <c r="A1888" s="1">
        <v>1300</v>
      </c>
      <c r="B1888" t="s">
        <v>829</v>
      </c>
      <c r="C1888" t="s">
        <v>142</v>
      </c>
      <c r="D1888" t="s">
        <v>241</v>
      </c>
      <c r="G1888">
        <v>27</v>
      </c>
      <c r="H1888" t="s">
        <v>19</v>
      </c>
      <c r="R1888" t="str">
        <f t="shared" si="87"/>
        <v>no</v>
      </c>
      <c r="S1888" t="str">
        <f t="shared" si="88"/>
        <v>no</v>
      </c>
      <c r="T18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8" s="2" t="b">
        <f t="shared" si="89"/>
        <v>1</v>
      </c>
      <c r="V1888" s="2">
        <f>IF(Table4[[#This Row],[linear?]],Table4[[#This Row],[av]],10^(Table4[[#This Row],[av]]/10))</f>
        <v>0</v>
      </c>
      <c r="W1888" s="2">
        <f>IF(Table4[[#This Row],[linear?]],Table4[[#This Row],[av]],10^(Table4[[#This Row],[av]]/10))</f>
        <v>0</v>
      </c>
      <c r="X1888" s="2">
        <f>Table4[[#This Row],[av_lin]]-2*Table4[[#This Row],[std_lin]]</f>
        <v>0</v>
      </c>
      <c r="Y1888" s="2">
        <f>Table4[[#This Row],[av_lin]]+2*Table4[[#This Row],[std_lin]]</f>
        <v>0</v>
      </c>
    </row>
    <row r="1889" spans="1:25" x14ac:dyDescent="0.35">
      <c r="A1889" s="1">
        <v>1301</v>
      </c>
      <c r="B1889" t="s">
        <v>829</v>
      </c>
      <c r="C1889" t="s">
        <v>142</v>
      </c>
      <c r="D1889" t="s">
        <v>242</v>
      </c>
      <c r="G1889">
        <v>27</v>
      </c>
      <c r="H1889" t="s">
        <v>19</v>
      </c>
      <c r="R1889" t="str">
        <f t="shared" si="87"/>
        <v>no</v>
      </c>
      <c r="S1889" t="str">
        <f t="shared" si="88"/>
        <v>no</v>
      </c>
      <c r="T18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9" s="2" t="b">
        <f t="shared" si="89"/>
        <v>1</v>
      </c>
      <c r="V1889" s="2">
        <f>IF(Table4[[#This Row],[linear?]],Table4[[#This Row],[av]],10^(Table4[[#This Row],[av]]/10))</f>
        <v>0</v>
      </c>
      <c r="W1889" s="2">
        <f>IF(Table4[[#This Row],[linear?]],Table4[[#This Row],[av]],10^(Table4[[#This Row],[av]]/10))</f>
        <v>0</v>
      </c>
      <c r="X1889" s="2">
        <f>Table4[[#This Row],[av_lin]]-2*Table4[[#This Row],[std_lin]]</f>
        <v>0</v>
      </c>
      <c r="Y1889" s="2">
        <f>Table4[[#This Row],[av_lin]]+2*Table4[[#This Row],[std_lin]]</f>
        <v>0</v>
      </c>
    </row>
    <row r="1890" spans="1:25" x14ac:dyDescent="0.35">
      <c r="A1890" s="1">
        <v>1302</v>
      </c>
      <c r="B1890" t="s">
        <v>829</v>
      </c>
      <c r="C1890" t="s">
        <v>142</v>
      </c>
      <c r="D1890" t="s">
        <v>243</v>
      </c>
      <c r="E1890" s="2">
        <v>0</v>
      </c>
      <c r="F1890" s="2">
        <v>0</v>
      </c>
      <c r="G1890">
        <v>27</v>
      </c>
      <c r="H1890" t="s">
        <v>19</v>
      </c>
      <c r="M1890" s="2">
        <v>0</v>
      </c>
      <c r="N1890" s="2">
        <v>0</v>
      </c>
      <c r="O1890" s="2">
        <v>0</v>
      </c>
      <c r="R1890" t="str">
        <f t="shared" si="87"/>
        <v>no</v>
      </c>
      <c r="S1890" t="str">
        <f t="shared" si="88"/>
        <v>no</v>
      </c>
      <c r="T18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0" s="2" t="b">
        <f t="shared" si="89"/>
        <v>1</v>
      </c>
      <c r="V1890" s="2">
        <f>IF(Table4[[#This Row],[linear?]],Table4[[#This Row],[av]],10^(Table4[[#This Row],[av]]/10))</f>
        <v>0</v>
      </c>
      <c r="W1890" s="2">
        <f>IF(Table4[[#This Row],[linear?]],Table4[[#This Row],[av]],10^(Table4[[#This Row],[av]]/10))</f>
        <v>0</v>
      </c>
      <c r="X1890" s="2">
        <f>Table4[[#This Row],[av_lin]]-2*Table4[[#This Row],[std_lin]]</f>
        <v>0</v>
      </c>
      <c r="Y1890" s="2">
        <f>Table4[[#This Row],[av_lin]]+2*Table4[[#This Row],[std_lin]]</f>
        <v>0</v>
      </c>
    </row>
    <row r="1891" spans="1:25" x14ac:dyDescent="0.35">
      <c r="A1891" s="1">
        <v>1303</v>
      </c>
      <c r="B1891" t="s">
        <v>829</v>
      </c>
      <c r="C1891" t="s">
        <v>142</v>
      </c>
      <c r="D1891" t="s">
        <v>244</v>
      </c>
      <c r="G1891">
        <v>27</v>
      </c>
      <c r="H1891" t="s">
        <v>19</v>
      </c>
      <c r="R1891" t="str">
        <f t="shared" si="87"/>
        <v>no</v>
      </c>
      <c r="S1891" t="str">
        <f t="shared" si="88"/>
        <v>no</v>
      </c>
      <c r="T18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1" s="2" t="b">
        <f t="shared" si="89"/>
        <v>1</v>
      </c>
      <c r="V1891" s="2">
        <f>IF(Table4[[#This Row],[linear?]],Table4[[#This Row],[av]],10^(Table4[[#This Row],[av]]/10))</f>
        <v>0</v>
      </c>
      <c r="W1891" s="2">
        <f>IF(Table4[[#This Row],[linear?]],Table4[[#This Row],[av]],10^(Table4[[#This Row],[av]]/10))</f>
        <v>0</v>
      </c>
      <c r="X1891" s="2">
        <f>Table4[[#This Row],[av_lin]]-2*Table4[[#This Row],[std_lin]]</f>
        <v>0</v>
      </c>
      <c r="Y1891" s="2">
        <f>Table4[[#This Row],[av_lin]]+2*Table4[[#This Row],[std_lin]]</f>
        <v>0</v>
      </c>
    </row>
    <row r="1892" spans="1:25" x14ac:dyDescent="0.35">
      <c r="A1892" s="1">
        <v>1304</v>
      </c>
      <c r="B1892" t="s">
        <v>829</v>
      </c>
      <c r="C1892" t="s">
        <v>142</v>
      </c>
      <c r="D1892" t="s">
        <v>245</v>
      </c>
      <c r="G1892">
        <v>27</v>
      </c>
      <c r="H1892" t="s">
        <v>19</v>
      </c>
      <c r="R1892" t="str">
        <f t="shared" si="87"/>
        <v>no</v>
      </c>
      <c r="S1892" t="str">
        <f t="shared" si="88"/>
        <v>no</v>
      </c>
      <c r="T18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2" s="2" t="b">
        <f t="shared" si="89"/>
        <v>1</v>
      </c>
      <c r="V1892" s="2">
        <f>IF(Table4[[#This Row],[linear?]],Table4[[#This Row],[av]],10^(Table4[[#This Row],[av]]/10))</f>
        <v>0</v>
      </c>
      <c r="W1892" s="2">
        <f>IF(Table4[[#This Row],[linear?]],Table4[[#This Row],[av]],10^(Table4[[#This Row],[av]]/10))</f>
        <v>0</v>
      </c>
      <c r="X1892" s="2">
        <f>Table4[[#This Row],[av_lin]]-2*Table4[[#This Row],[std_lin]]</f>
        <v>0</v>
      </c>
      <c r="Y1892" s="2">
        <f>Table4[[#This Row],[av_lin]]+2*Table4[[#This Row],[std_lin]]</f>
        <v>0</v>
      </c>
    </row>
    <row r="1893" spans="1:25" x14ac:dyDescent="0.35">
      <c r="A1893" s="1">
        <v>1305</v>
      </c>
      <c r="B1893" t="s">
        <v>829</v>
      </c>
      <c r="C1893" t="s">
        <v>142</v>
      </c>
      <c r="D1893" t="s">
        <v>246</v>
      </c>
      <c r="E1893" s="2">
        <v>0</v>
      </c>
      <c r="F1893" s="2">
        <v>0</v>
      </c>
      <c r="G1893">
        <v>27</v>
      </c>
      <c r="H1893" t="s">
        <v>19</v>
      </c>
      <c r="M1893" s="2">
        <v>0</v>
      </c>
      <c r="N1893" s="2">
        <v>0</v>
      </c>
      <c r="O1893" s="2">
        <v>0</v>
      </c>
      <c r="R1893" t="str">
        <f t="shared" si="87"/>
        <v>no</v>
      </c>
      <c r="S1893" t="str">
        <f t="shared" si="88"/>
        <v>no</v>
      </c>
      <c r="T18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3" s="2" t="b">
        <f t="shared" si="89"/>
        <v>1</v>
      </c>
      <c r="V1893" s="2">
        <f>IF(Table4[[#This Row],[linear?]],Table4[[#This Row],[av]],10^(Table4[[#This Row],[av]]/10))</f>
        <v>0</v>
      </c>
      <c r="W1893" s="2">
        <f>IF(Table4[[#This Row],[linear?]],Table4[[#This Row],[av]],10^(Table4[[#This Row],[av]]/10))</f>
        <v>0</v>
      </c>
      <c r="X1893" s="2">
        <f>Table4[[#This Row],[av_lin]]-2*Table4[[#This Row],[std_lin]]</f>
        <v>0</v>
      </c>
      <c r="Y1893" s="2">
        <f>Table4[[#This Row],[av_lin]]+2*Table4[[#This Row],[std_lin]]</f>
        <v>0</v>
      </c>
    </row>
    <row r="1894" spans="1:25" x14ac:dyDescent="0.35">
      <c r="A1894" s="1">
        <v>1306</v>
      </c>
      <c r="B1894" t="s">
        <v>829</v>
      </c>
      <c r="C1894" t="s">
        <v>142</v>
      </c>
      <c r="D1894" t="s">
        <v>247</v>
      </c>
      <c r="G1894">
        <v>27</v>
      </c>
      <c r="H1894" t="s">
        <v>19</v>
      </c>
      <c r="R1894" t="str">
        <f t="shared" si="87"/>
        <v>no</v>
      </c>
      <c r="S1894" t="str">
        <f t="shared" si="88"/>
        <v>no</v>
      </c>
      <c r="T18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4" s="2" t="b">
        <f t="shared" si="89"/>
        <v>1</v>
      </c>
      <c r="V1894" s="2">
        <f>IF(Table4[[#This Row],[linear?]],Table4[[#This Row],[av]],10^(Table4[[#This Row],[av]]/10))</f>
        <v>0</v>
      </c>
      <c r="W1894" s="2">
        <f>IF(Table4[[#This Row],[linear?]],Table4[[#This Row],[av]],10^(Table4[[#This Row],[av]]/10))</f>
        <v>0</v>
      </c>
      <c r="X1894" s="2">
        <f>Table4[[#This Row],[av_lin]]-2*Table4[[#This Row],[std_lin]]</f>
        <v>0</v>
      </c>
      <c r="Y1894" s="2">
        <f>Table4[[#This Row],[av_lin]]+2*Table4[[#This Row],[std_lin]]</f>
        <v>0</v>
      </c>
    </row>
    <row r="1895" spans="1:25" x14ac:dyDescent="0.35">
      <c r="A1895" s="1">
        <v>1307</v>
      </c>
      <c r="B1895" t="s">
        <v>829</v>
      </c>
      <c r="C1895" t="s">
        <v>142</v>
      </c>
      <c r="D1895" t="s">
        <v>248</v>
      </c>
      <c r="G1895">
        <v>27</v>
      </c>
      <c r="H1895" t="s">
        <v>19</v>
      </c>
      <c r="R1895" t="str">
        <f t="shared" si="87"/>
        <v>no</v>
      </c>
      <c r="S1895" t="str">
        <f t="shared" si="88"/>
        <v>no</v>
      </c>
      <c r="T18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5" s="2" t="b">
        <f t="shared" si="89"/>
        <v>1</v>
      </c>
      <c r="V1895" s="2">
        <f>IF(Table4[[#This Row],[linear?]],Table4[[#This Row],[av]],10^(Table4[[#This Row],[av]]/10))</f>
        <v>0</v>
      </c>
      <c r="W1895" s="2">
        <f>IF(Table4[[#This Row],[linear?]],Table4[[#This Row],[av]],10^(Table4[[#This Row],[av]]/10))</f>
        <v>0</v>
      </c>
      <c r="X1895" s="2">
        <f>Table4[[#This Row],[av_lin]]-2*Table4[[#This Row],[std_lin]]</f>
        <v>0</v>
      </c>
      <c r="Y1895" s="2">
        <f>Table4[[#This Row],[av_lin]]+2*Table4[[#This Row],[std_lin]]</f>
        <v>0</v>
      </c>
    </row>
    <row r="1896" spans="1:25" x14ac:dyDescent="0.35">
      <c r="A1896" s="1">
        <v>1308</v>
      </c>
      <c r="B1896" t="s">
        <v>829</v>
      </c>
      <c r="C1896" t="s">
        <v>142</v>
      </c>
      <c r="D1896" t="s">
        <v>249</v>
      </c>
      <c r="E1896" s="2">
        <v>0</v>
      </c>
      <c r="F1896" s="2">
        <v>0</v>
      </c>
      <c r="G1896">
        <v>27</v>
      </c>
      <c r="H1896" t="s">
        <v>19</v>
      </c>
      <c r="M1896" s="2">
        <v>0</v>
      </c>
      <c r="N1896" s="2">
        <v>0</v>
      </c>
      <c r="O1896" s="2">
        <v>0</v>
      </c>
      <c r="R1896" t="str">
        <f t="shared" si="87"/>
        <v>no</v>
      </c>
      <c r="S1896" t="str">
        <f t="shared" si="88"/>
        <v>no</v>
      </c>
      <c r="T18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6" s="2" t="b">
        <f t="shared" si="89"/>
        <v>1</v>
      </c>
      <c r="V1896" s="2">
        <f>IF(Table4[[#This Row],[linear?]],Table4[[#This Row],[av]],10^(Table4[[#This Row],[av]]/10))</f>
        <v>0</v>
      </c>
      <c r="W1896" s="2">
        <f>IF(Table4[[#This Row],[linear?]],Table4[[#This Row],[av]],10^(Table4[[#This Row],[av]]/10))</f>
        <v>0</v>
      </c>
      <c r="X1896" s="2">
        <f>Table4[[#This Row],[av_lin]]-2*Table4[[#This Row],[std_lin]]</f>
        <v>0</v>
      </c>
      <c r="Y1896" s="2">
        <f>Table4[[#This Row],[av_lin]]+2*Table4[[#This Row],[std_lin]]</f>
        <v>0</v>
      </c>
    </row>
    <row r="1897" spans="1:25" x14ac:dyDescent="0.35">
      <c r="A1897" s="1">
        <v>1309</v>
      </c>
      <c r="B1897" t="s">
        <v>829</v>
      </c>
      <c r="C1897" t="s">
        <v>142</v>
      </c>
      <c r="D1897" t="s">
        <v>250</v>
      </c>
      <c r="G1897">
        <v>27</v>
      </c>
      <c r="H1897" t="s">
        <v>19</v>
      </c>
      <c r="R1897" t="str">
        <f t="shared" si="87"/>
        <v>no</v>
      </c>
      <c r="S1897" t="str">
        <f t="shared" si="88"/>
        <v>no</v>
      </c>
      <c r="T18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7" s="2" t="b">
        <f t="shared" si="89"/>
        <v>1</v>
      </c>
      <c r="V1897" s="2">
        <f>IF(Table4[[#This Row],[linear?]],Table4[[#This Row],[av]],10^(Table4[[#This Row],[av]]/10))</f>
        <v>0</v>
      </c>
      <c r="W1897" s="2">
        <f>IF(Table4[[#This Row],[linear?]],Table4[[#This Row],[av]],10^(Table4[[#This Row],[av]]/10))</f>
        <v>0</v>
      </c>
      <c r="X1897" s="2">
        <f>Table4[[#This Row],[av_lin]]-2*Table4[[#This Row],[std_lin]]</f>
        <v>0</v>
      </c>
      <c r="Y1897" s="2">
        <f>Table4[[#This Row],[av_lin]]+2*Table4[[#This Row],[std_lin]]</f>
        <v>0</v>
      </c>
    </row>
    <row r="1898" spans="1:25" x14ac:dyDescent="0.35">
      <c r="A1898" s="1">
        <v>1310</v>
      </c>
      <c r="B1898" t="s">
        <v>829</v>
      </c>
      <c r="C1898" t="s">
        <v>251</v>
      </c>
      <c r="D1898" t="s">
        <v>252</v>
      </c>
      <c r="G1898">
        <v>27</v>
      </c>
      <c r="H1898" t="s">
        <v>19</v>
      </c>
      <c r="R1898" t="str">
        <f t="shared" si="87"/>
        <v>no</v>
      </c>
      <c r="S1898" t="str">
        <f t="shared" si="88"/>
        <v>no</v>
      </c>
      <c r="T18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8" s="2" t="b">
        <f t="shared" si="89"/>
        <v>1</v>
      </c>
      <c r="V1898" s="2">
        <f>IF(Table4[[#This Row],[linear?]],Table4[[#This Row],[av]],10^(Table4[[#This Row],[av]]/10))</f>
        <v>0</v>
      </c>
      <c r="W1898" s="2">
        <f>IF(Table4[[#This Row],[linear?]],Table4[[#This Row],[av]],10^(Table4[[#This Row],[av]]/10))</f>
        <v>0</v>
      </c>
      <c r="X1898" s="2">
        <f>Table4[[#This Row],[av_lin]]-2*Table4[[#This Row],[std_lin]]</f>
        <v>0</v>
      </c>
      <c r="Y1898" s="2">
        <f>Table4[[#This Row],[av_lin]]+2*Table4[[#This Row],[std_lin]]</f>
        <v>0</v>
      </c>
    </row>
    <row r="1899" spans="1:25" x14ac:dyDescent="0.35">
      <c r="A1899" s="1">
        <v>1311</v>
      </c>
      <c r="B1899" t="s">
        <v>829</v>
      </c>
      <c r="C1899" t="s">
        <v>17</v>
      </c>
      <c r="D1899" t="s">
        <v>18</v>
      </c>
      <c r="E1899" s="2">
        <v>7505.680246913581</v>
      </c>
      <c r="F1899" s="2">
        <v>106.5525615452807</v>
      </c>
      <c r="G1899">
        <v>27</v>
      </c>
      <c r="H1899" t="s">
        <v>19</v>
      </c>
      <c r="M1899" s="2">
        <v>7718.7853700041424</v>
      </c>
      <c r="N1899" s="2">
        <v>7292.5751238230196</v>
      </c>
      <c r="O1899" s="2">
        <v>426.21024618112278</v>
      </c>
      <c r="P1899" s="2">
        <v>70.441105667121462</v>
      </c>
      <c r="R1899" t="str">
        <f t="shared" si="87"/>
        <v>no</v>
      </c>
      <c r="S1899" t="str">
        <f t="shared" si="88"/>
        <v>no</v>
      </c>
      <c r="T18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9" s="2" t="b">
        <f t="shared" si="89"/>
        <v>1</v>
      </c>
      <c r="V1899" s="2">
        <f>IF(Table4[[#This Row],[linear?]],Table4[[#This Row],[av]],10^(Table4[[#This Row],[av]]/10))</f>
        <v>7505.680246913581</v>
      </c>
      <c r="W1899" s="2">
        <f>IF(Table4[[#This Row],[linear?]],Table4[[#This Row],[av]],10^(Table4[[#This Row],[av]]/10))</f>
        <v>7505.680246913581</v>
      </c>
      <c r="X1899" s="2">
        <f>Table4[[#This Row],[av_lin]]-2*Table4[[#This Row],[std_lin]]</f>
        <v>-7505.680246913581</v>
      </c>
      <c r="Y1899" s="2">
        <f>Table4[[#This Row],[av_lin]]+2*Table4[[#This Row],[std_lin]]</f>
        <v>22517.040740740744</v>
      </c>
    </row>
    <row r="1900" spans="1:25" x14ac:dyDescent="0.35">
      <c r="A1900" s="1">
        <v>1312</v>
      </c>
      <c r="B1900" t="s">
        <v>829</v>
      </c>
      <c r="C1900" t="s">
        <v>17</v>
      </c>
      <c r="D1900" t="s">
        <v>20</v>
      </c>
      <c r="E1900" s="2">
        <v>1</v>
      </c>
      <c r="F1900" s="2">
        <v>0</v>
      </c>
      <c r="G1900">
        <v>27</v>
      </c>
      <c r="H1900" t="s">
        <v>19</v>
      </c>
      <c r="M1900" s="2">
        <v>1</v>
      </c>
      <c r="N1900" s="2">
        <v>1</v>
      </c>
      <c r="O1900" s="2">
        <v>0</v>
      </c>
      <c r="P1900" s="2" t="s">
        <v>21</v>
      </c>
      <c r="R1900" t="str">
        <f t="shared" si="87"/>
        <v>no</v>
      </c>
      <c r="S1900" t="str">
        <f t="shared" si="88"/>
        <v>no</v>
      </c>
      <c r="T19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0" s="2" t="b">
        <f t="shared" si="89"/>
        <v>1</v>
      </c>
      <c r="V1900" s="2">
        <f>IF(Table4[[#This Row],[linear?]],Table4[[#This Row],[av]],10^(Table4[[#This Row],[av]]/10))</f>
        <v>1</v>
      </c>
      <c r="W1900" s="2">
        <f>IF(Table4[[#This Row],[linear?]],Table4[[#This Row],[av]],10^(Table4[[#This Row],[av]]/10))</f>
        <v>1</v>
      </c>
      <c r="X1900" s="2">
        <f>Table4[[#This Row],[av_lin]]-2*Table4[[#This Row],[std_lin]]</f>
        <v>-1</v>
      </c>
      <c r="Y1900" s="2">
        <f>Table4[[#This Row],[av_lin]]+2*Table4[[#This Row],[std_lin]]</f>
        <v>3</v>
      </c>
    </row>
    <row r="1901" spans="1:25" x14ac:dyDescent="0.35">
      <c r="A1901" s="1">
        <v>1313</v>
      </c>
      <c r="B1901" t="s">
        <v>829</v>
      </c>
      <c r="C1901" t="s">
        <v>17</v>
      </c>
      <c r="D1901" t="s">
        <v>22</v>
      </c>
      <c r="E1901" s="2">
        <v>7510.0259259259255</v>
      </c>
      <c r="F1901" s="2">
        <v>120.0687958220564</v>
      </c>
      <c r="G1901">
        <v>27</v>
      </c>
      <c r="H1901" t="s">
        <v>19</v>
      </c>
      <c r="M1901" s="2">
        <v>7750.1635175700376</v>
      </c>
      <c r="N1901" s="2">
        <v>7269.8883342818126</v>
      </c>
      <c r="O1901" s="2">
        <v>480.27518328822589</v>
      </c>
      <c r="P1901" s="2">
        <v>62.547690884281756</v>
      </c>
      <c r="R1901" t="str">
        <f t="shared" si="87"/>
        <v>no</v>
      </c>
      <c r="S1901" t="str">
        <f t="shared" si="88"/>
        <v>no</v>
      </c>
      <c r="T19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1" s="2" t="b">
        <f t="shared" si="89"/>
        <v>1</v>
      </c>
      <c r="V1901" s="2">
        <f>IF(Table4[[#This Row],[linear?]],Table4[[#This Row],[av]],10^(Table4[[#This Row],[av]]/10))</f>
        <v>7510.0259259259255</v>
      </c>
      <c r="W1901" s="2">
        <f>IF(Table4[[#This Row],[linear?]],Table4[[#This Row],[av]],10^(Table4[[#This Row],[av]]/10))</f>
        <v>7510.0259259259255</v>
      </c>
      <c r="X1901" s="2">
        <f>Table4[[#This Row],[av_lin]]-2*Table4[[#This Row],[std_lin]]</f>
        <v>-7510.0259259259255</v>
      </c>
      <c r="Y1901" s="2">
        <f>Table4[[#This Row],[av_lin]]+2*Table4[[#This Row],[std_lin]]</f>
        <v>22530.077777777777</v>
      </c>
    </row>
    <row r="1902" spans="1:25" x14ac:dyDescent="0.35">
      <c r="A1902" s="1">
        <v>1314</v>
      </c>
      <c r="B1902" t="s">
        <v>829</v>
      </c>
      <c r="C1902" t="s">
        <v>17</v>
      </c>
      <c r="D1902" t="s">
        <v>23</v>
      </c>
      <c r="E1902" s="2">
        <v>1</v>
      </c>
      <c r="F1902" s="2">
        <v>0</v>
      </c>
      <c r="G1902">
        <v>27</v>
      </c>
      <c r="H1902" t="s">
        <v>19</v>
      </c>
      <c r="M1902" s="2">
        <v>1</v>
      </c>
      <c r="N1902" s="2">
        <v>1</v>
      </c>
      <c r="O1902" s="2">
        <v>0</v>
      </c>
      <c r="P1902" s="2" t="s">
        <v>21</v>
      </c>
      <c r="R1902" t="str">
        <f t="shared" si="87"/>
        <v>no</v>
      </c>
      <c r="S1902" t="str">
        <f t="shared" si="88"/>
        <v>no</v>
      </c>
      <c r="T19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2" s="2" t="b">
        <f t="shared" si="89"/>
        <v>1</v>
      </c>
      <c r="V1902" s="2">
        <f>IF(Table4[[#This Row],[linear?]],Table4[[#This Row],[av]],10^(Table4[[#This Row],[av]]/10))</f>
        <v>1</v>
      </c>
      <c r="W1902" s="2">
        <f>IF(Table4[[#This Row],[linear?]],Table4[[#This Row],[av]],10^(Table4[[#This Row],[av]]/10))</f>
        <v>1</v>
      </c>
      <c r="X1902" s="2">
        <f>Table4[[#This Row],[av_lin]]-2*Table4[[#This Row],[std_lin]]</f>
        <v>-1</v>
      </c>
      <c r="Y1902" s="2">
        <f>Table4[[#This Row],[av_lin]]+2*Table4[[#This Row],[std_lin]]</f>
        <v>3</v>
      </c>
    </row>
    <row r="1903" spans="1:25" x14ac:dyDescent="0.35">
      <c r="A1903" s="1">
        <v>1315</v>
      </c>
      <c r="B1903" t="s">
        <v>829</v>
      </c>
      <c r="C1903" t="s">
        <v>17</v>
      </c>
      <c r="D1903" t="s">
        <v>24</v>
      </c>
      <c r="E1903" s="2">
        <v>7646.103703703704</v>
      </c>
      <c r="F1903" s="2">
        <v>122.94959945318971</v>
      </c>
      <c r="G1903">
        <v>27</v>
      </c>
      <c r="H1903" t="s">
        <v>19</v>
      </c>
      <c r="M1903" s="2">
        <v>7892.0029026100838</v>
      </c>
      <c r="N1903" s="2">
        <v>7400.2045047973243</v>
      </c>
      <c r="O1903" s="2">
        <v>491.7983978127595</v>
      </c>
      <c r="P1903" s="2">
        <v>62.188927314194189</v>
      </c>
      <c r="R1903" t="str">
        <f t="shared" si="87"/>
        <v>no</v>
      </c>
      <c r="S1903" t="str">
        <f t="shared" si="88"/>
        <v>no</v>
      </c>
      <c r="T19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3" s="2" t="b">
        <f t="shared" si="89"/>
        <v>1</v>
      </c>
      <c r="V1903" s="2">
        <f>IF(Table4[[#This Row],[linear?]],Table4[[#This Row],[av]],10^(Table4[[#This Row],[av]]/10))</f>
        <v>7646.103703703704</v>
      </c>
      <c r="W1903" s="2">
        <f>IF(Table4[[#This Row],[linear?]],Table4[[#This Row],[av]],10^(Table4[[#This Row],[av]]/10))</f>
        <v>7646.103703703704</v>
      </c>
      <c r="X1903" s="2">
        <f>Table4[[#This Row],[av_lin]]-2*Table4[[#This Row],[std_lin]]</f>
        <v>-7646.103703703704</v>
      </c>
      <c r="Y1903" s="2">
        <f>Table4[[#This Row],[av_lin]]+2*Table4[[#This Row],[std_lin]]</f>
        <v>22938.311111111114</v>
      </c>
    </row>
    <row r="1904" spans="1:25" x14ac:dyDescent="0.35">
      <c r="A1904" s="1">
        <v>1316</v>
      </c>
      <c r="B1904" t="s">
        <v>829</v>
      </c>
      <c r="C1904" t="s">
        <v>17</v>
      </c>
      <c r="D1904" t="s">
        <v>25</v>
      </c>
      <c r="E1904" s="2">
        <v>1</v>
      </c>
      <c r="F1904" s="2">
        <v>0</v>
      </c>
      <c r="G1904">
        <v>27</v>
      </c>
      <c r="H1904" t="s">
        <v>19</v>
      </c>
      <c r="M1904" s="2">
        <v>1</v>
      </c>
      <c r="N1904" s="2">
        <v>1</v>
      </c>
      <c r="O1904" s="2">
        <v>0</v>
      </c>
      <c r="P1904" s="2" t="s">
        <v>21</v>
      </c>
      <c r="R1904" t="str">
        <f t="shared" si="87"/>
        <v>no</v>
      </c>
      <c r="S1904" t="str">
        <f t="shared" si="88"/>
        <v>no</v>
      </c>
      <c r="T19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4" s="2" t="b">
        <f t="shared" si="89"/>
        <v>1</v>
      </c>
      <c r="V1904" s="2">
        <f>IF(Table4[[#This Row],[linear?]],Table4[[#This Row],[av]],10^(Table4[[#This Row],[av]]/10))</f>
        <v>1</v>
      </c>
      <c r="W1904" s="2">
        <f>IF(Table4[[#This Row],[linear?]],Table4[[#This Row],[av]],10^(Table4[[#This Row],[av]]/10))</f>
        <v>1</v>
      </c>
      <c r="X1904" s="2">
        <f>Table4[[#This Row],[av_lin]]-2*Table4[[#This Row],[std_lin]]</f>
        <v>-1</v>
      </c>
      <c r="Y1904" s="2">
        <f>Table4[[#This Row],[av_lin]]+2*Table4[[#This Row],[std_lin]]</f>
        <v>3</v>
      </c>
    </row>
    <row r="1905" spans="1:25" x14ac:dyDescent="0.35">
      <c r="A1905" s="1">
        <v>1317</v>
      </c>
      <c r="B1905" t="s">
        <v>829</v>
      </c>
      <c r="C1905" t="s">
        <v>17</v>
      </c>
      <c r="D1905" t="s">
        <v>26</v>
      </c>
      <c r="E1905" s="2">
        <v>7589.2777777777783</v>
      </c>
      <c r="F1905" s="2">
        <v>102.3574193861098</v>
      </c>
      <c r="G1905">
        <v>27</v>
      </c>
      <c r="H1905" t="s">
        <v>19</v>
      </c>
      <c r="M1905" s="2">
        <v>7793.9926165499983</v>
      </c>
      <c r="N1905" s="2">
        <v>7384.5629390055583</v>
      </c>
      <c r="O1905" s="2">
        <v>409.42967754443998</v>
      </c>
      <c r="P1905" s="2">
        <v>74.144872187034309</v>
      </c>
      <c r="R1905" t="str">
        <f t="shared" si="87"/>
        <v>no</v>
      </c>
      <c r="S1905" t="str">
        <f t="shared" si="88"/>
        <v>no</v>
      </c>
      <c r="T19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5" s="2" t="b">
        <f t="shared" si="89"/>
        <v>1</v>
      </c>
      <c r="V1905" s="2">
        <f>IF(Table4[[#This Row],[linear?]],Table4[[#This Row],[av]],10^(Table4[[#This Row],[av]]/10))</f>
        <v>7589.2777777777783</v>
      </c>
      <c r="W1905" s="2">
        <f>IF(Table4[[#This Row],[linear?]],Table4[[#This Row],[av]],10^(Table4[[#This Row],[av]]/10))</f>
        <v>7589.2777777777783</v>
      </c>
      <c r="X1905" s="2">
        <f>Table4[[#This Row],[av_lin]]-2*Table4[[#This Row],[std_lin]]</f>
        <v>-7589.2777777777783</v>
      </c>
      <c r="Y1905" s="2">
        <f>Table4[[#This Row],[av_lin]]+2*Table4[[#This Row],[std_lin]]</f>
        <v>22767.833333333336</v>
      </c>
    </row>
    <row r="1906" spans="1:25" x14ac:dyDescent="0.35">
      <c r="A1906" s="1">
        <v>1318</v>
      </c>
      <c r="B1906" t="s">
        <v>829</v>
      </c>
      <c r="C1906" t="s">
        <v>17</v>
      </c>
      <c r="D1906" t="s">
        <v>27</v>
      </c>
      <c r="E1906" s="2">
        <v>1</v>
      </c>
      <c r="F1906" s="2">
        <v>0</v>
      </c>
      <c r="G1906">
        <v>27</v>
      </c>
      <c r="H1906" t="s">
        <v>19</v>
      </c>
      <c r="M1906" s="2">
        <v>1</v>
      </c>
      <c r="N1906" s="2">
        <v>1</v>
      </c>
      <c r="O1906" s="2">
        <v>0</v>
      </c>
      <c r="P1906" s="2" t="s">
        <v>21</v>
      </c>
      <c r="R1906" t="str">
        <f t="shared" si="87"/>
        <v>no</v>
      </c>
      <c r="S1906" t="str">
        <f t="shared" si="88"/>
        <v>no</v>
      </c>
      <c r="T19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6" s="2" t="b">
        <f t="shared" si="89"/>
        <v>1</v>
      </c>
      <c r="V1906" s="2">
        <f>IF(Table4[[#This Row],[linear?]],Table4[[#This Row],[av]],10^(Table4[[#This Row],[av]]/10))</f>
        <v>1</v>
      </c>
      <c r="W1906" s="2">
        <f>IF(Table4[[#This Row],[linear?]],Table4[[#This Row],[av]],10^(Table4[[#This Row],[av]]/10))</f>
        <v>1</v>
      </c>
      <c r="X1906" s="2">
        <f>Table4[[#This Row],[av_lin]]-2*Table4[[#This Row],[std_lin]]</f>
        <v>-1</v>
      </c>
      <c r="Y1906" s="2">
        <f>Table4[[#This Row],[av_lin]]+2*Table4[[#This Row],[std_lin]]</f>
        <v>3</v>
      </c>
    </row>
    <row r="1907" spans="1:25" x14ac:dyDescent="0.35">
      <c r="A1907" s="1">
        <v>1319</v>
      </c>
      <c r="B1907" t="s">
        <v>829</v>
      </c>
      <c r="C1907" t="s">
        <v>17</v>
      </c>
      <c r="D1907" t="s">
        <v>28</v>
      </c>
      <c r="E1907" s="2">
        <v>7537.7888888888883</v>
      </c>
      <c r="F1907" s="2">
        <v>104.3043445895474</v>
      </c>
      <c r="G1907">
        <v>27</v>
      </c>
      <c r="H1907" t="s">
        <v>19</v>
      </c>
      <c r="M1907" s="2">
        <v>7746.397578067983</v>
      </c>
      <c r="N1907" s="2">
        <v>7329.1801997097937</v>
      </c>
      <c r="O1907" s="2">
        <v>417.21737835818931</v>
      </c>
      <c r="P1907" s="2">
        <v>72.267257117152425</v>
      </c>
      <c r="R1907" t="str">
        <f t="shared" si="87"/>
        <v>no</v>
      </c>
      <c r="S1907" t="str">
        <f t="shared" si="88"/>
        <v>no</v>
      </c>
      <c r="T19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7" s="2" t="b">
        <f t="shared" si="89"/>
        <v>1</v>
      </c>
      <c r="V1907" s="2">
        <f>IF(Table4[[#This Row],[linear?]],Table4[[#This Row],[av]],10^(Table4[[#This Row],[av]]/10))</f>
        <v>7537.7888888888883</v>
      </c>
      <c r="W1907" s="2">
        <f>IF(Table4[[#This Row],[linear?]],Table4[[#This Row],[av]],10^(Table4[[#This Row],[av]]/10))</f>
        <v>7537.7888888888883</v>
      </c>
      <c r="X1907" s="2">
        <f>Table4[[#This Row],[av_lin]]-2*Table4[[#This Row],[std_lin]]</f>
        <v>-7537.7888888888883</v>
      </c>
      <c r="Y1907" s="2">
        <f>Table4[[#This Row],[av_lin]]+2*Table4[[#This Row],[std_lin]]</f>
        <v>22613.366666666665</v>
      </c>
    </row>
    <row r="1908" spans="1:25" x14ac:dyDescent="0.35">
      <c r="A1908" s="1">
        <v>1320</v>
      </c>
      <c r="B1908" t="s">
        <v>829</v>
      </c>
      <c r="C1908" t="s">
        <v>17</v>
      </c>
      <c r="D1908" t="s">
        <v>29</v>
      </c>
      <c r="E1908" s="2">
        <v>1</v>
      </c>
      <c r="F1908" s="2">
        <v>0</v>
      </c>
      <c r="G1908">
        <v>27</v>
      </c>
      <c r="H1908" t="s">
        <v>19</v>
      </c>
      <c r="M1908" s="2">
        <v>1</v>
      </c>
      <c r="N1908" s="2">
        <v>1</v>
      </c>
      <c r="O1908" s="2">
        <v>0</v>
      </c>
      <c r="P1908" s="2" t="s">
        <v>21</v>
      </c>
      <c r="R1908" t="str">
        <f t="shared" si="87"/>
        <v>no</v>
      </c>
      <c r="S1908" t="str">
        <f t="shared" si="88"/>
        <v>no</v>
      </c>
      <c r="T19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8" s="2" t="b">
        <f t="shared" si="89"/>
        <v>1</v>
      </c>
      <c r="V1908" s="2">
        <f>IF(Table4[[#This Row],[linear?]],Table4[[#This Row],[av]],10^(Table4[[#This Row],[av]]/10))</f>
        <v>1</v>
      </c>
      <c r="W1908" s="2">
        <f>IF(Table4[[#This Row],[linear?]],Table4[[#This Row],[av]],10^(Table4[[#This Row],[av]]/10))</f>
        <v>1</v>
      </c>
      <c r="X1908" s="2">
        <f>Table4[[#This Row],[av_lin]]-2*Table4[[#This Row],[std_lin]]</f>
        <v>-1</v>
      </c>
      <c r="Y1908" s="2">
        <f>Table4[[#This Row],[av_lin]]+2*Table4[[#This Row],[std_lin]]</f>
        <v>3</v>
      </c>
    </row>
    <row r="1909" spans="1:25" x14ac:dyDescent="0.35">
      <c r="A1909" s="1">
        <v>1321</v>
      </c>
      <c r="B1909" t="s">
        <v>829</v>
      </c>
      <c r="C1909" t="s">
        <v>17</v>
      </c>
      <c r="D1909" t="s">
        <v>30</v>
      </c>
      <c r="E1909" s="2">
        <v>7578.4901234567906</v>
      </c>
      <c r="F1909" s="2">
        <v>124.3090071644245</v>
      </c>
      <c r="G1909">
        <v>27</v>
      </c>
      <c r="H1909" t="s">
        <v>19</v>
      </c>
      <c r="M1909" s="2">
        <v>7827.1081377856399</v>
      </c>
      <c r="N1909" s="2">
        <v>7329.8721091279413</v>
      </c>
      <c r="O1909" s="2">
        <v>497.23602865769863</v>
      </c>
      <c r="P1909" s="2">
        <v>60.964931635506197</v>
      </c>
      <c r="R1909" t="str">
        <f t="shared" si="87"/>
        <v>no</v>
      </c>
      <c r="S1909" t="str">
        <f t="shared" si="88"/>
        <v>no</v>
      </c>
      <c r="T19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9" s="2" t="b">
        <f t="shared" si="89"/>
        <v>1</v>
      </c>
      <c r="V1909" s="2">
        <f>IF(Table4[[#This Row],[linear?]],Table4[[#This Row],[av]],10^(Table4[[#This Row],[av]]/10))</f>
        <v>7578.4901234567906</v>
      </c>
      <c r="W1909" s="2">
        <f>IF(Table4[[#This Row],[linear?]],Table4[[#This Row],[av]],10^(Table4[[#This Row],[av]]/10))</f>
        <v>7578.4901234567906</v>
      </c>
      <c r="X1909" s="2">
        <f>Table4[[#This Row],[av_lin]]-2*Table4[[#This Row],[std_lin]]</f>
        <v>-7578.4901234567906</v>
      </c>
      <c r="Y1909" s="2">
        <f>Table4[[#This Row],[av_lin]]+2*Table4[[#This Row],[std_lin]]</f>
        <v>22735.470370370371</v>
      </c>
    </row>
    <row r="1910" spans="1:25" x14ac:dyDescent="0.35">
      <c r="A1910" s="1">
        <v>1322</v>
      </c>
      <c r="B1910" t="s">
        <v>829</v>
      </c>
      <c r="C1910" t="s">
        <v>17</v>
      </c>
      <c r="D1910" t="s">
        <v>31</v>
      </c>
      <c r="E1910" s="2">
        <v>1</v>
      </c>
      <c r="F1910" s="2">
        <v>0</v>
      </c>
      <c r="G1910">
        <v>27</v>
      </c>
      <c r="H1910" t="s">
        <v>19</v>
      </c>
      <c r="M1910" s="2">
        <v>1</v>
      </c>
      <c r="N1910" s="2">
        <v>1</v>
      </c>
      <c r="O1910" s="2">
        <v>0</v>
      </c>
      <c r="P1910" s="2" t="s">
        <v>21</v>
      </c>
      <c r="R1910" t="str">
        <f t="shared" si="87"/>
        <v>no</v>
      </c>
      <c r="S1910" t="str">
        <f t="shared" si="88"/>
        <v>no</v>
      </c>
      <c r="T19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0" s="2" t="b">
        <f t="shared" si="89"/>
        <v>1</v>
      </c>
      <c r="V1910" s="2">
        <f>IF(Table4[[#This Row],[linear?]],Table4[[#This Row],[av]],10^(Table4[[#This Row],[av]]/10))</f>
        <v>1</v>
      </c>
      <c r="W1910" s="2">
        <f>IF(Table4[[#This Row],[linear?]],Table4[[#This Row],[av]],10^(Table4[[#This Row],[av]]/10))</f>
        <v>1</v>
      </c>
      <c r="X1910" s="2">
        <f>Table4[[#This Row],[av_lin]]-2*Table4[[#This Row],[std_lin]]</f>
        <v>-1</v>
      </c>
      <c r="Y1910" s="2">
        <f>Table4[[#This Row],[av_lin]]+2*Table4[[#This Row],[std_lin]]</f>
        <v>3</v>
      </c>
    </row>
    <row r="1911" spans="1:25" x14ac:dyDescent="0.35">
      <c r="A1911" s="1">
        <v>1323</v>
      </c>
      <c r="B1911" t="s">
        <v>829</v>
      </c>
      <c r="C1911" t="s">
        <v>17</v>
      </c>
      <c r="D1911" t="s">
        <v>32</v>
      </c>
      <c r="E1911" s="2">
        <v>7584.2345679012342</v>
      </c>
      <c r="F1911" s="2">
        <v>98.195748181833679</v>
      </c>
      <c r="G1911">
        <v>27</v>
      </c>
      <c r="H1911" t="s">
        <v>19</v>
      </c>
      <c r="M1911" s="2">
        <v>7780.6260642649013</v>
      </c>
      <c r="N1911" s="2">
        <v>7387.8430715375671</v>
      </c>
      <c r="O1911" s="2">
        <v>392.7829927273342</v>
      </c>
      <c r="P1911" s="2">
        <v>77.235875364553976</v>
      </c>
      <c r="R1911" t="str">
        <f t="shared" si="87"/>
        <v>no</v>
      </c>
      <c r="S1911" t="str">
        <f t="shared" si="88"/>
        <v>no</v>
      </c>
      <c r="T19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1" s="2" t="b">
        <f t="shared" si="89"/>
        <v>1</v>
      </c>
      <c r="V1911" s="2">
        <f>IF(Table4[[#This Row],[linear?]],Table4[[#This Row],[av]],10^(Table4[[#This Row],[av]]/10))</f>
        <v>7584.2345679012342</v>
      </c>
      <c r="W1911" s="2">
        <f>IF(Table4[[#This Row],[linear?]],Table4[[#This Row],[av]],10^(Table4[[#This Row],[av]]/10))</f>
        <v>7584.2345679012342</v>
      </c>
      <c r="X1911" s="2">
        <f>Table4[[#This Row],[av_lin]]-2*Table4[[#This Row],[std_lin]]</f>
        <v>-7584.2345679012342</v>
      </c>
      <c r="Y1911" s="2">
        <f>Table4[[#This Row],[av_lin]]+2*Table4[[#This Row],[std_lin]]</f>
        <v>22752.703703703701</v>
      </c>
    </row>
    <row r="1912" spans="1:25" x14ac:dyDescent="0.35">
      <c r="A1912" s="1">
        <v>1324</v>
      </c>
      <c r="B1912" t="s">
        <v>829</v>
      </c>
      <c r="C1912" t="s">
        <v>17</v>
      </c>
      <c r="D1912" t="s">
        <v>33</v>
      </c>
      <c r="E1912" s="2">
        <v>1</v>
      </c>
      <c r="F1912" s="2">
        <v>0</v>
      </c>
      <c r="G1912">
        <v>27</v>
      </c>
      <c r="H1912" t="s">
        <v>19</v>
      </c>
      <c r="M1912" s="2">
        <v>1</v>
      </c>
      <c r="N1912" s="2">
        <v>1</v>
      </c>
      <c r="O1912" s="2">
        <v>0</v>
      </c>
      <c r="P1912" s="2" t="s">
        <v>21</v>
      </c>
      <c r="R1912" t="str">
        <f t="shared" si="87"/>
        <v>no</v>
      </c>
      <c r="S1912" t="str">
        <f t="shared" si="88"/>
        <v>no</v>
      </c>
      <c r="T19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2" s="2" t="b">
        <f t="shared" si="89"/>
        <v>1</v>
      </c>
      <c r="V1912" s="2">
        <f>IF(Table4[[#This Row],[linear?]],Table4[[#This Row],[av]],10^(Table4[[#This Row],[av]]/10))</f>
        <v>1</v>
      </c>
      <c r="W1912" s="2">
        <f>IF(Table4[[#This Row],[linear?]],Table4[[#This Row],[av]],10^(Table4[[#This Row],[av]]/10))</f>
        <v>1</v>
      </c>
      <c r="X1912" s="2">
        <f>Table4[[#This Row],[av_lin]]-2*Table4[[#This Row],[std_lin]]</f>
        <v>-1</v>
      </c>
      <c r="Y1912" s="2">
        <f>Table4[[#This Row],[av_lin]]+2*Table4[[#This Row],[std_lin]]</f>
        <v>3</v>
      </c>
    </row>
    <row r="1913" spans="1:25" x14ac:dyDescent="0.35">
      <c r="A1913" s="1">
        <v>1325</v>
      </c>
      <c r="B1913" t="s">
        <v>829</v>
      </c>
      <c r="C1913" t="s">
        <v>17</v>
      </c>
      <c r="D1913" t="s">
        <v>34</v>
      </c>
      <c r="E1913" s="2">
        <v>7529.2123456790123</v>
      </c>
      <c r="F1913" s="2">
        <v>94.080522445586965</v>
      </c>
      <c r="G1913">
        <v>27</v>
      </c>
      <c r="H1913" t="s">
        <v>19</v>
      </c>
      <c r="M1913" s="2">
        <v>7717.3733905701874</v>
      </c>
      <c r="N1913" s="2">
        <v>7341.051300787838</v>
      </c>
      <c r="O1913" s="2">
        <v>376.32208978234848</v>
      </c>
      <c r="P1913" s="2">
        <v>80.029448710105299</v>
      </c>
      <c r="R1913" t="str">
        <f t="shared" si="87"/>
        <v>no</v>
      </c>
      <c r="S1913" t="str">
        <f t="shared" si="88"/>
        <v>no</v>
      </c>
      <c r="T19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3" s="2" t="b">
        <f t="shared" si="89"/>
        <v>1</v>
      </c>
      <c r="V1913" s="2">
        <f>IF(Table4[[#This Row],[linear?]],Table4[[#This Row],[av]],10^(Table4[[#This Row],[av]]/10))</f>
        <v>7529.2123456790123</v>
      </c>
      <c r="W1913" s="2">
        <f>IF(Table4[[#This Row],[linear?]],Table4[[#This Row],[av]],10^(Table4[[#This Row],[av]]/10))</f>
        <v>7529.2123456790123</v>
      </c>
      <c r="X1913" s="2">
        <f>Table4[[#This Row],[av_lin]]-2*Table4[[#This Row],[std_lin]]</f>
        <v>-7529.2123456790123</v>
      </c>
      <c r="Y1913" s="2">
        <f>Table4[[#This Row],[av_lin]]+2*Table4[[#This Row],[std_lin]]</f>
        <v>22587.637037037035</v>
      </c>
    </row>
    <row r="1914" spans="1:25" x14ac:dyDescent="0.35">
      <c r="A1914" s="1">
        <v>1326</v>
      </c>
      <c r="B1914" t="s">
        <v>829</v>
      </c>
      <c r="C1914" t="s">
        <v>17</v>
      </c>
      <c r="D1914" t="s">
        <v>35</v>
      </c>
      <c r="E1914" s="2">
        <v>1</v>
      </c>
      <c r="F1914" s="2">
        <v>0</v>
      </c>
      <c r="G1914">
        <v>27</v>
      </c>
      <c r="H1914" t="s">
        <v>19</v>
      </c>
      <c r="M1914" s="2">
        <v>1</v>
      </c>
      <c r="N1914" s="2">
        <v>1</v>
      </c>
      <c r="O1914" s="2">
        <v>0</v>
      </c>
      <c r="P1914" s="2" t="s">
        <v>21</v>
      </c>
      <c r="R1914" t="str">
        <f t="shared" si="87"/>
        <v>no</v>
      </c>
      <c r="S1914" t="str">
        <f t="shared" si="88"/>
        <v>no</v>
      </c>
      <c r="T19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4" s="2" t="b">
        <f t="shared" si="89"/>
        <v>1</v>
      </c>
      <c r="V1914" s="2">
        <f>IF(Table4[[#This Row],[linear?]],Table4[[#This Row],[av]],10^(Table4[[#This Row],[av]]/10))</f>
        <v>1</v>
      </c>
      <c r="W1914" s="2">
        <f>IF(Table4[[#This Row],[linear?]],Table4[[#This Row],[av]],10^(Table4[[#This Row],[av]]/10))</f>
        <v>1</v>
      </c>
      <c r="X1914" s="2">
        <f>Table4[[#This Row],[av_lin]]-2*Table4[[#This Row],[std_lin]]</f>
        <v>-1</v>
      </c>
      <c r="Y1914" s="2">
        <f>Table4[[#This Row],[av_lin]]+2*Table4[[#This Row],[std_lin]]</f>
        <v>3</v>
      </c>
    </row>
    <row r="1915" spans="1:25" x14ac:dyDescent="0.35">
      <c r="A1915" s="1">
        <v>1327</v>
      </c>
      <c r="B1915" t="s">
        <v>829</v>
      </c>
      <c r="C1915" t="s">
        <v>17</v>
      </c>
      <c r="D1915" t="s">
        <v>36</v>
      </c>
      <c r="E1915" s="2">
        <v>2.924081133557801</v>
      </c>
      <c r="F1915" s="2">
        <v>3.3567208840053382E-2</v>
      </c>
      <c r="G1915">
        <v>27</v>
      </c>
      <c r="H1915" t="s">
        <v>19</v>
      </c>
      <c r="M1915" s="2">
        <v>2.9912155512379082</v>
      </c>
      <c r="N1915" s="2">
        <v>2.8569467158776942</v>
      </c>
      <c r="O1915" s="2">
        <v>0.1342688353602135</v>
      </c>
      <c r="P1915" s="2">
        <v>87.111238455688977</v>
      </c>
      <c r="R1915" t="str">
        <f t="shared" si="87"/>
        <v>no</v>
      </c>
      <c r="S1915" t="str">
        <f t="shared" si="88"/>
        <v>no</v>
      </c>
      <c r="T19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5" s="2" t="b">
        <f t="shared" si="89"/>
        <v>1</v>
      </c>
      <c r="V1915" s="2">
        <f>IF(Table4[[#This Row],[linear?]],Table4[[#This Row],[av]],10^(Table4[[#This Row],[av]]/10))</f>
        <v>2.924081133557801</v>
      </c>
      <c r="W1915" s="2">
        <f>IF(Table4[[#This Row],[linear?]],Table4[[#This Row],[av]],10^(Table4[[#This Row],[av]]/10))</f>
        <v>2.924081133557801</v>
      </c>
      <c r="X1915" s="2">
        <f>Table4[[#This Row],[av_lin]]-2*Table4[[#This Row],[std_lin]]</f>
        <v>-2.924081133557801</v>
      </c>
      <c r="Y1915" s="2">
        <f>Table4[[#This Row],[av_lin]]+2*Table4[[#This Row],[std_lin]]</f>
        <v>8.7722434006734034</v>
      </c>
    </row>
    <row r="1916" spans="1:25" x14ac:dyDescent="0.35">
      <c r="A1916" s="1">
        <v>1328</v>
      </c>
      <c r="B1916" t="s">
        <v>829</v>
      </c>
      <c r="C1916" t="s">
        <v>17</v>
      </c>
      <c r="D1916" t="s">
        <v>37</v>
      </c>
      <c r="E1916" s="2">
        <v>23.90660653198653</v>
      </c>
      <c r="F1916" s="2">
        <v>0.1404465177916509</v>
      </c>
      <c r="G1916">
        <v>27</v>
      </c>
      <c r="H1916" t="s">
        <v>19</v>
      </c>
      <c r="M1916" s="2">
        <v>24.18749956756983</v>
      </c>
      <c r="N1916" s="2">
        <v>23.625713496403229</v>
      </c>
      <c r="O1916" s="2">
        <v>0.56178607116660118</v>
      </c>
      <c r="P1916" s="2">
        <v>170.21857791769119</v>
      </c>
      <c r="R1916" t="str">
        <f t="shared" si="87"/>
        <v>no</v>
      </c>
      <c r="S1916" t="str">
        <f t="shared" si="88"/>
        <v>no</v>
      </c>
      <c r="T19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6" s="2" t="b">
        <f t="shared" si="89"/>
        <v>1</v>
      </c>
      <c r="V1916" s="2">
        <f>IF(Table4[[#This Row],[linear?]],Table4[[#This Row],[av]],10^(Table4[[#This Row],[av]]/10))</f>
        <v>23.90660653198653</v>
      </c>
      <c r="W1916" s="2">
        <f>IF(Table4[[#This Row],[linear?]],Table4[[#This Row],[av]],10^(Table4[[#This Row],[av]]/10))</f>
        <v>23.90660653198653</v>
      </c>
      <c r="X1916" s="2">
        <f>Table4[[#This Row],[av_lin]]-2*Table4[[#This Row],[std_lin]]</f>
        <v>-23.90660653198653</v>
      </c>
      <c r="Y1916" s="2">
        <f>Table4[[#This Row],[av_lin]]+2*Table4[[#This Row],[std_lin]]</f>
        <v>71.719819595959592</v>
      </c>
    </row>
    <row r="1917" spans="1:25" x14ac:dyDescent="0.35">
      <c r="A1917" s="1">
        <v>1329</v>
      </c>
      <c r="B1917" t="s">
        <v>829</v>
      </c>
      <c r="C1917" t="s">
        <v>17</v>
      </c>
      <c r="D1917" t="s">
        <v>38</v>
      </c>
      <c r="E1917" s="2">
        <v>9.7833759820426497E-2</v>
      </c>
      <c r="F1917" s="2">
        <v>1.089698849065603E-2</v>
      </c>
      <c r="G1917">
        <v>27</v>
      </c>
      <c r="H1917" t="s">
        <v>19</v>
      </c>
      <c r="M1917" s="2">
        <v>0.11962773680173849</v>
      </c>
      <c r="N1917" s="2">
        <v>7.6039782839114445E-2</v>
      </c>
      <c r="O1917" s="2">
        <v>4.3587953962624097E-2</v>
      </c>
      <c r="P1917" s="2">
        <v>8.9780547996648039</v>
      </c>
      <c r="R1917" t="str">
        <f t="shared" si="87"/>
        <v>no</v>
      </c>
      <c r="S1917" t="str">
        <f t="shared" si="88"/>
        <v>no</v>
      </c>
      <c r="T19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7" s="2" t="b">
        <f t="shared" si="89"/>
        <v>1</v>
      </c>
      <c r="V1917" s="2">
        <f>IF(Table4[[#This Row],[linear?]],Table4[[#This Row],[av]],10^(Table4[[#This Row],[av]]/10))</f>
        <v>9.7833759820426497E-2</v>
      </c>
      <c r="W1917" s="2">
        <f>IF(Table4[[#This Row],[linear?]],Table4[[#This Row],[av]],10^(Table4[[#This Row],[av]]/10))</f>
        <v>9.7833759820426497E-2</v>
      </c>
      <c r="X1917" s="2">
        <f>Table4[[#This Row],[av_lin]]-2*Table4[[#This Row],[std_lin]]</f>
        <v>-9.7833759820426497E-2</v>
      </c>
      <c r="Y1917" s="2">
        <f>Table4[[#This Row],[av_lin]]+2*Table4[[#This Row],[std_lin]]</f>
        <v>0.29350127946127946</v>
      </c>
    </row>
    <row r="1918" spans="1:25" x14ac:dyDescent="0.35">
      <c r="A1918" s="1">
        <v>1330</v>
      </c>
      <c r="B1918" t="s">
        <v>829</v>
      </c>
      <c r="C1918" t="s">
        <v>17</v>
      </c>
      <c r="D1918" t="s">
        <v>39</v>
      </c>
      <c r="E1918" s="2">
        <v>23.949108989898988</v>
      </c>
      <c r="F1918" s="2">
        <v>0.14435781612762411</v>
      </c>
      <c r="G1918">
        <v>27</v>
      </c>
      <c r="H1918" t="s">
        <v>19</v>
      </c>
      <c r="M1918" s="2">
        <v>24.237824622154239</v>
      </c>
      <c r="N1918" s="2">
        <v>23.660393357643741</v>
      </c>
      <c r="O1918" s="2">
        <v>0.5774312645104942</v>
      </c>
      <c r="P1918" s="2">
        <v>165.9010203418845</v>
      </c>
      <c r="R1918" t="str">
        <f t="shared" si="87"/>
        <v>no</v>
      </c>
      <c r="S1918" t="str">
        <f t="shared" si="88"/>
        <v>no</v>
      </c>
      <c r="T19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8" s="2" t="b">
        <f t="shared" si="89"/>
        <v>1</v>
      </c>
      <c r="V1918" s="2">
        <f>IF(Table4[[#This Row],[linear?]],Table4[[#This Row],[av]],10^(Table4[[#This Row],[av]]/10))</f>
        <v>23.949108989898988</v>
      </c>
      <c r="W1918" s="2">
        <f>IF(Table4[[#This Row],[linear?]],Table4[[#This Row],[av]],10^(Table4[[#This Row],[av]]/10))</f>
        <v>23.949108989898988</v>
      </c>
      <c r="X1918" s="2">
        <f>Table4[[#This Row],[av_lin]]-2*Table4[[#This Row],[std_lin]]</f>
        <v>-23.949108989898988</v>
      </c>
      <c r="Y1918" s="2">
        <f>Table4[[#This Row],[av_lin]]+2*Table4[[#This Row],[std_lin]]</f>
        <v>71.847326969696965</v>
      </c>
    </row>
    <row r="1919" spans="1:25" x14ac:dyDescent="0.35">
      <c r="A1919" s="1">
        <v>1331</v>
      </c>
      <c r="B1919" t="s">
        <v>829</v>
      </c>
      <c r="C1919" t="s">
        <v>17</v>
      </c>
      <c r="D1919" t="s">
        <v>40</v>
      </c>
      <c r="E1919" s="2">
        <v>0.10178703703703711</v>
      </c>
      <c r="F1919" s="2">
        <v>1.6806907155125759E-2</v>
      </c>
      <c r="G1919">
        <v>27</v>
      </c>
      <c r="H1919" t="s">
        <v>19</v>
      </c>
      <c r="M1919" s="2">
        <v>0.1354008513472886</v>
      </c>
      <c r="N1919" s="2">
        <v>6.8173222726785582E-2</v>
      </c>
      <c r="O1919" s="2">
        <v>6.7227628620503049E-2</v>
      </c>
      <c r="P1919" s="2">
        <v>6.0562622318047472</v>
      </c>
      <c r="R1919" t="str">
        <f t="shared" si="87"/>
        <v>no</v>
      </c>
      <c r="S1919" t="str">
        <f t="shared" si="88"/>
        <v>no</v>
      </c>
      <c r="T19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9" s="2" t="b">
        <f t="shared" si="89"/>
        <v>1</v>
      </c>
      <c r="V1919" s="2">
        <f>IF(Table4[[#This Row],[linear?]],Table4[[#This Row],[av]],10^(Table4[[#This Row],[av]]/10))</f>
        <v>0.10178703703703711</v>
      </c>
      <c r="W1919" s="2">
        <f>IF(Table4[[#This Row],[linear?]],Table4[[#This Row],[av]],10^(Table4[[#This Row],[av]]/10))</f>
        <v>0.10178703703703711</v>
      </c>
      <c r="X1919" s="2">
        <f>Table4[[#This Row],[av_lin]]-2*Table4[[#This Row],[std_lin]]</f>
        <v>-0.10178703703703711</v>
      </c>
      <c r="Y1919" s="2">
        <f>Table4[[#This Row],[av_lin]]+2*Table4[[#This Row],[std_lin]]</f>
        <v>0.30536111111111131</v>
      </c>
    </row>
    <row r="1920" spans="1:25" x14ac:dyDescent="0.35">
      <c r="A1920" s="1">
        <v>1332</v>
      </c>
      <c r="B1920" t="s">
        <v>829</v>
      </c>
      <c r="C1920" t="s">
        <v>17</v>
      </c>
      <c r="D1920" t="s">
        <v>41</v>
      </c>
      <c r="E1920" s="2">
        <v>23.982404904601569</v>
      </c>
      <c r="F1920" s="2">
        <v>0.1479431359558411</v>
      </c>
      <c r="G1920">
        <v>27</v>
      </c>
      <c r="H1920" t="s">
        <v>19</v>
      </c>
      <c r="M1920" s="2">
        <v>24.27829117651325</v>
      </c>
      <c r="N1920" s="2">
        <v>23.686518632689889</v>
      </c>
      <c r="O1920" s="2">
        <v>0.59177254382336741</v>
      </c>
      <c r="P1920" s="2">
        <v>162.10556001570751</v>
      </c>
      <c r="R1920" t="str">
        <f t="shared" si="87"/>
        <v>no</v>
      </c>
      <c r="S1920" t="str">
        <f t="shared" si="88"/>
        <v>no</v>
      </c>
      <c r="T19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0" s="2" t="b">
        <f t="shared" si="89"/>
        <v>1</v>
      </c>
      <c r="V1920" s="2">
        <f>IF(Table4[[#This Row],[linear?]],Table4[[#This Row],[av]],10^(Table4[[#This Row],[av]]/10))</f>
        <v>23.982404904601569</v>
      </c>
      <c r="W1920" s="2">
        <f>IF(Table4[[#This Row],[linear?]],Table4[[#This Row],[av]],10^(Table4[[#This Row],[av]]/10))</f>
        <v>23.982404904601569</v>
      </c>
      <c r="X1920" s="2">
        <f>Table4[[#This Row],[av_lin]]-2*Table4[[#This Row],[std_lin]]</f>
        <v>-23.982404904601569</v>
      </c>
      <c r="Y1920" s="2">
        <f>Table4[[#This Row],[av_lin]]+2*Table4[[#This Row],[std_lin]]</f>
        <v>71.947214713804712</v>
      </c>
    </row>
    <row r="1921" spans="1:25" x14ac:dyDescent="0.35">
      <c r="A1921" s="1">
        <v>1333</v>
      </c>
      <c r="B1921" t="s">
        <v>829</v>
      </c>
      <c r="C1921" t="s">
        <v>17</v>
      </c>
      <c r="D1921" t="s">
        <v>42</v>
      </c>
      <c r="E1921" s="2">
        <v>1.945626262626262E-2</v>
      </c>
      <c r="F1921" s="2">
        <v>6.0508001744517207E-3</v>
      </c>
      <c r="G1921">
        <v>27</v>
      </c>
      <c r="H1921" t="s">
        <v>19</v>
      </c>
      <c r="M1921" s="2">
        <v>3.1557862975166058E-2</v>
      </c>
      <c r="N1921" s="2">
        <v>7.3546622773591787E-3</v>
      </c>
      <c r="O1921" s="2">
        <v>2.420320069780689E-2</v>
      </c>
      <c r="P1921" s="2">
        <v>3.2154858969583482</v>
      </c>
      <c r="R1921" t="str">
        <f t="shared" si="87"/>
        <v>no</v>
      </c>
      <c r="S1921" t="str">
        <f t="shared" si="88"/>
        <v>no</v>
      </c>
      <c r="T19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1" s="2" t="b">
        <f t="shared" si="89"/>
        <v>1</v>
      </c>
      <c r="V1921" s="2">
        <f>IF(Table4[[#This Row],[linear?]],Table4[[#This Row],[av]],10^(Table4[[#This Row],[av]]/10))</f>
        <v>1.945626262626262E-2</v>
      </c>
      <c r="W1921" s="2">
        <f>IF(Table4[[#This Row],[linear?]],Table4[[#This Row],[av]],10^(Table4[[#This Row],[av]]/10))</f>
        <v>1.945626262626262E-2</v>
      </c>
      <c r="X1921" s="2">
        <f>Table4[[#This Row],[av_lin]]-2*Table4[[#This Row],[std_lin]]</f>
        <v>-1.945626262626262E-2</v>
      </c>
      <c r="Y1921" s="2">
        <f>Table4[[#This Row],[av_lin]]+2*Table4[[#This Row],[std_lin]]</f>
        <v>5.836878787878786E-2</v>
      </c>
    </row>
    <row r="1922" spans="1:25" x14ac:dyDescent="0.35">
      <c r="A1922" s="1">
        <v>1334</v>
      </c>
      <c r="B1922" t="s">
        <v>829</v>
      </c>
      <c r="C1922" t="s">
        <v>17</v>
      </c>
      <c r="D1922" t="s">
        <v>43</v>
      </c>
      <c r="E1922" s="2">
        <v>23.961875162738501</v>
      </c>
      <c r="F1922" s="2">
        <v>0.12332768752360521</v>
      </c>
      <c r="G1922">
        <v>27</v>
      </c>
      <c r="H1922" t="s">
        <v>19</v>
      </c>
      <c r="M1922" s="2">
        <v>24.208530537785709</v>
      </c>
      <c r="N1922" s="2">
        <v>23.715219787691289</v>
      </c>
      <c r="O1922" s="2">
        <v>0.49331075009442321</v>
      </c>
      <c r="P1922" s="2">
        <v>194.29436847384449</v>
      </c>
      <c r="R1922" t="str">
        <f t="shared" ref="R1922:R1934" si="90">IF(H1922="yes","yes","no")</f>
        <v>no</v>
      </c>
      <c r="S1922" t="str">
        <f t="shared" ref="S1922:S1934" si="91">IF(I1922,"yes","no")</f>
        <v>no</v>
      </c>
      <c r="T19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2" s="2" t="b">
        <f t="shared" ref="U1922:U1934" si="92">NOT(ISNUMBER(SEARCH("RFIC*POWER", D1922)))</f>
        <v>1</v>
      </c>
      <c r="V1922" s="2">
        <f>IF(Table4[[#This Row],[linear?]],Table4[[#This Row],[av]],10^(Table4[[#This Row],[av]]/10))</f>
        <v>23.961875162738501</v>
      </c>
      <c r="W1922" s="2">
        <f>IF(Table4[[#This Row],[linear?]],Table4[[#This Row],[av]],10^(Table4[[#This Row],[av]]/10))</f>
        <v>23.961875162738501</v>
      </c>
      <c r="X1922" s="2">
        <f>Table4[[#This Row],[av_lin]]-2*Table4[[#This Row],[std_lin]]</f>
        <v>-23.961875162738501</v>
      </c>
      <c r="Y1922" s="2">
        <f>Table4[[#This Row],[av_lin]]+2*Table4[[#This Row],[std_lin]]</f>
        <v>71.88562548821551</v>
      </c>
    </row>
    <row r="1923" spans="1:25" x14ac:dyDescent="0.35">
      <c r="A1923" s="1">
        <v>1335</v>
      </c>
      <c r="B1923" t="s">
        <v>829</v>
      </c>
      <c r="C1923" t="s">
        <v>17</v>
      </c>
      <c r="D1923" t="s">
        <v>44</v>
      </c>
      <c r="E1923" s="2">
        <v>0.942071874298541</v>
      </c>
      <c r="F1923" s="2">
        <v>2.7674720601175359E-2</v>
      </c>
      <c r="G1923">
        <v>27</v>
      </c>
      <c r="H1923" t="s">
        <v>19</v>
      </c>
      <c r="M1923" s="2">
        <v>0.99742131550089175</v>
      </c>
      <c r="N1923" s="2">
        <v>0.88672243309619025</v>
      </c>
      <c r="O1923" s="2">
        <v>0.11069888240470151</v>
      </c>
      <c r="P1923" s="2">
        <v>34.040881130287943</v>
      </c>
      <c r="R1923" t="str">
        <f t="shared" si="90"/>
        <v>no</v>
      </c>
      <c r="S1923" t="str">
        <f t="shared" si="91"/>
        <v>no</v>
      </c>
      <c r="T19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3" s="2" t="b">
        <f t="shared" si="92"/>
        <v>1</v>
      </c>
      <c r="V1923" s="2">
        <f>IF(Table4[[#This Row],[linear?]],Table4[[#This Row],[av]],10^(Table4[[#This Row],[av]]/10))</f>
        <v>0.942071874298541</v>
      </c>
      <c r="W1923" s="2">
        <f>IF(Table4[[#This Row],[linear?]],Table4[[#This Row],[av]],10^(Table4[[#This Row],[av]]/10))</f>
        <v>0.942071874298541</v>
      </c>
      <c r="X1923" s="2">
        <f>Table4[[#This Row],[av_lin]]-2*Table4[[#This Row],[std_lin]]</f>
        <v>-0.942071874298541</v>
      </c>
      <c r="Y1923" s="2">
        <f>Table4[[#This Row],[av_lin]]+2*Table4[[#This Row],[std_lin]]</f>
        <v>2.826215622895623</v>
      </c>
    </row>
    <row r="1924" spans="1:25" x14ac:dyDescent="0.35">
      <c r="A1924" s="1">
        <v>1336</v>
      </c>
      <c r="B1924" t="s">
        <v>829</v>
      </c>
      <c r="C1924" t="s">
        <v>17</v>
      </c>
      <c r="D1924" t="s">
        <v>45</v>
      </c>
      <c r="E1924" s="2">
        <v>35.796753097643098</v>
      </c>
      <c r="F1924" s="2">
        <v>0.1206734623175959</v>
      </c>
      <c r="G1924">
        <v>27</v>
      </c>
      <c r="H1924" t="s">
        <v>19</v>
      </c>
      <c r="M1924" s="2">
        <v>36.038100022278293</v>
      </c>
      <c r="N1924" s="2">
        <v>35.555406173007903</v>
      </c>
      <c r="O1924" s="2">
        <v>0.48269384927039027</v>
      </c>
      <c r="P1924" s="2">
        <v>296.64146872185518</v>
      </c>
      <c r="R1924" t="str">
        <f t="shared" si="90"/>
        <v>no</v>
      </c>
      <c r="S1924" t="str">
        <f t="shared" si="91"/>
        <v>no</v>
      </c>
      <c r="T19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4" s="2" t="b">
        <f t="shared" si="92"/>
        <v>1</v>
      </c>
      <c r="V1924" s="2">
        <f>IF(Table4[[#This Row],[linear?]],Table4[[#This Row],[av]],10^(Table4[[#This Row],[av]]/10))</f>
        <v>35.796753097643098</v>
      </c>
      <c r="W1924" s="2">
        <f>IF(Table4[[#This Row],[linear?]],Table4[[#This Row],[av]],10^(Table4[[#This Row],[av]]/10))</f>
        <v>35.796753097643098</v>
      </c>
      <c r="X1924" s="2">
        <f>Table4[[#This Row],[av_lin]]-2*Table4[[#This Row],[std_lin]]</f>
        <v>-35.796753097643098</v>
      </c>
      <c r="Y1924" s="2">
        <f>Table4[[#This Row],[av_lin]]+2*Table4[[#This Row],[std_lin]]</f>
        <v>107.3902592929293</v>
      </c>
    </row>
    <row r="1925" spans="1:25" x14ac:dyDescent="0.35">
      <c r="A1925" s="1">
        <v>1337</v>
      </c>
      <c r="B1925" t="s">
        <v>829</v>
      </c>
      <c r="C1925" t="s">
        <v>17</v>
      </c>
      <c r="D1925" t="s">
        <v>46</v>
      </c>
      <c r="E1925" s="2">
        <v>0.95390251402918069</v>
      </c>
      <c r="F1925" s="2">
        <v>1.8591999924831789E-2</v>
      </c>
      <c r="G1925">
        <v>27</v>
      </c>
      <c r="H1925" t="s">
        <v>19</v>
      </c>
      <c r="M1925" s="2">
        <v>0.99108651387884428</v>
      </c>
      <c r="N1925" s="2">
        <v>0.91671851417951711</v>
      </c>
      <c r="O1925" s="2">
        <v>7.436799969932717E-2</v>
      </c>
      <c r="P1925" s="2">
        <v>51.307149197818809</v>
      </c>
      <c r="R1925" t="str">
        <f t="shared" si="90"/>
        <v>no</v>
      </c>
      <c r="S1925" t="str">
        <f t="shared" si="91"/>
        <v>no</v>
      </c>
      <c r="T19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5" s="2" t="b">
        <f t="shared" si="92"/>
        <v>1</v>
      </c>
      <c r="V1925" s="2">
        <f>IF(Table4[[#This Row],[linear?]],Table4[[#This Row],[av]],10^(Table4[[#This Row],[av]]/10))</f>
        <v>0.95390251402918069</v>
      </c>
      <c r="W1925" s="2">
        <f>IF(Table4[[#This Row],[linear?]],Table4[[#This Row],[av]],10^(Table4[[#This Row],[av]]/10))</f>
        <v>0.95390251402918069</v>
      </c>
      <c r="X1925" s="2">
        <f>Table4[[#This Row],[av_lin]]-2*Table4[[#This Row],[std_lin]]</f>
        <v>-0.95390251402918069</v>
      </c>
      <c r="Y1925" s="2">
        <f>Table4[[#This Row],[av_lin]]+2*Table4[[#This Row],[std_lin]]</f>
        <v>2.861707542087542</v>
      </c>
    </row>
    <row r="1926" spans="1:25" x14ac:dyDescent="0.35">
      <c r="A1926" s="1">
        <v>1338</v>
      </c>
      <c r="B1926" t="s">
        <v>829</v>
      </c>
      <c r="C1926" t="s">
        <v>17</v>
      </c>
      <c r="D1926" t="s">
        <v>47</v>
      </c>
      <c r="E1926" s="2">
        <v>35.821033827160491</v>
      </c>
      <c r="F1926" s="2">
        <v>0.14339080446106239</v>
      </c>
      <c r="G1926">
        <v>27</v>
      </c>
      <c r="H1926" t="s">
        <v>19</v>
      </c>
      <c r="M1926" s="2">
        <v>36.107815436082618</v>
      </c>
      <c r="N1926" s="2">
        <v>35.534252218238358</v>
      </c>
      <c r="O1926" s="2">
        <v>0.5735632178442529</v>
      </c>
      <c r="P1926" s="2">
        <v>249.81402372205571</v>
      </c>
      <c r="R1926" t="str">
        <f t="shared" si="90"/>
        <v>no</v>
      </c>
      <c r="S1926" t="str">
        <f t="shared" si="91"/>
        <v>no</v>
      </c>
      <c r="T19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6" s="2" t="b">
        <f t="shared" si="92"/>
        <v>1</v>
      </c>
      <c r="V1926" s="2">
        <f>IF(Table4[[#This Row],[linear?]],Table4[[#This Row],[av]],10^(Table4[[#This Row],[av]]/10))</f>
        <v>35.821033827160491</v>
      </c>
      <c r="W1926" s="2">
        <f>IF(Table4[[#This Row],[linear?]],Table4[[#This Row],[av]],10^(Table4[[#This Row],[av]]/10))</f>
        <v>35.821033827160491</v>
      </c>
      <c r="X1926" s="2">
        <f>Table4[[#This Row],[av_lin]]-2*Table4[[#This Row],[std_lin]]</f>
        <v>-35.821033827160491</v>
      </c>
      <c r="Y1926" s="2">
        <f>Table4[[#This Row],[av_lin]]+2*Table4[[#This Row],[std_lin]]</f>
        <v>107.46310148148147</v>
      </c>
    </row>
    <row r="1927" spans="1:25" x14ac:dyDescent="0.35">
      <c r="A1927" s="1">
        <v>1339</v>
      </c>
      <c r="B1927" t="s">
        <v>829</v>
      </c>
      <c r="C1927" t="s">
        <v>17</v>
      </c>
      <c r="D1927" t="s">
        <v>48</v>
      </c>
      <c r="E1927" s="2">
        <v>0.94431607182940513</v>
      </c>
      <c r="F1927" s="2">
        <v>1.67474637980248E-2</v>
      </c>
      <c r="G1927">
        <v>27</v>
      </c>
      <c r="H1927" t="s">
        <v>19</v>
      </c>
      <c r="M1927" s="2">
        <v>0.97781099942545469</v>
      </c>
      <c r="N1927" s="2">
        <v>0.91082114423335558</v>
      </c>
      <c r="O1927" s="2">
        <v>6.6989855192099101E-2</v>
      </c>
      <c r="P1927" s="2">
        <v>56.385616545758893</v>
      </c>
      <c r="R1927" t="str">
        <f t="shared" si="90"/>
        <v>no</v>
      </c>
      <c r="S1927" t="str">
        <f t="shared" si="91"/>
        <v>no</v>
      </c>
      <c r="T19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7" s="2" t="b">
        <f t="shared" si="92"/>
        <v>1</v>
      </c>
      <c r="V1927" s="2">
        <f>IF(Table4[[#This Row],[linear?]],Table4[[#This Row],[av]],10^(Table4[[#This Row],[av]]/10))</f>
        <v>0.94431607182940513</v>
      </c>
      <c r="W1927" s="2">
        <f>IF(Table4[[#This Row],[linear?]],Table4[[#This Row],[av]],10^(Table4[[#This Row],[av]]/10))</f>
        <v>0.94431607182940513</v>
      </c>
      <c r="X1927" s="2">
        <f>Table4[[#This Row],[av_lin]]-2*Table4[[#This Row],[std_lin]]</f>
        <v>-0.94431607182940513</v>
      </c>
      <c r="Y1927" s="2">
        <f>Table4[[#This Row],[av_lin]]+2*Table4[[#This Row],[std_lin]]</f>
        <v>2.8329482154882153</v>
      </c>
    </row>
    <row r="1928" spans="1:25" x14ac:dyDescent="0.35">
      <c r="A1928" s="1">
        <v>1340</v>
      </c>
      <c r="B1928" t="s">
        <v>829</v>
      </c>
      <c r="C1928" t="s">
        <v>17</v>
      </c>
      <c r="D1928" t="s">
        <v>49</v>
      </c>
      <c r="E1928" s="2">
        <v>35.743606498316502</v>
      </c>
      <c r="F1928" s="2">
        <v>0.1184965008944584</v>
      </c>
      <c r="G1928">
        <v>27</v>
      </c>
      <c r="H1928" t="s">
        <v>19</v>
      </c>
      <c r="M1928" s="2">
        <v>35.98059950010542</v>
      </c>
      <c r="N1928" s="2">
        <v>35.506613496527592</v>
      </c>
      <c r="O1928" s="2">
        <v>0.47398600357783488</v>
      </c>
      <c r="P1928" s="2">
        <v>301.64271711408901</v>
      </c>
      <c r="R1928" t="str">
        <f t="shared" si="90"/>
        <v>no</v>
      </c>
      <c r="S1928" t="str">
        <f t="shared" si="91"/>
        <v>no</v>
      </c>
      <c r="T19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8" s="2" t="b">
        <f t="shared" si="92"/>
        <v>1</v>
      </c>
      <c r="V1928" s="2">
        <f>IF(Table4[[#This Row],[linear?]],Table4[[#This Row],[av]],10^(Table4[[#This Row],[av]]/10))</f>
        <v>35.743606498316502</v>
      </c>
      <c r="W1928" s="2">
        <f>IF(Table4[[#This Row],[linear?]],Table4[[#This Row],[av]],10^(Table4[[#This Row],[av]]/10))</f>
        <v>35.743606498316502</v>
      </c>
      <c r="X1928" s="2">
        <f>Table4[[#This Row],[av_lin]]-2*Table4[[#This Row],[std_lin]]</f>
        <v>-35.743606498316502</v>
      </c>
      <c r="Y1928" s="2">
        <f>Table4[[#This Row],[av_lin]]+2*Table4[[#This Row],[std_lin]]</f>
        <v>107.23081949494951</v>
      </c>
    </row>
    <row r="1929" spans="1:25" x14ac:dyDescent="0.35">
      <c r="A1929" s="1">
        <v>1341</v>
      </c>
      <c r="B1929" t="s">
        <v>829</v>
      </c>
      <c r="C1929" t="s">
        <v>17</v>
      </c>
      <c r="D1929" t="s">
        <v>50</v>
      </c>
      <c r="E1929" s="2">
        <v>0.94338127946127948</v>
      </c>
      <c r="F1929" s="2">
        <v>1.9677879643579539E-2</v>
      </c>
      <c r="G1929">
        <v>27</v>
      </c>
      <c r="H1929" t="s">
        <v>19</v>
      </c>
      <c r="M1929" s="2">
        <v>0.98273703874843854</v>
      </c>
      <c r="N1929" s="2">
        <v>0.90402552017412041</v>
      </c>
      <c r="O1929" s="2">
        <v>7.8711518574318129E-2</v>
      </c>
      <c r="P1929" s="2">
        <v>47.941205889481303</v>
      </c>
      <c r="R1929" t="str">
        <f t="shared" si="90"/>
        <v>no</v>
      </c>
      <c r="S1929" t="str">
        <f t="shared" si="91"/>
        <v>no</v>
      </c>
      <c r="T19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9" s="2" t="b">
        <f t="shared" si="92"/>
        <v>1</v>
      </c>
      <c r="V1929" s="2">
        <f>IF(Table4[[#This Row],[linear?]],Table4[[#This Row],[av]],10^(Table4[[#This Row],[av]]/10))</f>
        <v>0.94338127946127948</v>
      </c>
      <c r="W1929" s="2">
        <f>IF(Table4[[#This Row],[linear?]],Table4[[#This Row],[av]],10^(Table4[[#This Row],[av]]/10))</f>
        <v>0.94338127946127948</v>
      </c>
      <c r="X1929" s="2">
        <f>Table4[[#This Row],[av_lin]]-2*Table4[[#This Row],[std_lin]]</f>
        <v>-0.94338127946127948</v>
      </c>
      <c r="Y1929" s="2">
        <f>Table4[[#This Row],[av_lin]]+2*Table4[[#This Row],[std_lin]]</f>
        <v>2.8301438383838384</v>
      </c>
    </row>
    <row r="1930" spans="1:25" x14ac:dyDescent="0.35">
      <c r="A1930" s="1">
        <v>1342</v>
      </c>
      <c r="B1930" t="s">
        <v>829</v>
      </c>
      <c r="C1930" t="s">
        <v>17</v>
      </c>
      <c r="D1930" t="s">
        <v>51</v>
      </c>
      <c r="E1930" s="2">
        <v>35.706810157126817</v>
      </c>
      <c r="F1930" s="2">
        <v>0.1226415242591307</v>
      </c>
      <c r="G1930">
        <v>27</v>
      </c>
      <c r="H1930" t="s">
        <v>19</v>
      </c>
      <c r="M1930" s="2">
        <v>35.952093205645077</v>
      </c>
      <c r="N1930" s="2">
        <v>35.461527108608557</v>
      </c>
      <c r="O1930" s="2">
        <v>0.49056609703652038</v>
      </c>
      <c r="P1930" s="2">
        <v>291.14780147123321</v>
      </c>
      <c r="R1930" t="str">
        <f t="shared" si="90"/>
        <v>no</v>
      </c>
      <c r="S1930" t="str">
        <f t="shared" si="91"/>
        <v>no</v>
      </c>
      <c r="T19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0" s="2" t="b">
        <f t="shared" si="92"/>
        <v>1</v>
      </c>
      <c r="V1930" s="2">
        <f>IF(Table4[[#This Row],[linear?]],Table4[[#This Row],[av]],10^(Table4[[#This Row],[av]]/10))</f>
        <v>35.706810157126817</v>
      </c>
      <c r="W1930" s="2">
        <f>IF(Table4[[#This Row],[linear?]],Table4[[#This Row],[av]],10^(Table4[[#This Row],[av]]/10))</f>
        <v>35.706810157126817</v>
      </c>
      <c r="X1930" s="2">
        <f>Table4[[#This Row],[av_lin]]-2*Table4[[#This Row],[std_lin]]</f>
        <v>-35.706810157126817</v>
      </c>
      <c r="Y1930" s="2">
        <f>Table4[[#This Row],[av_lin]]+2*Table4[[#This Row],[std_lin]]</f>
        <v>107.12043047138044</v>
      </c>
    </row>
    <row r="1931" spans="1:25" x14ac:dyDescent="0.35">
      <c r="A1931" s="1">
        <v>1343</v>
      </c>
      <c r="B1931" t="s">
        <v>829</v>
      </c>
      <c r="C1931" t="s">
        <v>17</v>
      </c>
      <c r="D1931" t="s">
        <v>52</v>
      </c>
      <c r="E1931" s="2">
        <v>0.93831372615039277</v>
      </c>
      <c r="F1931" s="2">
        <v>2.1750072890455031E-2</v>
      </c>
      <c r="G1931">
        <v>27</v>
      </c>
      <c r="H1931" t="s">
        <v>19</v>
      </c>
      <c r="M1931" s="2">
        <v>0.98181387193130287</v>
      </c>
      <c r="N1931" s="2">
        <v>0.89481358036948266</v>
      </c>
      <c r="O1931" s="2">
        <v>8.7000291561820209E-2</v>
      </c>
      <c r="P1931" s="2">
        <v>43.140716395583652</v>
      </c>
      <c r="R1931" t="str">
        <f t="shared" si="90"/>
        <v>no</v>
      </c>
      <c r="S1931" t="str">
        <f t="shared" si="91"/>
        <v>no</v>
      </c>
      <c r="T19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1" s="2" t="b">
        <f t="shared" si="92"/>
        <v>1</v>
      </c>
      <c r="V1931" s="2">
        <f>IF(Table4[[#This Row],[linear?]],Table4[[#This Row],[av]],10^(Table4[[#This Row],[av]]/10))</f>
        <v>0.93831372615039277</v>
      </c>
      <c r="W1931" s="2">
        <f>IF(Table4[[#This Row],[linear?]],Table4[[#This Row],[av]],10^(Table4[[#This Row],[av]]/10))</f>
        <v>0.93831372615039277</v>
      </c>
      <c r="X1931" s="2">
        <f>Table4[[#This Row],[av_lin]]-2*Table4[[#This Row],[std_lin]]</f>
        <v>-0.93831372615039277</v>
      </c>
      <c r="Y1931" s="2">
        <f>Table4[[#This Row],[av_lin]]+2*Table4[[#This Row],[std_lin]]</f>
        <v>2.8149411784511784</v>
      </c>
    </row>
    <row r="1932" spans="1:25" x14ac:dyDescent="0.35">
      <c r="A1932" s="1">
        <v>1344</v>
      </c>
      <c r="B1932" t="s">
        <v>829</v>
      </c>
      <c r="C1932" t="s">
        <v>17</v>
      </c>
      <c r="D1932" t="s">
        <v>53</v>
      </c>
      <c r="E1932" s="2">
        <v>35.719321649831649</v>
      </c>
      <c r="F1932" s="2">
        <v>0.13700654598746559</v>
      </c>
      <c r="G1932">
        <v>27</v>
      </c>
      <c r="H1932" t="s">
        <v>19</v>
      </c>
      <c r="M1932" s="2">
        <v>35.993334741806578</v>
      </c>
      <c r="N1932" s="2">
        <v>35.44530855785672</v>
      </c>
      <c r="O1932" s="2">
        <v>0.54802618394985814</v>
      </c>
      <c r="P1932" s="2">
        <v>260.71251845951599</v>
      </c>
      <c r="R1932" t="str">
        <f t="shared" si="90"/>
        <v>no</v>
      </c>
      <c r="S1932" t="str">
        <f t="shared" si="91"/>
        <v>no</v>
      </c>
      <c r="T19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2" s="2" t="b">
        <f t="shared" si="92"/>
        <v>1</v>
      </c>
      <c r="V1932" s="2">
        <f>IF(Table4[[#This Row],[linear?]],Table4[[#This Row],[av]],10^(Table4[[#This Row],[av]]/10))</f>
        <v>35.719321649831649</v>
      </c>
      <c r="W1932" s="2">
        <f>IF(Table4[[#This Row],[linear?]],Table4[[#This Row],[av]],10^(Table4[[#This Row],[av]]/10))</f>
        <v>35.719321649831649</v>
      </c>
      <c r="X1932" s="2">
        <f>Table4[[#This Row],[av_lin]]-2*Table4[[#This Row],[std_lin]]</f>
        <v>-35.719321649831649</v>
      </c>
      <c r="Y1932" s="2">
        <f>Table4[[#This Row],[av_lin]]+2*Table4[[#This Row],[std_lin]]</f>
        <v>107.15796494949495</v>
      </c>
    </row>
    <row r="1933" spans="1:25" x14ac:dyDescent="0.35">
      <c r="A1933" s="1">
        <v>1345</v>
      </c>
      <c r="B1933" t="s">
        <v>829</v>
      </c>
      <c r="C1933" t="s">
        <v>17</v>
      </c>
      <c r="D1933" t="s">
        <v>54</v>
      </c>
      <c r="E1933" s="2">
        <v>0.97050530864197526</v>
      </c>
      <c r="F1933" s="2">
        <v>1.7596681877356749E-2</v>
      </c>
      <c r="G1933">
        <v>27</v>
      </c>
      <c r="H1933" t="s">
        <v>19</v>
      </c>
      <c r="M1933" s="2">
        <v>1.005698672396689</v>
      </c>
      <c r="N1933" s="2">
        <v>0.93531194488726177</v>
      </c>
      <c r="O1933" s="2">
        <v>7.0386727509426983E-2</v>
      </c>
      <c r="P1933" s="2">
        <v>55.152745012161233</v>
      </c>
      <c r="R1933" t="str">
        <f t="shared" si="90"/>
        <v>no</v>
      </c>
      <c r="S1933" t="str">
        <f t="shared" si="91"/>
        <v>no</v>
      </c>
      <c r="T19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3" s="2" t="b">
        <f t="shared" si="92"/>
        <v>1</v>
      </c>
      <c r="V1933" s="2">
        <f>IF(Table4[[#This Row],[linear?]],Table4[[#This Row],[av]],10^(Table4[[#This Row],[av]]/10))</f>
        <v>0.97050530864197526</v>
      </c>
      <c r="W1933" s="2">
        <f>IF(Table4[[#This Row],[linear?]],Table4[[#This Row],[av]],10^(Table4[[#This Row],[av]]/10))</f>
        <v>0.97050530864197526</v>
      </c>
      <c r="X1933" s="2">
        <f>Table4[[#This Row],[av_lin]]-2*Table4[[#This Row],[std_lin]]</f>
        <v>-0.97050530864197526</v>
      </c>
      <c r="Y1933" s="2">
        <f>Table4[[#This Row],[av_lin]]+2*Table4[[#This Row],[std_lin]]</f>
        <v>2.9115159259259258</v>
      </c>
    </row>
    <row r="1934" spans="1:25" x14ac:dyDescent="0.35">
      <c r="A1934" s="1">
        <v>1346</v>
      </c>
      <c r="B1934" t="s">
        <v>829</v>
      </c>
      <c r="C1934" t="s">
        <v>17</v>
      </c>
      <c r="D1934" t="s">
        <v>55</v>
      </c>
      <c r="E1934" s="2">
        <v>35.81669117845118</v>
      </c>
      <c r="F1934" s="2">
        <v>9.8469689836970381E-2</v>
      </c>
      <c r="G1934">
        <v>27</v>
      </c>
      <c r="H1934" t="s">
        <v>19</v>
      </c>
      <c r="M1934" s="2">
        <v>36.013630558125122</v>
      </c>
      <c r="N1934" s="2">
        <v>35.619751798777237</v>
      </c>
      <c r="O1934" s="2">
        <v>0.39387875934788502</v>
      </c>
      <c r="P1934" s="2">
        <v>363.73315725631369</v>
      </c>
      <c r="R1934" t="str">
        <f t="shared" si="90"/>
        <v>no</v>
      </c>
      <c r="S1934" t="str">
        <f t="shared" si="91"/>
        <v>no</v>
      </c>
      <c r="T19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4" s="2" t="b">
        <f t="shared" si="92"/>
        <v>1</v>
      </c>
      <c r="V1934" s="2">
        <f>IF(Table4[[#This Row],[linear?]],Table4[[#This Row],[av]],10^(Table4[[#This Row],[av]]/10))</f>
        <v>35.81669117845118</v>
      </c>
      <c r="W1934" s="2">
        <f>IF(Table4[[#This Row],[linear?]],Table4[[#This Row],[av]],10^(Table4[[#This Row],[av]]/10))</f>
        <v>35.81669117845118</v>
      </c>
      <c r="X1934" s="2">
        <f>Table4[[#This Row],[av_lin]]-2*Table4[[#This Row],[std_lin]]</f>
        <v>-35.81669117845118</v>
      </c>
      <c r="Y1934" s="2">
        <f>Table4[[#This Row],[av_lin]]+2*Table4[[#This Row],[std_lin]]</f>
        <v>107.45007353535354</v>
      </c>
    </row>
  </sheetData>
  <phoneticPr fontId="3" type="noConversion"/>
  <conditionalFormatting sqref="N1:N1048576">
    <cfRule type="cellIs" dxfId="4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Mitchell</cp:lastModifiedBy>
  <dcterms:created xsi:type="dcterms:W3CDTF">2026-02-23T14:25:44Z</dcterms:created>
  <dcterms:modified xsi:type="dcterms:W3CDTF">2026-02-24T09:24:31Z</dcterms:modified>
</cp:coreProperties>
</file>